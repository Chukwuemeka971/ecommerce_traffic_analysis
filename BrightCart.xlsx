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d.docs.live.net/78607a589bfa46ec/Desktop/ALL FOLDERS/internship/bright cart/"/>
    </mc:Choice>
  </mc:AlternateContent>
  <xr:revisionPtr revIDLastSave="5433" documentId="8_{D7A8E4B4-24A2-4584-AD8E-28D6F7E26126}" xr6:coauthVersionLast="47" xr6:coauthVersionMax="47" xr10:uidLastSave="{5A952F64-2BA5-4812-B50D-D73AC2A5EB38}"/>
  <bookViews>
    <workbookView xWindow="-110" yWindow="-110" windowWidth="19420" windowHeight="10300" activeTab="3" xr2:uid="{00000000-000D-0000-FFFF-FFFF00000000}"/>
  </bookViews>
  <sheets>
    <sheet name="user_session_data" sheetId="1" r:id="rId1"/>
    <sheet name="engagement_data" sheetId="2" r:id="rId2"/>
    <sheet name="Dashboard" sheetId="4" r:id="rId3"/>
    <sheet name="pivot tables" sheetId="3" r:id="rId4"/>
  </sheets>
  <definedNames>
    <definedName name="_xlnm._FilterDatabase" localSheetId="1" hidden="1">engagement_data!$A$1:$E$1080</definedName>
    <definedName name="_xlnm._FilterDatabase" localSheetId="0" hidden="1">user_session_data!$A$1:$N$1080</definedName>
    <definedName name="_xlcn.WorksheetConnection_BrightCart.xlsxengagement1" hidden="1">engagement[]</definedName>
    <definedName name="_xlcn.WorksheetConnection_BrightCart.xlsxsession_data1" hidden="1">session_data[]</definedName>
    <definedName name="ASD">'pivot tables'!#REF!</definedName>
    <definedName name="ASD_MIN">'pivot tables'!$K$3</definedName>
    <definedName name="CR">'pivot tables'!$K$4</definedName>
    <definedName name="CRate">'pivot tables'!$H$3</definedName>
    <definedName name="N">'pivot tables'!$G$4</definedName>
    <definedName name="New">'pivot tables'!$G$4</definedName>
    <definedName name="NUSER">'pivot tables'!$G$4</definedName>
    <definedName name="PTR">'pivot tables'!$R$4</definedName>
    <definedName name="Return">'pivot tables'!$F$5</definedName>
    <definedName name="Returning">'pivot tables'!$G$5</definedName>
    <definedName name="RU">'pivot tables'!$G$5</definedName>
    <definedName name="RUS">'pivot tables'!$G$5</definedName>
    <definedName name="Slicer_Device_Type">#N/A</definedName>
    <definedName name="Slicer_Traffic_Source">#N/A</definedName>
    <definedName name="Slicer_Year">#N/A</definedName>
    <definedName name="Total_sessions">'pivot tables'!$A$4</definedName>
    <definedName name="TS">'pivot tables'!$A$4</definedName>
    <definedName name="users">'pivot tables'!$C$4</definedName>
  </definedNames>
  <calcPr calcId="191029"/>
  <pivotCaches>
    <pivotCache cacheId="0" r:id="rId5"/>
    <pivotCache cacheId="1" r:id="rId6"/>
    <pivotCache cacheId="2"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s>
  <extLst>
    <ext xmlns:x14="http://schemas.microsoft.com/office/spreadsheetml/2009/9/main" uri="{876F7934-8845-4945-9796-88D515C7AA90}">
      <x14:pivotCaches>
        <pivotCache cacheId="14"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ession_data" name="session_data" connection="WorksheetConnection_BrightCart.xlsx!session_data"/>
          <x15:modelTable id="engagement" name="engagement" connection="WorksheetConnection_BrightCart.xlsx!engagement"/>
        </x15:modelTables>
        <x15:modelRelationships>
          <x15:modelRelationship fromTable="engagement" fromColumn="SessionID" toTable="session_data" toColumn="Sessio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3"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2" i="1"/>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F3" i="1" a="1"/>
  <c r="F3" i="1" s="1"/>
  <c r="F2" i="1" a="1"/>
  <c r="F2" i="1" s="1"/>
  <c r="F4" i="1" a="1"/>
  <c r="F4" i="1" s="1"/>
  <c r="F5" i="1" a="1"/>
  <c r="F5" i="1" s="1"/>
  <c r="F6" i="1" a="1"/>
  <c r="F6" i="1" s="1"/>
  <c r="F7" i="1" a="1"/>
  <c r="F7" i="1" s="1"/>
  <c r="F8" i="1" a="1"/>
  <c r="F8" i="1" s="1"/>
  <c r="F9" i="1" a="1"/>
  <c r="F9" i="1" s="1"/>
  <c r="F10" i="1" a="1"/>
  <c r="F10" i="1" s="1"/>
  <c r="F11" i="1" a="1"/>
  <c r="F11" i="1" s="1"/>
  <c r="F12" i="1" a="1"/>
  <c r="F12" i="1" s="1"/>
  <c r="F13" i="1" a="1"/>
  <c r="F13" i="1" s="1"/>
  <c r="F14" i="1" a="1"/>
  <c r="F14" i="1" s="1"/>
  <c r="F15" i="1" a="1"/>
  <c r="F15" i="1" s="1"/>
  <c r="F16" i="1" a="1"/>
  <c r="F16" i="1" s="1"/>
  <c r="F17" i="1" a="1"/>
  <c r="F17" i="1" s="1"/>
  <c r="F18" i="1" a="1"/>
  <c r="F18" i="1" s="1"/>
  <c r="F19" i="1" a="1"/>
  <c r="F19" i="1" s="1"/>
  <c r="F20" i="1" a="1"/>
  <c r="F20" i="1" s="1"/>
  <c r="F21" i="1" a="1"/>
  <c r="F21" i="1" s="1"/>
  <c r="F22" i="1" a="1"/>
  <c r="F22" i="1" s="1"/>
  <c r="F23" i="1" a="1"/>
  <c r="F23" i="1" s="1"/>
  <c r="F24" i="1" a="1"/>
  <c r="F24" i="1" s="1"/>
  <c r="F25" i="1" a="1"/>
  <c r="F25" i="1" s="1"/>
  <c r="F26" i="1" a="1"/>
  <c r="F26" i="1" s="1"/>
  <c r="F27" i="1" a="1"/>
  <c r="F27" i="1" s="1"/>
  <c r="F28" i="1" a="1"/>
  <c r="F28" i="1" s="1"/>
  <c r="F29" i="1" a="1"/>
  <c r="F29" i="1" s="1"/>
  <c r="F30" i="1" a="1"/>
  <c r="F30" i="1" s="1"/>
  <c r="F31" i="1" a="1"/>
  <c r="F31" i="1" s="1"/>
  <c r="F32" i="1" a="1"/>
  <c r="F32" i="1" s="1"/>
  <c r="F33" i="1" a="1"/>
  <c r="F33" i="1" s="1"/>
  <c r="F34" i="1" a="1"/>
  <c r="F34" i="1" s="1"/>
  <c r="F35" i="1" a="1"/>
  <c r="F35" i="1" s="1"/>
  <c r="F36" i="1" a="1"/>
  <c r="F36" i="1" s="1"/>
  <c r="F37" i="1" a="1"/>
  <c r="F37" i="1" s="1"/>
  <c r="F38" i="1" a="1"/>
  <c r="F38" i="1" s="1"/>
  <c r="F39" i="1" a="1"/>
  <c r="F39" i="1" s="1"/>
  <c r="F40" i="1" a="1"/>
  <c r="F40" i="1" s="1"/>
  <c r="F41" i="1" a="1"/>
  <c r="F41" i="1" s="1"/>
  <c r="F42" i="1" a="1"/>
  <c r="F42" i="1" s="1"/>
  <c r="F43" i="1" a="1"/>
  <c r="F43" i="1" s="1"/>
  <c r="F44" i="1" a="1"/>
  <c r="F44" i="1" s="1"/>
  <c r="F45" i="1" a="1"/>
  <c r="F45" i="1" s="1"/>
  <c r="F46" i="1" a="1"/>
  <c r="F46" i="1" s="1"/>
  <c r="F47" i="1" a="1"/>
  <c r="F47" i="1" s="1"/>
  <c r="F48" i="1" a="1"/>
  <c r="F48" i="1" s="1"/>
  <c r="F49" i="1" a="1"/>
  <c r="F49" i="1" s="1"/>
  <c r="F50" i="1" a="1"/>
  <c r="F50" i="1"/>
  <c r="F51" i="1" a="1"/>
  <c r="F51" i="1" s="1"/>
  <c r="F52" i="1" a="1"/>
  <c r="F52" i="1" s="1"/>
  <c r="F53" i="1" a="1"/>
  <c r="F53" i="1" s="1"/>
  <c r="F54" i="1" a="1"/>
  <c r="F54" i="1" s="1"/>
  <c r="F55" i="1" a="1"/>
  <c r="F55" i="1" s="1"/>
  <c r="F56" i="1" a="1"/>
  <c r="F56" i="1" s="1"/>
  <c r="F57" i="1" a="1"/>
  <c r="F57" i="1" s="1"/>
  <c r="F58" i="1" a="1"/>
  <c r="F58" i="1" s="1"/>
  <c r="F59" i="1" a="1"/>
  <c r="F59" i="1" s="1"/>
  <c r="F60" i="1" a="1"/>
  <c r="F60" i="1" s="1"/>
  <c r="F61" i="1" a="1"/>
  <c r="F61" i="1" s="1"/>
  <c r="F62" i="1" a="1"/>
  <c r="F62" i="1" s="1"/>
  <c r="F63" i="1" a="1"/>
  <c r="F63" i="1" s="1"/>
  <c r="F64" i="1" a="1"/>
  <c r="F64" i="1" s="1"/>
  <c r="F65" i="1" a="1"/>
  <c r="F65" i="1" s="1"/>
  <c r="F66" i="1" a="1"/>
  <c r="F66" i="1" s="1"/>
  <c r="F67" i="1" a="1"/>
  <c r="F67" i="1" s="1"/>
  <c r="F68" i="1" a="1"/>
  <c r="F68" i="1" s="1"/>
  <c r="F69" i="1" a="1"/>
  <c r="F69" i="1" s="1"/>
  <c r="F70" i="1" a="1"/>
  <c r="F70" i="1" s="1"/>
  <c r="F71" i="1" a="1"/>
  <c r="F71" i="1" s="1"/>
  <c r="F72" i="1" a="1"/>
  <c r="F72" i="1" s="1"/>
  <c r="F73" i="1" a="1"/>
  <c r="F73" i="1" s="1"/>
  <c r="F74" i="1" a="1"/>
  <c r="F74" i="1" s="1"/>
  <c r="F75" i="1" a="1"/>
  <c r="F75" i="1" s="1"/>
  <c r="F76" i="1" a="1"/>
  <c r="F76" i="1" s="1"/>
  <c r="F77" i="1" a="1"/>
  <c r="F77" i="1" s="1"/>
  <c r="F78" i="1" a="1"/>
  <c r="F78" i="1" s="1"/>
  <c r="F79" i="1" a="1"/>
  <c r="F79" i="1" s="1"/>
  <c r="F80" i="1" a="1"/>
  <c r="F80" i="1" s="1"/>
  <c r="F81" i="1" a="1"/>
  <c r="F81" i="1" s="1"/>
  <c r="F82" i="1" a="1"/>
  <c r="F82" i="1"/>
  <c r="F83" i="1" a="1"/>
  <c r="F83" i="1" s="1"/>
  <c r="F84" i="1" a="1"/>
  <c r="F84" i="1" s="1"/>
  <c r="F85" i="1" a="1"/>
  <c r="F85" i="1" s="1"/>
  <c r="F86" i="1" a="1"/>
  <c r="F86" i="1" s="1"/>
  <c r="F87" i="1" a="1"/>
  <c r="F87" i="1" s="1"/>
  <c r="F88" i="1" a="1"/>
  <c r="F88" i="1" s="1"/>
  <c r="F89" i="1" a="1"/>
  <c r="F89" i="1" s="1"/>
  <c r="F90" i="1" a="1"/>
  <c r="F90" i="1" s="1"/>
  <c r="F91" i="1" a="1"/>
  <c r="F91" i="1" s="1"/>
  <c r="F92" i="1" a="1"/>
  <c r="F92" i="1" s="1"/>
  <c r="F93" i="1" a="1"/>
  <c r="F93" i="1" s="1"/>
  <c r="F94" i="1" a="1"/>
  <c r="F94" i="1" s="1"/>
  <c r="F95" i="1" a="1"/>
  <c r="F95" i="1" s="1"/>
  <c r="F96" i="1" a="1"/>
  <c r="F96" i="1" s="1"/>
  <c r="F97" i="1" a="1"/>
  <c r="F97" i="1" s="1"/>
  <c r="F98" i="1" a="1"/>
  <c r="F98" i="1" s="1"/>
  <c r="F99" i="1" a="1"/>
  <c r="F99" i="1" s="1"/>
  <c r="F100" i="1" a="1"/>
  <c r="F100" i="1" s="1"/>
  <c r="F101" i="1" a="1"/>
  <c r="F101" i="1" s="1"/>
  <c r="F102" i="1" a="1"/>
  <c r="F102" i="1" s="1"/>
  <c r="F103" i="1" a="1"/>
  <c r="F103" i="1" s="1"/>
  <c r="F104" i="1" a="1"/>
  <c r="F104" i="1" s="1"/>
  <c r="F105" i="1" a="1"/>
  <c r="F105" i="1" s="1"/>
  <c r="F106" i="1" a="1"/>
  <c r="F106" i="1" s="1"/>
  <c r="F107" i="1" a="1"/>
  <c r="F107" i="1" s="1"/>
  <c r="F108" i="1" a="1"/>
  <c r="F108" i="1" s="1"/>
  <c r="F109" i="1" a="1"/>
  <c r="F109" i="1" s="1"/>
  <c r="F110" i="1" a="1"/>
  <c r="F110" i="1" s="1"/>
  <c r="F111" i="1" a="1"/>
  <c r="F111" i="1" s="1"/>
  <c r="F112" i="1" a="1"/>
  <c r="F112" i="1" s="1"/>
  <c r="F113" i="1" a="1"/>
  <c r="F113" i="1" s="1"/>
  <c r="F114" i="1" a="1"/>
  <c r="F114" i="1" s="1"/>
  <c r="F115" i="1" a="1"/>
  <c r="F115" i="1" s="1"/>
  <c r="F116" i="1" a="1"/>
  <c r="F116" i="1" s="1"/>
  <c r="F117" i="1" a="1"/>
  <c r="F117" i="1" s="1"/>
  <c r="F118" i="1" a="1"/>
  <c r="F118" i="1" s="1"/>
  <c r="F119" i="1" a="1"/>
  <c r="F119" i="1" s="1"/>
  <c r="F120" i="1" a="1"/>
  <c r="F120" i="1" s="1"/>
  <c r="F121" i="1" a="1"/>
  <c r="F121" i="1" s="1"/>
  <c r="F122" i="1" a="1"/>
  <c r="F122" i="1" s="1"/>
  <c r="F123" i="1" a="1"/>
  <c r="F123" i="1" s="1"/>
  <c r="F124" i="1" a="1"/>
  <c r="F124" i="1" s="1"/>
  <c r="F125" i="1" a="1"/>
  <c r="F125" i="1" s="1"/>
  <c r="F126" i="1" a="1"/>
  <c r="F126" i="1" s="1"/>
  <c r="F127" i="1" a="1"/>
  <c r="F127" i="1" s="1"/>
  <c r="F128" i="1" a="1"/>
  <c r="F128" i="1" s="1"/>
  <c r="F129" i="1" a="1"/>
  <c r="F129" i="1" s="1"/>
  <c r="F130" i="1" a="1"/>
  <c r="F130" i="1" s="1"/>
  <c r="F131" i="1" a="1"/>
  <c r="F131" i="1" s="1"/>
  <c r="F132" i="1" a="1"/>
  <c r="F132" i="1" s="1"/>
  <c r="F133" i="1" a="1"/>
  <c r="F133" i="1" s="1"/>
  <c r="F134" i="1" a="1"/>
  <c r="F134" i="1" s="1"/>
  <c r="F135" i="1" a="1"/>
  <c r="F135" i="1" s="1"/>
  <c r="F136" i="1" a="1"/>
  <c r="F136" i="1" s="1"/>
  <c r="F137" i="1" a="1"/>
  <c r="F137" i="1" s="1"/>
  <c r="F138" i="1" a="1"/>
  <c r="F138" i="1" s="1"/>
  <c r="F139" i="1" a="1"/>
  <c r="F139" i="1" s="1"/>
  <c r="F140" i="1" a="1"/>
  <c r="F140" i="1" s="1"/>
  <c r="F141" i="1" a="1"/>
  <c r="F141" i="1" s="1"/>
  <c r="F142" i="1" a="1"/>
  <c r="F142" i="1" s="1"/>
  <c r="F143" i="1" a="1"/>
  <c r="F143" i="1" s="1"/>
  <c r="F144" i="1" a="1"/>
  <c r="F144" i="1" s="1"/>
  <c r="F145" i="1" a="1"/>
  <c r="F145" i="1" s="1"/>
  <c r="F146" i="1" a="1"/>
  <c r="F146" i="1" s="1"/>
  <c r="F147" i="1" a="1"/>
  <c r="F147" i="1" s="1"/>
  <c r="F148" i="1" a="1"/>
  <c r="F148" i="1" s="1"/>
  <c r="F149" i="1" a="1"/>
  <c r="F149" i="1" s="1"/>
  <c r="F150" i="1" a="1"/>
  <c r="F150" i="1" s="1"/>
  <c r="F151" i="1" a="1"/>
  <c r="F151" i="1" s="1"/>
  <c r="F152" i="1" a="1"/>
  <c r="F152" i="1" s="1"/>
  <c r="F153" i="1" a="1"/>
  <c r="F153" i="1" s="1"/>
  <c r="F154" i="1" a="1"/>
  <c r="F154" i="1" s="1"/>
  <c r="F155" i="1" a="1"/>
  <c r="F155" i="1" s="1"/>
  <c r="F156" i="1" a="1"/>
  <c r="F156" i="1" s="1"/>
  <c r="F157" i="1" a="1"/>
  <c r="F157" i="1" s="1"/>
  <c r="F158" i="1" a="1"/>
  <c r="F158" i="1" s="1"/>
  <c r="F159" i="1" a="1"/>
  <c r="F159" i="1" s="1"/>
  <c r="F160" i="1" a="1"/>
  <c r="F160" i="1" s="1"/>
  <c r="F161" i="1" a="1"/>
  <c r="F161" i="1" s="1"/>
  <c r="F162" i="1" a="1"/>
  <c r="F162" i="1" s="1"/>
  <c r="F163" i="1" a="1"/>
  <c r="F163" i="1" s="1"/>
  <c r="F164" i="1" a="1"/>
  <c r="F164" i="1" s="1"/>
  <c r="F165" i="1" a="1"/>
  <c r="F165" i="1" s="1"/>
  <c r="F166" i="1" a="1"/>
  <c r="F166" i="1" s="1"/>
  <c r="F167" i="1" a="1"/>
  <c r="F167" i="1" s="1"/>
  <c r="F168" i="1" a="1"/>
  <c r="F168" i="1" s="1"/>
  <c r="F169" i="1" a="1"/>
  <c r="F169" i="1" s="1"/>
  <c r="F170" i="1" a="1"/>
  <c r="F170" i="1"/>
  <c r="F171" i="1" a="1"/>
  <c r="F171" i="1" s="1"/>
  <c r="F172" i="1" a="1"/>
  <c r="F172" i="1" s="1"/>
  <c r="F173" i="1" a="1"/>
  <c r="F173" i="1" s="1"/>
  <c r="F174" i="1" a="1"/>
  <c r="F174" i="1"/>
  <c r="F175" i="1" a="1"/>
  <c r="F175" i="1" s="1"/>
  <c r="F176" i="1" a="1"/>
  <c r="F176" i="1" s="1"/>
  <c r="F177" i="1" a="1"/>
  <c r="F177" i="1" s="1"/>
  <c r="F178" i="1" a="1"/>
  <c r="F178" i="1" s="1"/>
  <c r="F179" i="1" a="1"/>
  <c r="F179" i="1" s="1"/>
  <c r="F180" i="1" a="1"/>
  <c r="F180" i="1" s="1"/>
  <c r="F181" i="1" a="1"/>
  <c r="F181" i="1" s="1"/>
  <c r="F182" i="1" a="1"/>
  <c r="F182" i="1" s="1"/>
  <c r="F183" i="1" a="1"/>
  <c r="F183" i="1" s="1"/>
  <c r="F184" i="1" a="1"/>
  <c r="F184" i="1" s="1"/>
  <c r="F185" i="1" a="1"/>
  <c r="F185" i="1" s="1"/>
  <c r="F186" i="1" a="1"/>
  <c r="F186" i="1" s="1"/>
  <c r="F187" i="1" a="1"/>
  <c r="F187" i="1" s="1"/>
  <c r="F188" i="1" a="1"/>
  <c r="F188" i="1" s="1"/>
  <c r="F189" i="1" a="1"/>
  <c r="F189" i="1" s="1"/>
  <c r="F190" i="1" a="1"/>
  <c r="F190" i="1" s="1"/>
  <c r="F191" i="1" a="1"/>
  <c r="F191" i="1" s="1"/>
  <c r="F192" i="1" a="1"/>
  <c r="F192" i="1" s="1"/>
  <c r="F193" i="1" a="1"/>
  <c r="F193" i="1" s="1"/>
  <c r="F194" i="1" a="1"/>
  <c r="F194" i="1" s="1"/>
  <c r="F195" i="1" a="1"/>
  <c r="F195" i="1" s="1"/>
  <c r="F196" i="1" a="1"/>
  <c r="F196" i="1" s="1"/>
  <c r="F197" i="1" a="1"/>
  <c r="F197" i="1" s="1"/>
  <c r="F198" i="1" a="1"/>
  <c r="F198" i="1" s="1"/>
  <c r="F199" i="1" a="1"/>
  <c r="F199" i="1" s="1"/>
  <c r="F200" i="1" a="1"/>
  <c r="F200" i="1" s="1"/>
  <c r="F201" i="1" a="1"/>
  <c r="F201" i="1" s="1"/>
  <c r="F202" i="1" a="1"/>
  <c r="F202" i="1" s="1"/>
  <c r="F203" i="1" a="1"/>
  <c r="F203" i="1" s="1"/>
  <c r="F204" i="1" a="1"/>
  <c r="F204" i="1" s="1"/>
  <c r="F205" i="1" a="1"/>
  <c r="F205" i="1" s="1"/>
  <c r="F206" i="1" a="1"/>
  <c r="F206" i="1" s="1"/>
  <c r="F207" i="1" a="1"/>
  <c r="F207" i="1" s="1"/>
  <c r="F208" i="1" a="1"/>
  <c r="F208" i="1" s="1"/>
  <c r="F209" i="1" a="1"/>
  <c r="F209" i="1" s="1"/>
  <c r="F210" i="1" a="1"/>
  <c r="F210" i="1" s="1"/>
  <c r="F211" i="1" a="1"/>
  <c r="F211" i="1" s="1"/>
  <c r="F212" i="1" a="1"/>
  <c r="F212" i="1" s="1"/>
  <c r="F213" i="1" a="1"/>
  <c r="F213" i="1" s="1"/>
  <c r="F214" i="1" a="1"/>
  <c r="F214" i="1" s="1"/>
  <c r="F215" i="1" a="1"/>
  <c r="F215" i="1" s="1"/>
  <c r="F216" i="1" a="1"/>
  <c r="F216" i="1" s="1"/>
  <c r="F217" i="1" a="1"/>
  <c r="F217" i="1" s="1"/>
  <c r="F218" i="1" a="1"/>
  <c r="F218" i="1" s="1"/>
  <c r="F219" i="1" a="1"/>
  <c r="F219" i="1" s="1"/>
  <c r="F220" i="1" a="1"/>
  <c r="F220" i="1" s="1"/>
  <c r="F221" i="1" a="1"/>
  <c r="F221" i="1" s="1"/>
  <c r="F222" i="1" a="1"/>
  <c r="F222" i="1" s="1"/>
  <c r="F223" i="1" a="1"/>
  <c r="F223" i="1" s="1"/>
  <c r="F224" i="1" a="1"/>
  <c r="F224" i="1" s="1"/>
  <c r="F225" i="1" a="1"/>
  <c r="F225" i="1" s="1"/>
  <c r="F226" i="1" a="1"/>
  <c r="F226" i="1" s="1"/>
  <c r="F227" i="1" a="1"/>
  <c r="F227" i="1" s="1"/>
  <c r="F228" i="1" a="1"/>
  <c r="F228" i="1" s="1"/>
  <c r="F229" i="1" a="1"/>
  <c r="F229" i="1" s="1"/>
  <c r="F230" i="1" a="1"/>
  <c r="F230" i="1" s="1"/>
  <c r="F231" i="1" a="1"/>
  <c r="F231" i="1" s="1"/>
  <c r="F232" i="1" a="1"/>
  <c r="F232" i="1" s="1"/>
  <c r="F233" i="1" a="1"/>
  <c r="F233" i="1" s="1"/>
  <c r="F234" i="1" a="1"/>
  <c r="F234" i="1"/>
  <c r="F235" i="1" a="1"/>
  <c r="F235" i="1" s="1"/>
  <c r="F236" i="1" a="1"/>
  <c r="F236" i="1" s="1"/>
  <c r="F237" i="1" a="1"/>
  <c r="F237" i="1" s="1"/>
  <c r="F238" i="1" a="1"/>
  <c r="F238" i="1"/>
  <c r="F239" i="1" a="1"/>
  <c r="F239" i="1" s="1"/>
  <c r="F240" i="1" a="1"/>
  <c r="F240" i="1" s="1"/>
  <c r="F241" i="1" a="1"/>
  <c r="F241" i="1" s="1"/>
  <c r="F242" i="1" a="1"/>
  <c r="F242" i="1" s="1"/>
  <c r="F243" i="1" a="1"/>
  <c r="F243" i="1" s="1"/>
  <c r="F244" i="1" a="1"/>
  <c r="F244" i="1" s="1"/>
  <c r="F245" i="1" a="1"/>
  <c r="F245" i="1" s="1"/>
  <c r="F246" i="1" a="1"/>
  <c r="F246" i="1" s="1"/>
  <c r="F247" i="1" a="1"/>
  <c r="F247" i="1" s="1"/>
  <c r="F248" i="1" a="1"/>
  <c r="F248" i="1" s="1"/>
  <c r="F249" i="1" a="1"/>
  <c r="F249" i="1" s="1"/>
  <c r="F250" i="1" a="1"/>
  <c r="F250" i="1" s="1"/>
  <c r="F251" i="1" a="1"/>
  <c r="F251" i="1" s="1"/>
  <c r="F252" i="1" a="1"/>
  <c r="F252" i="1" s="1"/>
  <c r="F253" i="1" a="1"/>
  <c r="F253" i="1" s="1"/>
  <c r="F254" i="1" a="1"/>
  <c r="F254" i="1" s="1"/>
  <c r="F255" i="1" a="1"/>
  <c r="F255" i="1" s="1"/>
  <c r="F256" i="1" a="1"/>
  <c r="F256" i="1" s="1"/>
  <c r="F257" i="1" a="1"/>
  <c r="F257" i="1" s="1"/>
  <c r="F258" i="1" a="1"/>
  <c r="F258" i="1" s="1"/>
  <c r="F259" i="1" a="1"/>
  <c r="F259" i="1" s="1"/>
  <c r="F260" i="1" a="1"/>
  <c r="F260" i="1" s="1"/>
  <c r="F261" i="1" a="1"/>
  <c r="F261" i="1" s="1"/>
  <c r="F262" i="1" a="1"/>
  <c r="F262" i="1" s="1"/>
  <c r="F263" i="1" a="1"/>
  <c r="F263" i="1" s="1"/>
  <c r="F264" i="1" a="1"/>
  <c r="F264" i="1" s="1"/>
  <c r="F265" i="1" a="1"/>
  <c r="F265" i="1" s="1"/>
  <c r="F266" i="1" a="1"/>
  <c r="F266" i="1"/>
  <c r="F267" i="1" a="1"/>
  <c r="F267" i="1" s="1"/>
  <c r="F268" i="1" a="1"/>
  <c r="F268" i="1" s="1"/>
  <c r="F269" i="1" a="1"/>
  <c r="F269" i="1" s="1"/>
  <c r="F270" i="1" a="1"/>
  <c r="F270" i="1"/>
  <c r="F271" i="1" a="1"/>
  <c r="F271" i="1" s="1"/>
  <c r="F272" i="1" a="1"/>
  <c r="F272" i="1" s="1"/>
  <c r="F273" i="1" a="1"/>
  <c r="F273" i="1" s="1"/>
  <c r="F274" i="1" a="1"/>
  <c r="F274" i="1" s="1"/>
  <c r="F275" i="1" a="1"/>
  <c r="F275" i="1" s="1"/>
  <c r="F276" i="1" a="1"/>
  <c r="F276" i="1" s="1"/>
  <c r="F277" i="1" a="1"/>
  <c r="F277" i="1" s="1"/>
  <c r="F278" i="1" a="1"/>
  <c r="F278" i="1" s="1"/>
  <c r="F279" i="1" a="1"/>
  <c r="F279" i="1" s="1"/>
  <c r="F280" i="1" a="1"/>
  <c r="F280" i="1" s="1"/>
  <c r="F281" i="1" a="1"/>
  <c r="F281" i="1" s="1"/>
  <c r="F282" i="1" a="1"/>
  <c r="F282" i="1" s="1"/>
  <c r="F283" i="1" a="1"/>
  <c r="F283" i="1" s="1"/>
  <c r="F284" i="1" a="1"/>
  <c r="F284" i="1" s="1"/>
  <c r="F285" i="1" a="1"/>
  <c r="F285" i="1" s="1"/>
  <c r="F286" i="1" a="1"/>
  <c r="F286" i="1" s="1"/>
  <c r="F287" i="1" a="1"/>
  <c r="F287" i="1" s="1"/>
  <c r="F288" i="1" a="1"/>
  <c r="F288" i="1" s="1"/>
  <c r="F289" i="1" a="1"/>
  <c r="F289" i="1" s="1"/>
  <c r="F290" i="1" a="1"/>
  <c r="F290" i="1" s="1"/>
  <c r="F291" i="1" a="1"/>
  <c r="F291" i="1" s="1"/>
  <c r="F292" i="1" a="1"/>
  <c r="F292" i="1" s="1"/>
  <c r="F293" i="1" a="1"/>
  <c r="F293" i="1" s="1"/>
  <c r="F294" i="1" a="1"/>
  <c r="F294" i="1" s="1"/>
  <c r="F295" i="1" a="1"/>
  <c r="F295" i="1" s="1"/>
  <c r="F296" i="1" a="1"/>
  <c r="F296" i="1" s="1"/>
  <c r="F297" i="1" a="1"/>
  <c r="F297" i="1" s="1"/>
  <c r="F298" i="1" a="1"/>
  <c r="F298" i="1"/>
  <c r="F299" i="1" a="1"/>
  <c r="F299" i="1" s="1"/>
  <c r="F300" i="1" a="1"/>
  <c r="F300" i="1" s="1"/>
  <c r="F301" i="1" a="1"/>
  <c r="F301" i="1" s="1"/>
  <c r="F302" i="1" a="1"/>
  <c r="F302" i="1" s="1"/>
  <c r="F303" i="1" a="1"/>
  <c r="F303" i="1" s="1"/>
  <c r="F304" i="1" a="1"/>
  <c r="F304" i="1" s="1"/>
  <c r="F305" i="1" a="1"/>
  <c r="F305" i="1" s="1"/>
  <c r="F306" i="1" a="1"/>
  <c r="F306" i="1" s="1"/>
  <c r="F307" i="1" a="1"/>
  <c r="F307" i="1" s="1"/>
  <c r="F308" i="1" a="1"/>
  <c r="F308" i="1" s="1"/>
  <c r="F309" i="1" a="1"/>
  <c r="F309" i="1" s="1"/>
  <c r="F310" i="1" a="1"/>
  <c r="F310" i="1" s="1"/>
  <c r="F311" i="1" a="1"/>
  <c r="F311" i="1" s="1"/>
  <c r="F312" i="1" a="1"/>
  <c r="F312" i="1" s="1"/>
  <c r="F313" i="1" a="1"/>
  <c r="F313" i="1" s="1"/>
  <c r="F314" i="1" a="1"/>
  <c r="F314" i="1" s="1"/>
  <c r="F315" i="1" a="1"/>
  <c r="F315" i="1" s="1"/>
  <c r="F316" i="1" a="1"/>
  <c r="F316" i="1" s="1"/>
  <c r="F317" i="1" a="1"/>
  <c r="F317" i="1" s="1"/>
  <c r="F318" i="1" a="1"/>
  <c r="F318" i="1" s="1"/>
  <c r="F319" i="1" a="1"/>
  <c r="F319" i="1" s="1"/>
  <c r="F320" i="1" a="1"/>
  <c r="F320" i="1" s="1"/>
  <c r="F321" i="1" a="1"/>
  <c r="F321" i="1" s="1"/>
  <c r="F322" i="1" a="1"/>
  <c r="F322" i="1" s="1"/>
  <c r="F323" i="1" a="1"/>
  <c r="F323" i="1" s="1"/>
  <c r="F324" i="1" a="1"/>
  <c r="F324" i="1" s="1"/>
  <c r="F325" i="1" a="1"/>
  <c r="F325" i="1" s="1"/>
  <c r="F326" i="1" a="1"/>
  <c r="F326" i="1" s="1"/>
  <c r="F327" i="1" a="1"/>
  <c r="F327" i="1" s="1"/>
  <c r="F328" i="1" a="1"/>
  <c r="F328" i="1" s="1"/>
  <c r="F329" i="1" a="1"/>
  <c r="F329" i="1" s="1"/>
  <c r="F330" i="1" a="1"/>
  <c r="F330" i="1" s="1"/>
  <c r="F331" i="1" a="1"/>
  <c r="F331" i="1" s="1"/>
  <c r="F332" i="1" a="1"/>
  <c r="F332" i="1" s="1"/>
  <c r="F333" i="1" a="1"/>
  <c r="F333" i="1" s="1"/>
  <c r="F334" i="1" a="1"/>
  <c r="F334" i="1" s="1"/>
  <c r="F335" i="1" a="1"/>
  <c r="F335" i="1" s="1"/>
  <c r="F336" i="1" a="1"/>
  <c r="F336" i="1" s="1"/>
  <c r="F337" i="1" a="1"/>
  <c r="F337" i="1" s="1"/>
  <c r="F338" i="1" a="1"/>
  <c r="F338" i="1" s="1"/>
  <c r="F339" i="1" a="1"/>
  <c r="F339" i="1" s="1"/>
  <c r="F340" i="1" a="1"/>
  <c r="F340" i="1" s="1"/>
  <c r="F341" i="1" a="1"/>
  <c r="F341" i="1" s="1"/>
  <c r="F342" i="1" a="1"/>
  <c r="F342" i="1" s="1"/>
  <c r="F343" i="1" a="1"/>
  <c r="F343" i="1" s="1"/>
  <c r="F344" i="1" a="1"/>
  <c r="F344" i="1" s="1"/>
  <c r="F345" i="1" a="1"/>
  <c r="F345" i="1"/>
  <c r="F346" i="1" a="1"/>
  <c r="F346" i="1" s="1"/>
  <c r="F347" i="1" a="1"/>
  <c r="F347" i="1" s="1"/>
  <c r="F348" i="1" a="1"/>
  <c r="F348" i="1" s="1"/>
  <c r="F349" i="1" a="1"/>
  <c r="F349" i="1" s="1"/>
  <c r="F350" i="1" a="1"/>
  <c r="F350" i="1" s="1"/>
  <c r="F351" i="1" a="1"/>
  <c r="F351" i="1" s="1"/>
  <c r="F352" i="1" a="1"/>
  <c r="F352" i="1" s="1"/>
  <c r="F353" i="1" a="1"/>
  <c r="F353" i="1" s="1"/>
  <c r="F354" i="1" a="1"/>
  <c r="F354" i="1" s="1"/>
  <c r="F355" i="1" a="1"/>
  <c r="F355" i="1" s="1"/>
  <c r="F356" i="1" a="1"/>
  <c r="F356" i="1" s="1"/>
  <c r="F357" i="1" a="1"/>
  <c r="F357" i="1" s="1"/>
  <c r="F358" i="1" a="1"/>
  <c r="F358" i="1" s="1"/>
  <c r="F359" i="1" a="1"/>
  <c r="F359" i="1" s="1"/>
  <c r="F360" i="1" a="1"/>
  <c r="F360" i="1" s="1"/>
  <c r="F361" i="1" a="1"/>
  <c r="F361" i="1" s="1"/>
  <c r="F362" i="1" a="1"/>
  <c r="F362" i="1" s="1"/>
  <c r="F363" i="1" a="1"/>
  <c r="F363" i="1" s="1"/>
  <c r="F364" i="1" a="1"/>
  <c r="F364" i="1" s="1"/>
  <c r="F365" i="1" a="1"/>
  <c r="F365" i="1" s="1"/>
  <c r="F366" i="1" a="1"/>
  <c r="F366" i="1" s="1"/>
  <c r="F367" i="1" a="1"/>
  <c r="F367" i="1" s="1"/>
  <c r="F368" i="1" a="1"/>
  <c r="F368" i="1" s="1"/>
  <c r="F369" i="1" a="1"/>
  <c r="F369" i="1" s="1"/>
  <c r="F370" i="1" a="1"/>
  <c r="F370" i="1" s="1"/>
  <c r="F371" i="1" a="1"/>
  <c r="F371" i="1" s="1"/>
  <c r="F372" i="1" a="1"/>
  <c r="F372" i="1" s="1"/>
  <c r="F373" i="1" a="1"/>
  <c r="F373" i="1"/>
  <c r="F374" i="1" a="1"/>
  <c r="F374" i="1" s="1"/>
  <c r="F375" i="1" a="1"/>
  <c r="F375" i="1" s="1"/>
  <c r="F376" i="1" a="1"/>
  <c r="F376" i="1" s="1"/>
  <c r="F377" i="1" a="1"/>
  <c r="F377" i="1" s="1"/>
  <c r="F378" i="1" a="1"/>
  <c r="F378" i="1" s="1"/>
  <c r="F379" i="1" a="1"/>
  <c r="F379" i="1" s="1"/>
  <c r="F380" i="1" a="1"/>
  <c r="F380" i="1" s="1"/>
  <c r="F381" i="1" a="1"/>
  <c r="F381" i="1" s="1"/>
  <c r="F382" i="1" a="1"/>
  <c r="F382" i="1" s="1"/>
  <c r="F383" i="1" a="1"/>
  <c r="F383" i="1" s="1"/>
  <c r="F384" i="1" a="1"/>
  <c r="F384" i="1" s="1"/>
  <c r="F385" i="1" a="1"/>
  <c r="F385" i="1" s="1"/>
  <c r="F386" i="1" a="1"/>
  <c r="F386" i="1" s="1"/>
  <c r="F387" i="1" a="1"/>
  <c r="F387" i="1" s="1"/>
  <c r="F388" i="1" a="1"/>
  <c r="F388" i="1" s="1"/>
  <c r="F389" i="1" a="1"/>
  <c r="F389" i="1" s="1"/>
  <c r="F390" i="1" a="1"/>
  <c r="F390" i="1" s="1"/>
  <c r="F391" i="1" a="1"/>
  <c r="F391" i="1" s="1"/>
  <c r="F392" i="1" a="1"/>
  <c r="F392" i="1" s="1"/>
  <c r="F393" i="1" a="1"/>
  <c r="F393" i="1"/>
  <c r="F394" i="1" a="1"/>
  <c r="F394" i="1" s="1"/>
  <c r="F395" i="1" a="1"/>
  <c r="F395" i="1" s="1"/>
  <c r="F396" i="1" a="1"/>
  <c r="F396" i="1" s="1"/>
  <c r="F397" i="1" a="1"/>
  <c r="F397" i="1" s="1"/>
  <c r="F398" i="1" a="1"/>
  <c r="F398" i="1" s="1"/>
  <c r="F399" i="1" a="1"/>
  <c r="F399" i="1"/>
  <c r="F400" i="1" a="1"/>
  <c r="F400" i="1" s="1"/>
  <c r="F401" i="1" a="1"/>
  <c r="F401" i="1"/>
  <c r="F402" i="1" a="1"/>
  <c r="F402" i="1" s="1"/>
  <c r="F403" i="1" a="1"/>
  <c r="F403" i="1" s="1"/>
  <c r="F404" i="1" a="1"/>
  <c r="F404" i="1" s="1"/>
  <c r="F405" i="1" a="1"/>
  <c r="F405" i="1"/>
  <c r="F406" i="1" a="1"/>
  <c r="F406" i="1" s="1"/>
  <c r="F407" i="1" a="1"/>
  <c r="F407" i="1"/>
  <c r="F408" i="1" a="1"/>
  <c r="F408" i="1"/>
  <c r="F409" i="1" a="1"/>
  <c r="F409" i="1" s="1"/>
  <c r="F410" i="1" a="1"/>
  <c r="F410" i="1" s="1"/>
  <c r="F411" i="1" a="1"/>
  <c r="F411" i="1" s="1"/>
  <c r="F412" i="1" a="1"/>
  <c r="F412" i="1" s="1"/>
  <c r="F413" i="1" a="1"/>
  <c r="F413" i="1" s="1"/>
  <c r="F414" i="1" a="1"/>
  <c r="F414" i="1" s="1"/>
  <c r="F415" i="1" a="1"/>
  <c r="F415" i="1" s="1"/>
  <c r="F416" i="1" a="1"/>
  <c r="F416" i="1" s="1"/>
  <c r="F417" i="1" a="1"/>
  <c r="F417" i="1" s="1"/>
  <c r="F418" i="1" a="1"/>
  <c r="F418" i="1" s="1"/>
  <c r="F419" i="1" a="1"/>
  <c r="F419" i="1"/>
  <c r="F420" i="1" a="1"/>
  <c r="F420" i="1" s="1"/>
  <c r="F421" i="1" a="1"/>
  <c r="F421" i="1" s="1"/>
  <c r="F422" i="1" a="1"/>
  <c r="F422" i="1" s="1"/>
  <c r="F423" i="1" a="1"/>
  <c r="F423" i="1" s="1"/>
  <c r="F424" i="1" a="1"/>
  <c r="F424" i="1" s="1"/>
  <c r="F425" i="1" a="1"/>
  <c r="F425" i="1" s="1"/>
  <c r="F426" i="1" a="1"/>
  <c r="F426" i="1" s="1"/>
  <c r="F427" i="1" a="1"/>
  <c r="F427" i="1" s="1"/>
  <c r="F428" i="1" a="1"/>
  <c r="F428" i="1" s="1"/>
  <c r="F429" i="1" a="1"/>
  <c r="F429" i="1" s="1"/>
  <c r="F430" i="1" a="1"/>
  <c r="F430" i="1" s="1"/>
  <c r="F431" i="1" a="1"/>
  <c r="F431" i="1" s="1"/>
  <c r="F432" i="1" a="1"/>
  <c r="F432" i="1"/>
  <c r="F433" i="1" a="1"/>
  <c r="F433" i="1" s="1"/>
  <c r="F434" i="1" a="1"/>
  <c r="F434" i="1" s="1"/>
  <c r="F435" i="1" a="1"/>
  <c r="F435" i="1" s="1"/>
  <c r="F436" i="1" a="1"/>
  <c r="F436" i="1" s="1"/>
  <c r="F437" i="1" a="1"/>
  <c r="F437" i="1" s="1"/>
  <c r="F438" i="1" a="1"/>
  <c r="F438" i="1" s="1"/>
  <c r="F439" i="1" a="1"/>
  <c r="F439" i="1" s="1"/>
  <c r="F440" i="1" a="1"/>
  <c r="F440" i="1" s="1"/>
  <c r="F441" i="1" a="1"/>
  <c r="F441" i="1"/>
  <c r="F442" i="1" a="1"/>
  <c r="F442" i="1" s="1"/>
  <c r="F443" i="1" a="1"/>
  <c r="F443" i="1" s="1"/>
  <c r="F444" i="1" a="1"/>
  <c r="F444" i="1" s="1"/>
  <c r="F445" i="1" a="1"/>
  <c r="F445" i="1" s="1"/>
  <c r="F446" i="1" a="1"/>
  <c r="F446" i="1" s="1"/>
  <c r="F447" i="1" a="1"/>
  <c r="F447" i="1" s="1"/>
  <c r="F448" i="1" a="1"/>
  <c r="F448" i="1"/>
  <c r="F449" i="1" a="1"/>
  <c r="F449" i="1"/>
  <c r="F450" i="1" a="1"/>
  <c r="F450" i="1" s="1"/>
  <c r="F451" i="1" a="1"/>
  <c r="F451" i="1" s="1"/>
  <c r="F452" i="1" a="1"/>
  <c r="F452" i="1" s="1"/>
  <c r="F453" i="1" a="1"/>
  <c r="F453" i="1" s="1"/>
  <c r="F454" i="1" a="1"/>
  <c r="F454" i="1" s="1"/>
  <c r="F455" i="1" a="1"/>
  <c r="F455" i="1" s="1"/>
  <c r="F456" i="1" a="1"/>
  <c r="F456" i="1" s="1"/>
  <c r="F457" i="1" a="1"/>
  <c r="F457" i="1" s="1"/>
  <c r="F458" i="1" a="1"/>
  <c r="F458" i="1" s="1"/>
  <c r="F459" i="1" a="1"/>
  <c r="F459" i="1" s="1"/>
  <c r="F460" i="1" a="1"/>
  <c r="F460" i="1"/>
  <c r="F461" i="1" a="1"/>
  <c r="F461" i="1" s="1"/>
  <c r="F462" i="1" a="1"/>
  <c r="F462" i="1" s="1"/>
  <c r="F463" i="1" a="1"/>
  <c r="F463" i="1" s="1"/>
  <c r="F464" i="1" a="1"/>
  <c r="F464" i="1" s="1"/>
  <c r="F465" i="1" a="1"/>
  <c r="F465" i="1" s="1"/>
  <c r="F466" i="1" a="1"/>
  <c r="F466" i="1" s="1"/>
  <c r="F467" i="1" a="1"/>
  <c r="F467" i="1" s="1"/>
  <c r="F468" i="1" a="1"/>
  <c r="F468" i="1" s="1"/>
  <c r="F469" i="1" a="1"/>
  <c r="F469" i="1" s="1"/>
  <c r="F470" i="1" a="1"/>
  <c r="F470" i="1" s="1"/>
  <c r="F471" i="1" a="1"/>
  <c r="F471" i="1" s="1"/>
  <c r="F472" i="1" a="1"/>
  <c r="F472" i="1" s="1"/>
  <c r="F473" i="1" a="1"/>
  <c r="F473" i="1"/>
  <c r="F474" i="1" a="1"/>
  <c r="F474" i="1" s="1"/>
  <c r="F475" i="1" a="1"/>
  <c r="F475" i="1" s="1"/>
  <c r="F476" i="1" a="1"/>
  <c r="F476" i="1" s="1"/>
  <c r="F477" i="1" a="1"/>
  <c r="F477" i="1" s="1"/>
  <c r="F478" i="1" a="1"/>
  <c r="F478" i="1" s="1"/>
  <c r="F479" i="1" a="1"/>
  <c r="F479" i="1" s="1"/>
  <c r="F480" i="1" a="1"/>
  <c r="F480" i="1"/>
  <c r="F481" i="1" a="1"/>
  <c r="F481" i="1"/>
  <c r="F482" i="1" a="1"/>
  <c r="F482" i="1" s="1"/>
  <c r="F483" i="1" a="1"/>
  <c r="F483" i="1"/>
  <c r="F484" i="1" a="1"/>
  <c r="F484" i="1" s="1"/>
  <c r="F485" i="1" a="1"/>
  <c r="F485" i="1" s="1"/>
  <c r="F486" i="1" a="1"/>
  <c r="F486" i="1" s="1"/>
  <c r="F487" i="1" a="1"/>
  <c r="F487" i="1"/>
  <c r="F488" i="1" a="1"/>
  <c r="F488" i="1" s="1"/>
  <c r="F489" i="1" a="1"/>
  <c r="F489" i="1"/>
  <c r="F490" i="1" a="1"/>
  <c r="F490" i="1" s="1"/>
  <c r="F491" i="1" a="1"/>
  <c r="F491" i="1" s="1"/>
  <c r="F492" i="1" a="1"/>
  <c r="F492" i="1" s="1"/>
  <c r="F493" i="1" a="1"/>
  <c r="F493" i="1" s="1"/>
  <c r="F494" i="1" a="1"/>
  <c r="F494" i="1" s="1"/>
  <c r="F495" i="1" a="1"/>
  <c r="F495" i="1" s="1"/>
  <c r="F496" i="1" a="1"/>
  <c r="F496" i="1" s="1"/>
  <c r="F497" i="1" a="1"/>
  <c r="F497" i="1" s="1"/>
  <c r="F498" i="1" a="1"/>
  <c r="F498" i="1" s="1"/>
  <c r="F499" i="1" a="1"/>
  <c r="F499" i="1" s="1"/>
  <c r="F500" i="1" a="1"/>
  <c r="F500" i="1" s="1"/>
  <c r="F501" i="1" a="1"/>
  <c r="F501" i="1" s="1"/>
  <c r="F502" i="1" a="1"/>
  <c r="F502" i="1" s="1"/>
  <c r="F503" i="1" a="1"/>
  <c r="F503" i="1" s="1"/>
  <c r="F504" i="1" a="1"/>
  <c r="F504" i="1"/>
  <c r="F505" i="1" a="1"/>
  <c r="F505" i="1" s="1"/>
  <c r="F506" i="1" a="1"/>
  <c r="F506" i="1" s="1"/>
  <c r="F507" i="1" a="1"/>
  <c r="F507" i="1" s="1"/>
  <c r="F508" i="1" a="1"/>
  <c r="F508" i="1" s="1"/>
  <c r="F509" i="1" a="1"/>
  <c r="F509" i="1" s="1"/>
  <c r="F510" i="1" a="1"/>
  <c r="F510" i="1" s="1"/>
  <c r="F511" i="1" a="1"/>
  <c r="F511" i="1" s="1"/>
  <c r="F512" i="1" a="1"/>
  <c r="F512" i="1" s="1"/>
  <c r="F513" i="1" a="1"/>
  <c r="F513" i="1" s="1"/>
  <c r="F514" i="1" a="1"/>
  <c r="F514" i="1" s="1"/>
  <c r="F515" i="1" a="1"/>
  <c r="F515" i="1"/>
  <c r="F516" i="1" a="1"/>
  <c r="F516" i="1" s="1"/>
  <c r="F517" i="1" a="1"/>
  <c r="F517" i="1" s="1"/>
  <c r="F518" i="1" a="1"/>
  <c r="F518" i="1" s="1"/>
  <c r="F519" i="1" a="1"/>
  <c r="F519" i="1" s="1"/>
  <c r="F520" i="1" a="1"/>
  <c r="F520" i="1" s="1"/>
  <c r="F521" i="1" a="1"/>
  <c r="F521" i="1" s="1"/>
  <c r="F522" i="1" a="1"/>
  <c r="F522" i="1" s="1"/>
  <c r="F523" i="1" a="1"/>
  <c r="F523" i="1" s="1"/>
  <c r="F524" i="1" a="1"/>
  <c r="F524" i="1" s="1"/>
  <c r="F525" i="1" a="1"/>
  <c r="F525" i="1" s="1"/>
  <c r="F526" i="1" a="1"/>
  <c r="F526" i="1" s="1"/>
  <c r="F527" i="1" a="1"/>
  <c r="F527" i="1" s="1"/>
  <c r="F528" i="1" a="1"/>
  <c r="F528" i="1" s="1"/>
  <c r="F529" i="1" a="1"/>
  <c r="F529" i="1" s="1"/>
  <c r="F530" i="1" a="1"/>
  <c r="F530" i="1" s="1"/>
  <c r="F531" i="1" a="1"/>
  <c r="F531" i="1" s="1"/>
  <c r="F532" i="1" a="1"/>
  <c r="F532" i="1" s="1"/>
  <c r="F533" i="1" a="1"/>
  <c r="F533" i="1" s="1"/>
  <c r="F534" i="1" a="1"/>
  <c r="F534" i="1" s="1"/>
  <c r="F535" i="1" a="1"/>
  <c r="F535" i="1" s="1"/>
  <c r="F536" i="1" a="1"/>
  <c r="F536" i="1" s="1"/>
  <c r="F537" i="1" a="1"/>
  <c r="F537" i="1" s="1"/>
  <c r="F538" i="1" a="1"/>
  <c r="F538" i="1" s="1"/>
  <c r="F539" i="1" a="1"/>
  <c r="F539" i="1" s="1"/>
  <c r="F540" i="1" a="1"/>
  <c r="F540" i="1" s="1"/>
  <c r="F541" i="1" a="1"/>
  <c r="F541" i="1" s="1"/>
  <c r="F542" i="1" a="1"/>
  <c r="F542" i="1" s="1"/>
  <c r="F543" i="1" a="1"/>
  <c r="F543" i="1" s="1"/>
  <c r="F544" i="1" a="1"/>
  <c r="F544" i="1" s="1"/>
  <c r="F545" i="1" a="1"/>
  <c r="F545" i="1"/>
  <c r="F546" i="1" a="1"/>
  <c r="F546" i="1" s="1"/>
  <c r="F547" i="1" a="1"/>
  <c r="F547" i="1" s="1"/>
  <c r="F548" i="1" a="1"/>
  <c r="F548" i="1" s="1"/>
  <c r="F549" i="1" a="1"/>
  <c r="F549" i="1" s="1"/>
  <c r="F550" i="1" a="1"/>
  <c r="F550" i="1" s="1"/>
  <c r="F551" i="1" a="1"/>
  <c r="F551" i="1" s="1"/>
  <c r="F552" i="1" a="1"/>
  <c r="F552" i="1" s="1"/>
  <c r="F553" i="1" a="1"/>
  <c r="F553" i="1" s="1"/>
  <c r="F554" i="1" a="1"/>
  <c r="F554" i="1" s="1"/>
  <c r="F555" i="1" a="1"/>
  <c r="F555" i="1" s="1"/>
  <c r="F556" i="1" a="1"/>
  <c r="F556" i="1" s="1"/>
  <c r="F557" i="1" a="1"/>
  <c r="F557" i="1" s="1"/>
  <c r="F558" i="1" a="1"/>
  <c r="F558" i="1" s="1"/>
  <c r="F559" i="1" a="1"/>
  <c r="F559" i="1" s="1"/>
  <c r="F560" i="1" a="1"/>
  <c r="F560" i="1" s="1"/>
  <c r="F561" i="1" a="1"/>
  <c r="F561" i="1" s="1"/>
  <c r="F562" i="1" a="1"/>
  <c r="F562" i="1" s="1"/>
  <c r="F563" i="1" a="1"/>
  <c r="F563" i="1" s="1"/>
  <c r="F564" i="1" a="1"/>
  <c r="F564" i="1" s="1"/>
  <c r="F565" i="1" a="1"/>
  <c r="F565" i="1"/>
  <c r="F566" i="1" a="1"/>
  <c r="F566" i="1" s="1"/>
  <c r="F567" i="1" a="1"/>
  <c r="F567" i="1" s="1"/>
  <c r="F568" i="1" a="1"/>
  <c r="F568" i="1" s="1"/>
  <c r="F569" i="1" a="1"/>
  <c r="F569" i="1" s="1"/>
  <c r="F570" i="1" a="1"/>
  <c r="F570" i="1" s="1"/>
  <c r="F571" i="1" a="1"/>
  <c r="F571" i="1" s="1"/>
  <c r="F572" i="1" a="1"/>
  <c r="F572" i="1" s="1"/>
  <c r="F573" i="1" a="1"/>
  <c r="F573" i="1" s="1"/>
  <c r="F574" i="1" a="1"/>
  <c r="F574" i="1" s="1"/>
  <c r="F575" i="1" a="1"/>
  <c r="F575" i="1" s="1"/>
  <c r="F576" i="1" a="1"/>
  <c r="F576" i="1"/>
  <c r="F577" i="1" a="1"/>
  <c r="F577" i="1" s="1"/>
  <c r="F578" i="1" a="1"/>
  <c r="F578" i="1" s="1"/>
  <c r="F579" i="1" a="1"/>
  <c r="F579" i="1"/>
  <c r="F580" i="1" a="1"/>
  <c r="F580" i="1" s="1"/>
  <c r="F581" i="1" a="1"/>
  <c r="F581" i="1" s="1"/>
  <c r="F582" i="1" a="1"/>
  <c r="F582" i="1" s="1"/>
  <c r="F583" i="1" a="1"/>
  <c r="F583" i="1" s="1"/>
  <c r="F584" i="1" a="1"/>
  <c r="F584" i="1" s="1"/>
  <c r="F585" i="1" a="1"/>
  <c r="F585" i="1"/>
  <c r="F586" i="1" a="1"/>
  <c r="F586" i="1" s="1"/>
  <c r="F587" i="1" a="1"/>
  <c r="F587" i="1" s="1"/>
  <c r="F588" i="1" a="1"/>
  <c r="F588" i="1" s="1"/>
  <c r="F589" i="1" a="1"/>
  <c r="F589" i="1" s="1"/>
  <c r="F590" i="1" a="1"/>
  <c r="F590" i="1" s="1"/>
  <c r="F591" i="1" a="1"/>
  <c r="F591" i="1" s="1"/>
  <c r="F592" i="1" a="1"/>
  <c r="F592" i="1" s="1"/>
  <c r="F593" i="1" a="1"/>
  <c r="F593" i="1" s="1"/>
  <c r="F594" i="1" a="1"/>
  <c r="F594" i="1" s="1"/>
  <c r="F595" i="1" a="1"/>
  <c r="F595" i="1" s="1"/>
  <c r="F596" i="1" a="1"/>
  <c r="F596" i="1" s="1"/>
  <c r="F597" i="1" a="1"/>
  <c r="F597" i="1"/>
  <c r="F598" i="1" a="1"/>
  <c r="F598" i="1" s="1"/>
  <c r="F599" i="1" a="1"/>
  <c r="F599" i="1"/>
  <c r="F600" i="1" a="1"/>
  <c r="F600" i="1"/>
  <c r="F601" i="1" a="1"/>
  <c r="F601" i="1" s="1"/>
  <c r="F602" i="1" a="1"/>
  <c r="F602" i="1" s="1"/>
  <c r="F603" i="1" a="1"/>
  <c r="F603" i="1" s="1"/>
  <c r="F604" i="1" a="1"/>
  <c r="F604" i="1" s="1"/>
  <c r="F605" i="1" a="1"/>
  <c r="F605" i="1" s="1"/>
  <c r="F606" i="1" a="1"/>
  <c r="F606" i="1" s="1"/>
  <c r="F607" i="1" a="1"/>
  <c r="F607" i="1" s="1"/>
  <c r="F608" i="1" a="1"/>
  <c r="F608" i="1" s="1"/>
  <c r="F609" i="1" a="1"/>
  <c r="F609" i="1" s="1"/>
  <c r="F610" i="1" a="1"/>
  <c r="F610" i="1" s="1"/>
  <c r="F611" i="1" a="1"/>
  <c r="F611" i="1" s="1"/>
  <c r="F612" i="1" a="1"/>
  <c r="F612" i="1" s="1"/>
  <c r="F613" i="1" a="1"/>
  <c r="F613" i="1" s="1"/>
  <c r="F614" i="1" a="1"/>
  <c r="F614" i="1" s="1"/>
  <c r="F615" i="1" a="1"/>
  <c r="F615" i="1" s="1"/>
  <c r="F616" i="1" a="1"/>
  <c r="F616" i="1" s="1"/>
  <c r="F617" i="1" a="1"/>
  <c r="F617" i="1" s="1"/>
  <c r="F618" i="1" a="1"/>
  <c r="F618" i="1" s="1"/>
  <c r="F619" i="1" a="1"/>
  <c r="F619" i="1" s="1"/>
  <c r="F620" i="1" a="1"/>
  <c r="F620" i="1" s="1"/>
  <c r="F621" i="1" a="1"/>
  <c r="F621" i="1" s="1"/>
  <c r="F622" i="1" a="1"/>
  <c r="F622" i="1" s="1"/>
  <c r="F623" i="1" a="1"/>
  <c r="F623" i="1"/>
  <c r="F624" i="1" a="1"/>
  <c r="F624" i="1" s="1"/>
  <c r="F625" i="1" a="1"/>
  <c r="F625" i="1" s="1"/>
  <c r="F626" i="1" a="1"/>
  <c r="F626" i="1" s="1"/>
  <c r="F627" i="1" a="1"/>
  <c r="F627" i="1" s="1"/>
  <c r="F628" i="1" a="1"/>
  <c r="F628" i="1" s="1"/>
  <c r="F629" i="1" a="1"/>
  <c r="F629" i="1" s="1"/>
  <c r="F630" i="1" a="1"/>
  <c r="F630" i="1" s="1"/>
  <c r="F631" i="1" a="1"/>
  <c r="F631" i="1" s="1"/>
  <c r="F632" i="1" a="1"/>
  <c r="F632" i="1"/>
  <c r="F633" i="1" a="1"/>
  <c r="F633" i="1" s="1"/>
  <c r="F634" i="1" a="1"/>
  <c r="F634" i="1" s="1"/>
  <c r="F635" i="1" a="1"/>
  <c r="F635" i="1" s="1"/>
  <c r="F636" i="1" a="1"/>
  <c r="F636" i="1" s="1"/>
  <c r="F637" i="1" a="1"/>
  <c r="F637" i="1" s="1"/>
  <c r="F638" i="1" a="1"/>
  <c r="F638" i="1" s="1"/>
  <c r="F639" i="1" a="1"/>
  <c r="F639" i="1" s="1"/>
  <c r="F640" i="1" a="1"/>
  <c r="F640" i="1" s="1"/>
  <c r="F641" i="1" a="1"/>
  <c r="F641" i="1" s="1"/>
  <c r="F642" i="1" a="1"/>
  <c r="F642" i="1" s="1"/>
  <c r="F643" i="1" a="1"/>
  <c r="F643" i="1" s="1"/>
  <c r="F644" i="1" a="1"/>
  <c r="F644" i="1" s="1"/>
  <c r="F645" i="1" a="1"/>
  <c r="F645" i="1" s="1"/>
  <c r="F646" i="1" a="1"/>
  <c r="F646" i="1"/>
  <c r="F647" i="1" a="1"/>
  <c r="F647" i="1" s="1"/>
  <c r="F648" i="1" a="1"/>
  <c r="F648" i="1" s="1"/>
  <c r="F649" i="1" a="1"/>
  <c r="F649" i="1"/>
  <c r="F650" i="1" a="1"/>
  <c r="F650" i="1" s="1"/>
  <c r="F651" i="1" a="1"/>
  <c r="F651" i="1" s="1"/>
  <c r="F652" i="1" a="1"/>
  <c r="F652" i="1" s="1"/>
  <c r="F653" i="1" a="1"/>
  <c r="F653" i="1" s="1"/>
  <c r="F654" i="1" a="1"/>
  <c r="F654" i="1" s="1"/>
  <c r="F655" i="1" a="1"/>
  <c r="F655" i="1" s="1"/>
  <c r="F656" i="1" a="1"/>
  <c r="F656" i="1" s="1"/>
  <c r="F657" i="1" a="1"/>
  <c r="F657" i="1" s="1"/>
  <c r="F658" i="1" a="1"/>
  <c r="F658" i="1"/>
  <c r="F659" i="1" a="1"/>
  <c r="F659" i="1" s="1"/>
  <c r="F660" i="1" a="1"/>
  <c r="F660" i="1" s="1"/>
  <c r="F661" i="1" a="1"/>
  <c r="F661" i="1" s="1"/>
  <c r="F662" i="1" a="1"/>
  <c r="F662" i="1" s="1"/>
  <c r="F663" i="1" a="1"/>
  <c r="F663" i="1"/>
  <c r="F664" i="1" a="1"/>
  <c r="F664" i="1" s="1"/>
  <c r="F665" i="1" a="1"/>
  <c r="F665" i="1" s="1"/>
  <c r="F666" i="1" a="1"/>
  <c r="F666" i="1" s="1"/>
  <c r="F667" i="1" a="1"/>
  <c r="F667" i="1" s="1"/>
  <c r="F668" i="1" a="1"/>
  <c r="F668" i="1" s="1"/>
  <c r="F669" i="1" a="1"/>
  <c r="F669" i="1" s="1"/>
  <c r="F670" i="1" a="1"/>
  <c r="F670" i="1" s="1"/>
  <c r="F671" i="1" a="1"/>
  <c r="F671" i="1" s="1"/>
  <c r="F672" i="1" a="1"/>
  <c r="F672" i="1" s="1"/>
  <c r="F673" i="1" a="1"/>
  <c r="F673" i="1" s="1"/>
  <c r="F674" i="1" a="1"/>
  <c r="F674" i="1" s="1"/>
  <c r="F675" i="1" a="1"/>
  <c r="F675" i="1" s="1"/>
  <c r="F676" i="1" a="1"/>
  <c r="F676" i="1"/>
  <c r="F677" i="1" a="1"/>
  <c r="F677" i="1" s="1"/>
  <c r="F678" i="1" a="1"/>
  <c r="F678" i="1" s="1"/>
  <c r="F679" i="1" a="1"/>
  <c r="F679" i="1" s="1"/>
  <c r="F680" i="1" a="1"/>
  <c r="F680" i="1" s="1"/>
  <c r="F681" i="1" a="1"/>
  <c r="F681" i="1" s="1"/>
  <c r="F682" i="1" a="1"/>
  <c r="F682" i="1" s="1"/>
  <c r="F683" i="1" a="1"/>
  <c r="F683" i="1" s="1"/>
  <c r="F684" i="1" a="1"/>
  <c r="F684" i="1" s="1"/>
  <c r="F685" i="1" a="1"/>
  <c r="F685" i="1" s="1"/>
  <c r="F686" i="1" a="1"/>
  <c r="F686" i="1" s="1"/>
  <c r="F687" i="1" a="1"/>
  <c r="F687" i="1" s="1"/>
  <c r="F688" i="1" a="1"/>
  <c r="F688" i="1" s="1"/>
  <c r="F689" i="1" a="1"/>
  <c r="F689" i="1" s="1"/>
  <c r="F690" i="1" a="1"/>
  <c r="F690" i="1" s="1"/>
  <c r="F691" i="1" a="1"/>
  <c r="F691" i="1" s="1"/>
  <c r="F692" i="1" a="1"/>
  <c r="F692" i="1" s="1"/>
  <c r="F693" i="1" a="1"/>
  <c r="F693" i="1" s="1"/>
  <c r="F694" i="1" a="1"/>
  <c r="F694" i="1" s="1"/>
  <c r="F695" i="1" a="1"/>
  <c r="F695" i="1" s="1"/>
  <c r="F696" i="1" a="1"/>
  <c r="F696" i="1" s="1"/>
  <c r="F697" i="1" a="1"/>
  <c r="F697" i="1" s="1"/>
  <c r="F698" i="1" a="1"/>
  <c r="F698" i="1" s="1"/>
  <c r="F699" i="1" a="1"/>
  <c r="F699" i="1" s="1"/>
  <c r="F700" i="1" a="1"/>
  <c r="F700" i="1" s="1"/>
  <c r="F701" i="1" a="1"/>
  <c r="F701" i="1" s="1"/>
  <c r="F702" i="1" a="1"/>
  <c r="F702" i="1" s="1"/>
  <c r="F703" i="1" a="1"/>
  <c r="F703" i="1" s="1"/>
  <c r="F704" i="1" a="1"/>
  <c r="F704" i="1" s="1"/>
  <c r="F705" i="1" a="1"/>
  <c r="F705" i="1" s="1"/>
  <c r="F706" i="1" a="1"/>
  <c r="F706" i="1" s="1"/>
  <c r="F707" i="1" a="1"/>
  <c r="F707" i="1" s="1"/>
  <c r="F708" i="1" a="1"/>
  <c r="F708" i="1" s="1"/>
  <c r="F709" i="1" a="1"/>
  <c r="F709" i="1" s="1"/>
  <c r="F710" i="1" a="1"/>
  <c r="F710" i="1" s="1"/>
  <c r="F711" i="1" a="1"/>
  <c r="F711" i="1" s="1"/>
  <c r="F712" i="1" a="1"/>
  <c r="F712" i="1" s="1"/>
  <c r="F713" i="1" a="1"/>
  <c r="F713" i="1" s="1"/>
  <c r="F714" i="1" a="1"/>
  <c r="F714" i="1" s="1"/>
  <c r="F715" i="1" a="1"/>
  <c r="F715" i="1" s="1"/>
  <c r="F716" i="1" a="1"/>
  <c r="F716" i="1" s="1"/>
  <c r="F717" i="1" a="1"/>
  <c r="F717" i="1" s="1"/>
  <c r="F718" i="1" a="1"/>
  <c r="F718" i="1" s="1"/>
  <c r="F719" i="1" a="1"/>
  <c r="F719" i="1" s="1"/>
  <c r="F720" i="1" a="1"/>
  <c r="F720" i="1" s="1"/>
  <c r="F721" i="1" a="1"/>
  <c r="F721" i="1" s="1"/>
  <c r="F722" i="1" a="1"/>
  <c r="F722" i="1" s="1"/>
  <c r="F723" i="1" a="1"/>
  <c r="F723" i="1" s="1"/>
  <c r="F724" i="1" a="1"/>
  <c r="F724" i="1" s="1"/>
  <c r="F725" i="1" a="1"/>
  <c r="F725" i="1" s="1"/>
  <c r="F726" i="1" a="1"/>
  <c r="F726" i="1" s="1"/>
  <c r="F727" i="1" a="1"/>
  <c r="F727" i="1" s="1"/>
  <c r="F728" i="1" a="1"/>
  <c r="F728" i="1" s="1"/>
  <c r="F729" i="1" a="1"/>
  <c r="F729" i="1" s="1"/>
  <c r="F730" i="1" a="1"/>
  <c r="F730" i="1" s="1"/>
  <c r="F731" i="1" a="1"/>
  <c r="F731" i="1" s="1"/>
  <c r="F732" i="1" a="1"/>
  <c r="F732" i="1" s="1"/>
  <c r="F733" i="1" a="1"/>
  <c r="F733" i="1" s="1"/>
  <c r="F734" i="1" a="1"/>
  <c r="F734" i="1" s="1"/>
  <c r="F735" i="1" a="1"/>
  <c r="F735" i="1" s="1"/>
  <c r="F736" i="1" a="1"/>
  <c r="F736" i="1" s="1"/>
  <c r="F737" i="1" a="1"/>
  <c r="F737" i="1" s="1"/>
  <c r="F738" i="1" a="1"/>
  <c r="F738" i="1" s="1"/>
  <c r="F739" i="1" a="1"/>
  <c r="F739" i="1" s="1"/>
  <c r="F740" i="1" a="1"/>
  <c r="F740" i="1" s="1"/>
  <c r="F741" i="1" a="1"/>
  <c r="F741" i="1" s="1"/>
  <c r="F742" i="1" a="1"/>
  <c r="F742" i="1" s="1"/>
  <c r="F743" i="1" a="1"/>
  <c r="F743" i="1"/>
  <c r="F744" i="1" a="1"/>
  <c r="F744" i="1" s="1"/>
  <c r="F745" i="1" a="1"/>
  <c r="F745" i="1" s="1"/>
  <c r="F746" i="1" a="1"/>
  <c r="F746" i="1" s="1"/>
  <c r="F747" i="1" a="1"/>
  <c r="F747" i="1" s="1"/>
  <c r="F748" i="1" a="1"/>
  <c r="F748" i="1" s="1"/>
  <c r="F749" i="1" a="1"/>
  <c r="F749" i="1" s="1"/>
  <c r="F750" i="1" a="1"/>
  <c r="F750" i="1" s="1"/>
  <c r="F751" i="1" a="1"/>
  <c r="F751" i="1" s="1"/>
  <c r="F752" i="1" a="1"/>
  <c r="F752" i="1" s="1"/>
  <c r="F753" i="1" a="1"/>
  <c r="F753" i="1" s="1"/>
  <c r="F754" i="1" a="1"/>
  <c r="F754" i="1" s="1"/>
  <c r="F755" i="1" a="1"/>
  <c r="F755" i="1" s="1"/>
  <c r="F756" i="1" a="1"/>
  <c r="F756" i="1" s="1"/>
  <c r="F757" i="1" a="1"/>
  <c r="F757" i="1" s="1"/>
  <c r="F758" i="1" a="1"/>
  <c r="F758" i="1" s="1"/>
  <c r="F759" i="1" a="1"/>
  <c r="F759" i="1" s="1"/>
  <c r="F760" i="1" a="1"/>
  <c r="F760" i="1" s="1"/>
  <c r="F761" i="1" a="1"/>
  <c r="F761" i="1" s="1"/>
  <c r="F762" i="1" a="1"/>
  <c r="F762" i="1" s="1"/>
  <c r="F763" i="1" a="1"/>
  <c r="F763" i="1" s="1"/>
  <c r="F764" i="1" a="1"/>
  <c r="F764" i="1" s="1"/>
  <c r="F765" i="1" a="1"/>
  <c r="F765" i="1" s="1"/>
  <c r="F766" i="1" a="1"/>
  <c r="F766" i="1" s="1"/>
  <c r="F767" i="1" a="1"/>
  <c r="F767" i="1" s="1"/>
  <c r="F768" i="1" a="1"/>
  <c r="F768" i="1" s="1"/>
  <c r="F769" i="1" a="1"/>
  <c r="F769" i="1" s="1"/>
  <c r="F770" i="1" a="1"/>
  <c r="F770" i="1" s="1"/>
  <c r="F771" i="1" a="1"/>
  <c r="F771" i="1" s="1"/>
  <c r="F772" i="1" a="1"/>
  <c r="F772" i="1" s="1"/>
  <c r="F773" i="1" a="1"/>
  <c r="F773" i="1" s="1"/>
  <c r="F774" i="1" a="1"/>
  <c r="F774" i="1" s="1"/>
  <c r="F775" i="1" a="1"/>
  <c r="F775" i="1" s="1"/>
  <c r="F776" i="1" a="1"/>
  <c r="F776" i="1" s="1"/>
  <c r="F777" i="1" a="1"/>
  <c r="F777" i="1" s="1"/>
  <c r="F778" i="1" a="1"/>
  <c r="F778" i="1" s="1"/>
  <c r="F779" i="1" a="1"/>
  <c r="F779" i="1" s="1"/>
  <c r="F780" i="1" a="1"/>
  <c r="F780" i="1" s="1"/>
  <c r="F781" i="1" a="1"/>
  <c r="F781" i="1" s="1"/>
  <c r="F782" i="1" a="1"/>
  <c r="F782" i="1" s="1"/>
  <c r="F783" i="1" a="1"/>
  <c r="F783" i="1" s="1"/>
  <c r="F784" i="1" a="1"/>
  <c r="F784" i="1" s="1"/>
  <c r="F785" i="1" a="1"/>
  <c r="F785" i="1" s="1"/>
  <c r="F786" i="1" a="1"/>
  <c r="F786" i="1" s="1"/>
  <c r="F787" i="1" a="1"/>
  <c r="F787" i="1" s="1"/>
  <c r="F788" i="1" a="1"/>
  <c r="F788" i="1" s="1"/>
  <c r="F789" i="1" a="1"/>
  <c r="F789" i="1" s="1"/>
  <c r="F790" i="1" a="1"/>
  <c r="F790" i="1" s="1"/>
  <c r="F791" i="1" a="1"/>
  <c r="F791" i="1" s="1"/>
  <c r="F792" i="1" a="1"/>
  <c r="F792" i="1" s="1"/>
  <c r="F793" i="1" a="1"/>
  <c r="F793" i="1" s="1"/>
  <c r="F794" i="1" a="1"/>
  <c r="F794" i="1" s="1"/>
  <c r="F795" i="1" a="1"/>
  <c r="F795" i="1" s="1"/>
  <c r="F796" i="1" a="1"/>
  <c r="F796" i="1" s="1"/>
  <c r="F797" i="1" a="1"/>
  <c r="F797" i="1" s="1"/>
  <c r="F798" i="1" a="1"/>
  <c r="F798" i="1" s="1"/>
  <c r="F799" i="1" a="1"/>
  <c r="F799" i="1" s="1"/>
  <c r="F800" i="1" a="1"/>
  <c r="F800" i="1" s="1"/>
  <c r="F801" i="1" a="1"/>
  <c r="F801" i="1" s="1"/>
  <c r="F802" i="1" a="1"/>
  <c r="F802" i="1" s="1"/>
  <c r="F803" i="1" a="1"/>
  <c r="F803" i="1" s="1"/>
  <c r="F804" i="1" a="1"/>
  <c r="F804" i="1" s="1"/>
  <c r="F805" i="1" a="1"/>
  <c r="F805" i="1" s="1"/>
  <c r="F806" i="1" a="1"/>
  <c r="F806" i="1" s="1"/>
  <c r="F807" i="1" a="1"/>
  <c r="F807" i="1"/>
  <c r="F808" i="1" a="1"/>
  <c r="F808" i="1" s="1"/>
  <c r="F809" i="1" a="1"/>
  <c r="F809" i="1" s="1"/>
  <c r="F810" i="1" a="1"/>
  <c r="F810" i="1" s="1"/>
  <c r="F811" i="1" a="1"/>
  <c r="F811" i="1"/>
  <c r="F812" i="1" a="1"/>
  <c r="F812" i="1" s="1"/>
  <c r="F813" i="1" a="1"/>
  <c r="F813" i="1" s="1"/>
  <c r="F814" i="1" a="1"/>
  <c r="F814" i="1" s="1"/>
  <c r="F815" i="1" a="1"/>
  <c r="F815" i="1" s="1"/>
  <c r="F816" i="1" a="1"/>
  <c r="F816" i="1" s="1"/>
  <c r="F817" i="1" a="1"/>
  <c r="F817" i="1" s="1"/>
  <c r="F818" i="1" a="1"/>
  <c r="F818" i="1" s="1"/>
  <c r="F819" i="1" a="1"/>
  <c r="F819" i="1" s="1"/>
  <c r="F820" i="1" a="1"/>
  <c r="F820" i="1" s="1"/>
  <c r="F821" i="1" a="1"/>
  <c r="F821" i="1" s="1"/>
  <c r="F822" i="1" a="1"/>
  <c r="F822" i="1" s="1"/>
  <c r="F823" i="1" a="1"/>
  <c r="F823" i="1" s="1"/>
  <c r="F824" i="1" a="1"/>
  <c r="F824" i="1" s="1"/>
  <c r="F825" i="1" a="1"/>
  <c r="F825" i="1" s="1"/>
  <c r="F826" i="1" a="1"/>
  <c r="F826" i="1" s="1"/>
  <c r="F827" i="1" a="1"/>
  <c r="F827" i="1" s="1"/>
  <c r="F828" i="1" a="1"/>
  <c r="F828" i="1" s="1"/>
  <c r="F829" i="1" a="1"/>
  <c r="F829" i="1" s="1"/>
  <c r="F830" i="1" a="1"/>
  <c r="F830" i="1" s="1"/>
  <c r="F831" i="1" a="1"/>
  <c r="F831" i="1" s="1"/>
  <c r="F832" i="1" a="1"/>
  <c r="F832" i="1" s="1"/>
  <c r="F833" i="1" a="1"/>
  <c r="F833" i="1" s="1"/>
  <c r="F834" i="1" a="1"/>
  <c r="F834" i="1" s="1"/>
  <c r="F835" i="1" a="1"/>
  <c r="F835" i="1" s="1"/>
  <c r="F836" i="1" a="1"/>
  <c r="F836" i="1" s="1"/>
  <c r="F837" i="1" a="1"/>
  <c r="F837" i="1" s="1"/>
  <c r="F838" i="1" a="1"/>
  <c r="F838" i="1" s="1"/>
  <c r="F839" i="1" a="1"/>
  <c r="F839" i="1" s="1"/>
  <c r="F840" i="1" a="1"/>
  <c r="F840" i="1" s="1"/>
  <c r="F841" i="1" a="1"/>
  <c r="F841" i="1" s="1"/>
  <c r="F842" i="1" a="1"/>
  <c r="F842" i="1" s="1"/>
  <c r="F843" i="1" a="1"/>
  <c r="F843" i="1" s="1"/>
  <c r="F844" i="1" a="1"/>
  <c r="F844" i="1" s="1"/>
  <c r="F845" i="1" a="1"/>
  <c r="F845" i="1" s="1"/>
  <c r="F846" i="1" a="1"/>
  <c r="F846" i="1" s="1"/>
  <c r="F847" i="1" a="1"/>
  <c r="F847" i="1" s="1"/>
  <c r="F848" i="1" a="1"/>
  <c r="F848" i="1" s="1"/>
  <c r="F849" i="1" a="1"/>
  <c r="F849" i="1" s="1"/>
  <c r="F850" i="1" a="1"/>
  <c r="F850" i="1" s="1"/>
  <c r="F851" i="1" a="1"/>
  <c r="F851" i="1" s="1"/>
  <c r="F852" i="1" a="1"/>
  <c r="F852" i="1" s="1"/>
  <c r="F853" i="1" a="1"/>
  <c r="F853" i="1" s="1"/>
  <c r="F854" i="1" a="1"/>
  <c r="F854" i="1" s="1"/>
  <c r="F855" i="1" a="1"/>
  <c r="F855" i="1" s="1"/>
  <c r="F856" i="1" a="1"/>
  <c r="F856" i="1" s="1"/>
  <c r="F857" i="1" a="1"/>
  <c r="F857" i="1" s="1"/>
  <c r="F858" i="1" a="1"/>
  <c r="F858" i="1" s="1"/>
  <c r="F859" i="1" a="1"/>
  <c r="F859" i="1" s="1"/>
  <c r="F860" i="1" a="1"/>
  <c r="F860" i="1" s="1"/>
  <c r="F861" i="1" a="1"/>
  <c r="F861" i="1" s="1"/>
  <c r="F862" i="1" a="1"/>
  <c r="F862" i="1" s="1"/>
  <c r="F863" i="1" a="1"/>
  <c r="F863" i="1" s="1"/>
  <c r="F864" i="1" a="1"/>
  <c r="F864" i="1" s="1"/>
  <c r="F865" i="1" a="1"/>
  <c r="F865" i="1" s="1"/>
  <c r="F866" i="1" a="1"/>
  <c r="F866" i="1" s="1"/>
  <c r="F867" i="1" a="1"/>
  <c r="F867" i="1" s="1"/>
  <c r="F868" i="1" a="1"/>
  <c r="F868" i="1" s="1"/>
  <c r="F869" i="1" a="1"/>
  <c r="F869" i="1" s="1"/>
  <c r="F870" i="1" a="1"/>
  <c r="F870" i="1" s="1"/>
  <c r="F871" i="1" a="1"/>
  <c r="F871" i="1"/>
  <c r="F872" i="1" a="1"/>
  <c r="F872" i="1" s="1"/>
  <c r="F873" i="1" a="1"/>
  <c r="F873" i="1" s="1"/>
  <c r="F874" i="1" a="1"/>
  <c r="F874" i="1" s="1"/>
  <c r="F875" i="1" a="1"/>
  <c r="F875" i="1"/>
  <c r="F876" i="1" a="1"/>
  <c r="F876" i="1" s="1"/>
  <c r="F877" i="1" a="1"/>
  <c r="F877" i="1" s="1"/>
  <c r="F878" i="1" a="1"/>
  <c r="F878" i="1" s="1"/>
  <c r="F879" i="1" a="1"/>
  <c r="F879" i="1" s="1"/>
  <c r="F880" i="1" a="1"/>
  <c r="F880" i="1" s="1"/>
  <c r="F881" i="1" a="1"/>
  <c r="F881" i="1" s="1"/>
  <c r="F882" i="1" a="1"/>
  <c r="F882" i="1" s="1"/>
  <c r="F883" i="1" a="1"/>
  <c r="F883" i="1" s="1"/>
  <c r="F884" i="1" a="1"/>
  <c r="F884" i="1" s="1"/>
  <c r="F885" i="1" a="1"/>
  <c r="F885" i="1" s="1"/>
  <c r="F886" i="1" a="1"/>
  <c r="F886" i="1" s="1"/>
  <c r="F887" i="1" a="1"/>
  <c r="F887" i="1" s="1"/>
  <c r="F888" i="1" a="1"/>
  <c r="F888" i="1" s="1"/>
  <c r="F889" i="1" a="1"/>
  <c r="F889" i="1" s="1"/>
  <c r="F890" i="1" a="1"/>
  <c r="F890" i="1" s="1"/>
  <c r="F891" i="1" a="1"/>
  <c r="F891" i="1" s="1"/>
  <c r="F892" i="1" a="1"/>
  <c r="F892" i="1" s="1"/>
  <c r="F893" i="1" a="1"/>
  <c r="F893" i="1" s="1"/>
  <c r="F894" i="1" a="1"/>
  <c r="F894" i="1" s="1"/>
  <c r="F895" i="1" a="1"/>
  <c r="F895" i="1" s="1"/>
  <c r="F896" i="1" a="1"/>
  <c r="F896" i="1" s="1"/>
  <c r="F897" i="1" a="1"/>
  <c r="F897" i="1" s="1"/>
  <c r="F898" i="1" a="1"/>
  <c r="F898" i="1" s="1"/>
  <c r="F899" i="1" a="1"/>
  <c r="F899" i="1" s="1"/>
  <c r="F900" i="1" a="1"/>
  <c r="F900" i="1" s="1"/>
  <c r="F901" i="1" a="1"/>
  <c r="F901" i="1" s="1"/>
  <c r="F902" i="1" a="1"/>
  <c r="F902" i="1" s="1"/>
  <c r="F903" i="1" a="1"/>
  <c r="F903" i="1" s="1"/>
  <c r="F904" i="1" a="1"/>
  <c r="F904" i="1" s="1"/>
  <c r="F905" i="1" a="1"/>
  <c r="F905" i="1" s="1"/>
  <c r="F906" i="1" a="1"/>
  <c r="F906" i="1" s="1"/>
  <c r="F907" i="1" a="1"/>
  <c r="F907" i="1" s="1"/>
  <c r="F908" i="1" a="1"/>
  <c r="F908" i="1" s="1"/>
  <c r="F909" i="1" a="1"/>
  <c r="F909" i="1" s="1"/>
  <c r="F910" i="1" a="1"/>
  <c r="F910" i="1" s="1"/>
  <c r="F911" i="1" a="1"/>
  <c r="F911" i="1" s="1"/>
  <c r="F912" i="1" a="1"/>
  <c r="F912" i="1" s="1"/>
  <c r="F913" i="1" a="1"/>
  <c r="F913" i="1" s="1"/>
  <c r="F914" i="1" a="1"/>
  <c r="F914" i="1" s="1"/>
  <c r="F915" i="1" a="1"/>
  <c r="F915" i="1" s="1"/>
  <c r="F916" i="1" a="1"/>
  <c r="F916" i="1" s="1"/>
  <c r="F917" i="1" a="1"/>
  <c r="F917" i="1" s="1"/>
  <c r="F918" i="1" a="1"/>
  <c r="F918" i="1" s="1"/>
  <c r="F919" i="1" a="1"/>
  <c r="F919" i="1" s="1"/>
  <c r="F920" i="1" a="1"/>
  <c r="F920" i="1" s="1"/>
  <c r="F921" i="1" a="1"/>
  <c r="F921" i="1" s="1"/>
  <c r="F922" i="1" a="1"/>
  <c r="F922" i="1" s="1"/>
  <c r="F923" i="1" a="1"/>
  <c r="F923" i="1" s="1"/>
  <c r="F924" i="1" a="1"/>
  <c r="F924" i="1" s="1"/>
  <c r="F925" i="1" a="1"/>
  <c r="F925" i="1" s="1"/>
  <c r="F926" i="1" a="1"/>
  <c r="F926" i="1" s="1"/>
  <c r="F927" i="1" a="1"/>
  <c r="F927" i="1" s="1"/>
  <c r="F928" i="1" a="1"/>
  <c r="F928" i="1" s="1"/>
  <c r="F929" i="1" a="1"/>
  <c r="F929" i="1" s="1"/>
  <c r="F930" i="1" a="1"/>
  <c r="F930" i="1" s="1"/>
  <c r="F931" i="1" a="1"/>
  <c r="F931" i="1" s="1"/>
  <c r="F932" i="1" a="1"/>
  <c r="F932" i="1" s="1"/>
  <c r="F933" i="1" a="1"/>
  <c r="F933" i="1" s="1"/>
  <c r="F934" i="1" a="1"/>
  <c r="F934" i="1" s="1"/>
  <c r="F935" i="1" a="1"/>
  <c r="F935" i="1" s="1"/>
  <c r="F936" i="1" a="1"/>
  <c r="F936" i="1" s="1"/>
  <c r="F937" i="1" a="1"/>
  <c r="F937" i="1" s="1"/>
  <c r="F938" i="1" a="1"/>
  <c r="F938" i="1" s="1"/>
  <c r="F939" i="1" a="1"/>
  <c r="F939" i="1" s="1"/>
  <c r="F940" i="1" a="1"/>
  <c r="F940" i="1" s="1"/>
  <c r="F941" i="1" a="1"/>
  <c r="F941" i="1" s="1"/>
  <c r="F942" i="1" a="1"/>
  <c r="F942" i="1" s="1"/>
  <c r="F943" i="1" a="1"/>
  <c r="F943" i="1" s="1"/>
  <c r="F944" i="1" a="1"/>
  <c r="F944" i="1" s="1"/>
  <c r="F945" i="1" a="1"/>
  <c r="F945" i="1" s="1"/>
  <c r="F946" i="1" a="1"/>
  <c r="F946" i="1" s="1"/>
  <c r="F947" i="1" a="1"/>
  <c r="F947" i="1" s="1"/>
  <c r="F948" i="1" a="1"/>
  <c r="F948" i="1" s="1"/>
  <c r="F949" i="1" a="1"/>
  <c r="F949" i="1" s="1"/>
  <c r="F950" i="1" a="1"/>
  <c r="F950" i="1" s="1"/>
  <c r="F951" i="1" a="1"/>
  <c r="F951" i="1" s="1"/>
  <c r="F952" i="1" a="1"/>
  <c r="F952" i="1" s="1"/>
  <c r="F953" i="1" a="1"/>
  <c r="F953" i="1" s="1"/>
  <c r="F954" i="1" a="1"/>
  <c r="F954" i="1" s="1"/>
  <c r="F955" i="1" a="1"/>
  <c r="F955" i="1" s="1"/>
  <c r="F956" i="1" a="1"/>
  <c r="F956" i="1" s="1"/>
  <c r="F957" i="1" a="1"/>
  <c r="F957" i="1" s="1"/>
  <c r="F958" i="1" a="1"/>
  <c r="F958" i="1" s="1"/>
  <c r="F959" i="1" a="1"/>
  <c r="F959" i="1" s="1"/>
  <c r="F960" i="1" a="1"/>
  <c r="F960" i="1" s="1"/>
  <c r="F961" i="1" a="1"/>
  <c r="F961" i="1" s="1"/>
  <c r="F962" i="1" a="1"/>
  <c r="F962" i="1" s="1"/>
  <c r="F963" i="1" a="1"/>
  <c r="F963" i="1" s="1"/>
  <c r="F964" i="1" a="1"/>
  <c r="F964" i="1" s="1"/>
  <c r="F965" i="1" a="1"/>
  <c r="F965" i="1" s="1"/>
  <c r="F966" i="1" a="1"/>
  <c r="F966" i="1" s="1"/>
  <c r="F967" i="1" a="1"/>
  <c r="F967" i="1" s="1"/>
  <c r="F968" i="1" a="1"/>
  <c r="F968" i="1" s="1"/>
  <c r="F969" i="1" a="1"/>
  <c r="F969" i="1" s="1"/>
  <c r="F970" i="1" a="1"/>
  <c r="F970" i="1" s="1"/>
  <c r="F971" i="1" a="1"/>
  <c r="F971" i="1" s="1"/>
  <c r="F972" i="1" a="1"/>
  <c r="F972" i="1" s="1"/>
  <c r="F973" i="1" a="1"/>
  <c r="F973" i="1" s="1"/>
  <c r="F974" i="1" a="1"/>
  <c r="F974" i="1" s="1"/>
  <c r="F975" i="1" a="1"/>
  <c r="F975" i="1" s="1"/>
  <c r="F976" i="1" a="1"/>
  <c r="F976" i="1" s="1"/>
  <c r="F977" i="1" a="1"/>
  <c r="F977" i="1" s="1"/>
  <c r="F978" i="1" a="1"/>
  <c r="F978" i="1" s="1"/>
  <c r="F979" i="1" a="1"/>
  <c r="F979" i="1" s="1"/>
  <c r="F980" i="1" a="1"/>
  <c r="F980" i="1" s="1"/>
  <c r="F981" i="1" a="1"/>
  <c r="F981" i="1" s="1"/>
  <c r="F982" i="1" a="1"/>
  <c r="F982" i="1" s="1"/>
  <c r="F983" i="1" a="1"/>
  <c r="F983" i="1" s="1"/>
  <c r="F984" i="1" a="1"/>
  <c r="F984" i="1" s="1"/>
  <c r="F985" i="1" a="1"/>
  <c r="F985" i="1" s="1"/>
  <c r="F986" i="1" a="1"/>
  <c r="F986" i="1" s="1"/>
  <c r="F987" i="1" a="1"/>
  <c r="F987" i="1" s="1"/>
  <c r="F988" i="1" a="1"/>
  <c r="F988" i="1" s="1"/>
  <c r="F989" i="1" a="1"/>
  <c r="F989" i="1" s="1"/>
  <c r="F990" i="1" a="1"/>
  <c r="F990" i="1" s="1"/>
  <c r="F991" i="1" a="1"/>
  <c r="F991" i="1" s="1"/>
  <c r="F992" i="1" a="1"/>
  <c r="F992" i="1" s="1"/>
  <c r="F993" i="1" a="1"/>
  <c r="F993" i="1" s="1"/>
  <c r="F994" i="1" a="1"/>
  <c r="F994" i="1" s="1"/>
  <c r="F995" i="1" a="1"/>
  <c r="F995" i="1" s="1"/>
  <c r="F996" i="1" a="1"/>
  <c r="F996" i="1" s="1"/>
  <c r="F997" i="1" a="1"/>
  <c r="F997" i="1" s="1"/>
  <c r="F998" i="1" a="1"/>
  <c r="F998" i="1" s="1"/>
  <c r="F999" i="1" a="1"/>
  <c r="F999" i="1" s="1"/>
  <c r="F1000" i="1" a="1"/>
  <c r="F1000" i="1" s="1"/>
  <c r="F1001" i="1" a="1"/>
  <c r="F1001" i="1" s="1"/>
  <c r="F1002" i="1" a="1"/>
  <c r="F1002" i="1" s="1"/>
  <c r="F1003" i="1" a="1"/>
  <c r="F1003" i="1" s="1"/>
  <c r="F1004" i="1" a="1"/>
  <c r="F1004" i="1" s="1"/>
  <c r="F1005" i="1" a="1"/>
  <c r="F1005" i="1" s="1"/>
  <c r="F1006" i="1" a="1"/>
  <c r="F1006" i="1" s="1"/>
  <c r="F1007" i="1" a="1"/>
  <c r="F1007" i="1"/>
  <c r="F1008" i="1" a="1"/>
  <c r="F1008" i="1" s="1"/>
  <c r="F1009" i="1" a="1"/>
  <c r="F1009" i="1" s="1"/>
  <c r="F1010" i="1" a="1"/>
  <c r="F1010" i="1" s="1"/>
  <c r="F1011" i="1" a="1"/>
  <c r="F1011" i="1" s="1"/>
  <c r="F1012" i="1" a="1"/>
  <c r="F1012" i="1" s="1"/>
  <c r="F1013" i="1" a="1"/>
  <c r="F1013" i="1" s="1"/>
  <c r="F1014" i="1" a="1"/>
  <c r="F1014" i="1" s="1"/>
  <c r="F1015" i="1" a="1"/>
  <c r="F1015" i="1" s="1"/>
  <c r="F1016" i="1" a="1"/>
  <c r="F1016" i="1" s="1"/>
  <c r="F1017" i="1" a="1"/>
  <c r="F1017" i="1" s="1"/>
  <c r="F1018" i="1" a="1"/>
  <c r="F1018" i="1" s="1"/>
  <c r="F1019" i="1" a="1"/>
  <c r="F1019" i="1" s="1"/>
  <c r="F1020" i="1" a="1"/>
  <c r="F1020" i="1" s="1"/>
  <c r="F1021" i="1" a="1"/>
  <c r="F1021" i="1" s="1"/>
  <c r="F1022" i="1" a="1"/>
  <c r="F1022" i="1" s="1"/>
  <c r="F1023" i="1" a="1"/>
  <c r="F1023" i="1" s="1"/>
  <c r="F1024" i="1" a="1"/>
  <c r="F1024" i="1" s="1"/>
  <c r="F1025" i="1" a="1"/>
  <c r="F1025" i="1" s="1"/>
  <c r="F1026" i="1" a="1"/>
  <c r="F1026" i="1" s="1"/>
  <c r="F1027" i="1" a="1"/>
  <c r="F1027" i="1" s="1"/>
  <c r="F1028" i="1" a="1"/>
  <c r="F1028" i="1" s="1"/>
  <c r="F1029" i="1" a="1"/>
  <c r="F1029" i="1" s="1"/>
  <c r="F1030" i="1" a="1"/>
  <c r="F1030" i="1" s="1"/>
  <c r="F1031" i="1" a="1"/>
  <c r="F1031" i="1" s="1"/>
  <c r="F1032" i="1" a="1"/>
  <c r="F1032" i="1" s="1"/>
  <c r="F1033" i="1" a="1"/>
  <c r="F1033" i="1" s="1"/>
  <c r="F1034" i="1" a="1"/>
  <c r="F1034" i="1" s="1"/>
  <c r="F1035" i="1" a="1"/>
  <c r="F1035" i="1" s="1"/>
  <c r="F1036" i="1" a="1"/>
  <c r="F1036" i="1" s="1"/>
  <c r="F1037" i="1" a="1"/>
  <c r="F1037" i="1" s="1"/>
  <c r="F1038" i="1" a="1"/>
  <c r="F1038" i="1" s="1"/>
  <c r="F1039" i="1" a="1"/>
  <c r="F1039" i="1" s="1"/>
  <c r="F1040" i="1" a="1"/>
  <c r="F1040" i="1"/>
  <c r="F1041" i="1" a="1"/>
  <c r="F1041" i="1" s="1"/>
  <c r="F1042" i="1" a="1"/>
  <c r="F1042" i="1" s="1"/>
  <c r="F1043" i="1" a="1"/>
  <c r="F1043" i="1" s="1"/>
  <c r="F1044" i="1" a="1"/>
  <c r="F1044" i="1" s="1"/>
  <c r="F1045" i="1" a="1"/>
  <c r="F1045" i="1"/>
  <c r="F1046" i="1" a="1"/>
  <c r="F1046" i="1" s="1"/>
  <c r="F1047" i="1" a="1"/>
  <c r="F1047" i="1" s="1"/>
  <c r="F1048" i="1" a="1"/>
  <c r="F1048" i="1" s="1"/>
  <c r="F1049" i="1" a="1"/>
  <c r="F1049" i="1" s="1"/>
  <c r="F1050" i="1" a="1"/>
  <c r="F1050" i="1" s="1"/>
  <c r="F1051" i="1" a="1"/>
  <c r="F1051" i="1" s="1"/>
  <c r="F1052" i="1" a="1"/>
  <c r="F1052" i="1" s="1"/>
  <c r="F1053" i="1" a="1"/>
  <c r="F1053" i="1" s="1"/>
  <c r="F1054" i="1" a="1"/>
  <c r="F1054" i="1" s="1"/>
  <c r="F1055" i="1" a="1"/>
  <c r="F1055" i="1" s="1"/>
  <c r="F1056" i="1" a="1"/>
  <c r="F1056" i="1" s="1"/>
  <c r="F1057" i="1" a="1"/>
  <c r="F1057" i="1" s="1"/>
  <c r="F1058" i="1" a="1"/>
  <c r="F1058" i="1" s="1"/>
  <c r="F1059" i="1" a="1"/>
  <c r="F1059" i="1" s="1"/>
  <c r="F1060" i="1" a="1"/>
  <c r="F1060" i="1" s="1"/>
  <c r="F1061" i="1" a="1"/>
  <c r="F1061" i="1"/>
  <c r="F1062" i="1" a="1"/>
  <c r="F1062" i="1" s="1"/>
  <c r="F1063" i="1" a="1"/>
  <c r="F1063" i="1" s="1"/>
  <c r="F1064" i="1" a="1"/>
  <c r="F1064" i="1" s="1"/>
  <c r="F1065" i="1" a="1"/>
  <c r="F1065" i="1" s="1"/>
  <c r="F1066" i="1" a="1"/>
  <c r="F1066" i="1" s="1"/>
  <c r="F1067" i="1" a="1"/>
  <c r="F1067" i="1" s="1"/>
  <c r="F1068" i="1" a="1"/>
  <c r="F1068" i="1" s="1"/>
  <c r="F1069" i="1" a="1"/>
  <c r="F1069" i="1" s="1"/>
  <c r="F1070" i="1" a="1"/>
  <c r="F1070" i="1" s="1"/>
  <c r="F1071" i="1" a="1"/>
  <c r="F1071" i="1" s="1"/>
  <c r="F1072" i="1" a="1"/>
  <c r="F1072" i="1" s="1"/>
  <c r="F1073" i="1" a="1"/>
  <c r="F1073" i="1" s="1"/>
  <c r="F1074" i="1" a="1"/>
  <c r="F1074" i="1" s="1"/>
  <c r="F1075" i="1" a="1"/>
  <c r="F1075" i="1" s="1"/>
  <c r="F1076" i="1" a="1"/>
  <c r="F1076" i="1" s="1"/>
  <c r="F1077" i="1" a="1"/>
  <c r="F1077" i="1" s="1"/>
  <c r="F1078" i="1" a="1"/>
  <c r="F1078" i="1" s="1"/>
  <c r="F1079" i="1" a="1"/>
  <c r="F1079" i="1" s="1"/>
  <c r="F1080" i="1" a="1"/>
  <c r="F1080" i="1" s="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H1046" i="1" s="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G25" i="1"/>
  <c r="G65" i="1"/>
  <c r="G73" i="1"/>
  <c r="G121" i="1"/>
  <c r="G169" i="1"/>
  <c r="G177" i="1"/>
  <c r="H192" i="1"/>
  <c r="G656" i="1"/>
  <c r="G673" i="1"/>
  <c r="G709" i="1"/>
  <c r="H729" i="1"/>
  <c r="G765" i="1"/>
  <c r="G829" i="1"/>
  <c r="G885" i="1"/>
  <c r="G941" i="1"/>
  <c r="G1061" i="1"/>
  <c r="G1005" i="1" l="1"/>
  <c r="H934" i="1"/>
  <c r="G1077" i="1"/>
  <c r="G1021" i="1"/>
  <c r="G957" i="1"/>
  <c r="G901" i="1"/>
  <c r="G837" i="1"/>
  <c r="G781" i="1"/>
  <c r="G725" i="1"/>
  <c r="G1069" i="1"/>
  <c r="G1013" i="1"/>
  <c r="G949" i="1"/>
  <c r="G893" i="1"/>
  <c r="H831" i="1"/>
  <c r="G773" i="1"/>
  <c r="G717" i="1"/>
  <c r="G997" i="1"/>
  <c r="G877" i="1"/>
  <c r="G701" i="1"/>
  <c r="G989" i="1"/>
  <c r="G749" i="1"/>
  <c r="G1053" i="1"/>
  <c r="G821" i="1"/>
  <c r="G933" i="1"/>
  <c r="G869" i="1"/>
  <c r="G813" i="1"/>
  <c r="G693" i="1"/>
  <c r="G1045" i="1"/>
  <c r="G981" i="1"/>
  <c r="G925" i="1"/>
  <c r="G861" i="1"/>
  <c r="G805" i="1"/>
  <c r="G741" i="1"/>
  <c r="G685" i="1"/>
  <c r="G757" i="1"/>
  <c r="G1037" i="1"/>
  <c r="G973" i="1"/>
  <c r="G917" i="1"/>
  <c r="G853" i="1"/>
  <c r="G797" i="1"/>
  <c r="G733" i="1"/>
  <c r="G633" i="1"/>
  <c r="G161" i="1"/>
  <c r="G153" i="1"/>
  <c r="G145" i="1"/>
  <c r="G137" i="1"/>
  <c r="G129" i="1"/>
  <c r="G113" i="1"/>
  <c r="G105" i="1"/>
  <c r="G97" i="1"/>
  <c r="G89" i="1"/>
  <c r="G81" i="1"/>
  <c r="G57" i="1"/>
  <c r="G49" i="1"/>
  <c r="G41" i="1"/>
  <c r="G33" i="1"/>
  <c r="G17" i="1"/>
  <c r="G9" i="1"/>
  <c r="G1029" i="1"/>
  <c r="G965" i="1"/>
  <c r="G909" i="1"/>
  <c r="G845" i="1"/>
  <c r="G789" i="1"/>
  <c r="H741" i="1"/>
  <c r="H1005" i="1"/>
  <c r="H997" i="1"/>
  <c r="H749" i="1"/>
  <c r="H1061" i="1"/>
  <c r="H805" i="1"/>
  <c r="G576" i="1"/>
  <c r="G480" i="1"/>
  <c r="G288" i="1"/>
  <c r="G256" i="1"/>
  <c r="G224" i="1"/>
  <c r="G48" i="1"/>
  <c r="G16" i="1"/>
  <c r="G544" i="1"/>
  <c r="G352" i="1"/>
  <c r="G320" i="1"/>
  <c r="G64" i="1"/>
  <c r="G32" i="1"/>
  <c r="G8" i="1"/>
  <c r="H32" i="1"/>
  <c r="H941" i="1"/>
  <c r="H685" i="1"/>
  <c r="H933" i="1"/>
  <c r="H673" i="1"/>
  <c r="G608" i="1"/>
  <c r="G416" i="1"/>
  <c r="G192" i="1"/>
  <c r="G160" i="1"/>
  <c r="G128" i="1"/>
  <c r="G96" i="1"/>
  <c r="G40" i="1"/>
  <c r="G24" i="1"/>
  <c r="H877" i="1"/>
  <c r="H480" i="1"/>
  <c r="G512" i="1"/>
  <c r="G448" i="1"/>
  <c r="G384" i="1"/>
  <c r="H589" i="1"/>
  <c r="H339" i="1"/>
  <c r="H259" i="1"/>
  <c r="G1046" i="1"/>
  <c r="H869" i="1"/>
  <c r="H448" i="1"/>
  <c r="H1069" i="1"/>
  <c r="H813" i="1"/>
  <c r="H224" i="1"/>
  <c r="G1068" i="1"/>
  <c r="H1068" i="1"/>
  <c r="G1028" i="1"/>
  <c r="H1028" i="1"/>
  <c r="G980" i="1"/>
  <c r="H980" i="1"/>
  <c r="G956" i="1"/>
  <c r="H956" i="1"/>
  <c r="G908" i="1"/>
  <c r="H908" i="1"/>
  <c r="G868" i="1"/>
  <c r="H868" i="1"/>
  <c r="G836" i="1"/>
  <c r="H836" i="1"/>
  <c r="G796" i="1"/>
  <c r="H796" i="1"/>
  <c r="G756" i="1"/>
  <c r="H756" i="1"/>
  <c r="G644" i="1"/>
  <c r="H644" i="1"/>
  <c r="G963" i="1"/>
  <c r="H963" i="1"/>
  <c r="G571" i="1"/>
  <c r="H571" i="1"/>
  <c r="G1079" i="1"/>
  <c r="H1079" i="1"/>
  <c r="G1063" i="1"/>
  <c r="H1063" i="1"/>
  <c r="G1047" i="1"/>
  <c r="H1047" i="1"/>
  <c r="G1039" i="1"/>
  <c r="H1039" i="1"/>
  <c r="G1023" i="1"/>
  <c r="H1023" i="1"/>
  <c r="G1007" i="1"/>
  <c r="H1007" i="1"/>
  <c r="G983" i="1"/>
  <c r="H983" i="1"/>
  <c r="H967" i="1"/>
  <c r="G967" i="1"/>
  <c r="G943" i="1"/>
  <c r="H943" i="1"/>
  <c r="G839" i="1"/>
  <c r="H839" i="1"/>
  <c r="G677" i="1"/>
  <c r="H677" i="1"/>
  <c r="G669" i="1"/>
  <c r="H669" i="1"/>
  <c r="G661" i="1"/>
  <c r="H661" i="1"/>
  <c r="G653" i="1"/>
  <c r="H653" i="1"/>
  <c r="G645" i="1"/>
  <c r="H645" i="1"/>
  <c r="G637" i="1"/>
  <c r="H637" i="1"/>
  <c r="G629" i="1"/>
  <c r="H629" i="1"/>
  <c r="G621" i="1"/>
  <c r="H621" i="1"/>
  <c r="G613" i="1"/>
  <c r="H613" i="1"/>
  <c r="G605" i="1"/>
  <c r="H605" i="1"/>
  <c r="G597" i="1"/>
  <c r="H597" i="1"/>
  <c r="G581" i="1"/>
  <c r="H581" i="1"/>
  <c r="G573" i="1"/>
  <c r="H573" i="1"/>
  <c r="G565" i="1"/>
  <c r="H565" i="1"/>
  <c r="G557" i="1"/>
  <c r="H557" i="1"/>
  <c r="G549" i="1"/>
  <c r="H549" i="1"/>
  <c r="G541" i="1"/>
  <c r="H541" i="1"/>
  <c r="H533" i="1"/>
  <c r="G533" i="1"/>
  <c r="G525" i="1"/>
  <c r="H525" i="1"/>
  <c r="G517" i="1"/>
  <c r="H517" i="1"/>
  <c r="G509" i="1"/>
  <c r="H509" i="1"/>
  <c r="G501" i="1"/>
  <c r="H501" i="1"/>
  <c r="G493" i="1"/>
  <c r="H493" i="1"/>
  <c r="G485" i="1"/>
  <c r="H485" i="1"/>
  <c r="G477" i="1"/>
  <c r="H477" i="1"/>
  <c r="G469" i="1"/>
  <c r="H469" i="1"/>
  <c r="G461" i="1"/>
  <c r="H461" i="1"/>
  <c r="G453" i="1"/>
  <c r="H453" i="1"/>
  <c r="G445" i="1"/>
  <c r="H445" i="1"/>
  <c r="G437" i="1"/>
  <c r="H437" i="1"/>
  <c r="G429" i="1"/>
  <c r="H429" i="1"/>
  <c r="G421" i="1"/>
  <c r="H421" i="1"/>
  <c r="G413" i="1"/>
  <c r="H413" i="1"/>
  <c r="H405" i="1"/>
  <c r="G405" i="1"/>
  <c r="G397" i="1"/>
  <c r="H397" i="1"/>
  <c r="G389" i="1"/>
  <c r="H389" i="1"/>
  <c r="G381" i="1"/>
  <c r="H381" i="1"/>
  <c r="G373" i="1"/>
  <c r="H373" i="1"/>
  <c r="G365" i="1"/>
  <c r="H365" i="1"/>
  <c r="G357" i="1"/>
  <c r="H357" i="1"/>
  <c r="G349" i="1"/>
  <c r="H349" i="1"/>
  <c r="G341" i="1"/>
  <c r="H341" i="1"/>
  <c r="G333" i="1"/>
  <c r="H333" i="1"/>
  <c r="G325" i="1"/>
  <c r="H325" i="1"/>
  <c r="G317" i="1"/>
  <c r="H317" i="1"/>
  <c r="G309" i="1"/>
  <c r="H309" i="1"/>
  <c r="G301" i="1"/>
  <c r="H301" i="1"/>
  <c r="G293" i="1"/>
  <c r="H293" i="1"/>
  <c r="G285" i="1"/>
  <c r="H285" i="1"/>
  <c r="G277" i="1"/>
  <c r="H277" i="1"/>
  <c r="G269" i="1"/>
  <c r="H269" i="1"/>
  <c r="G261" i="1"/>
  <c r="H261" i="1"/>
  <c r="G253" i="1"/>
  <c r="H253" i="1"/>
  <c r="G245" i="1"/>
  <c r="H245" i="1"/>
  <c r="G237" i="1"/>
  <c r="H237" i="1"/>
  <c r="G229" i="1"/>
  <c r="H229" i="1"/>
  <c r="G221" i="1"/>
  <c r="H221" i="1"/>
  <c r="G213" i="1"/>
  <c r="H213" i="1"/>
  <c r="G205" i="1"/>
  <c r="H205" i="1"/>
  <c r="G197" i="1"/>
  <c r="H197" i="1"/>
  <c r="G189" i="1"/>
  <c r="H189" i="1"/>
  <c r="G181" i="1"/>
  <c r="H181" i="1"/>
  <c r="G173" i="1"/>
  <c r="H173" i="1"/>
  <c r="G165" i="1"/>
  <c r="H165" i="1"/>
  <c r="G157" i="1"/>
  <c r="H157" i="1"/>
  <c r="G149" i="1"/>
  <c r="H149" i="1"/>
  <c r="G141" i="1"/>
  <c r="H141" i="1"/>
  <c r="G133" i="1"/>
  <c r="H133" i="1"/>
  <c r="G125" i="1"/>
  <c r="H125" i="1"/>
  <c r="G117" i="1"/>
  <c r="H117" i="1"/>
  <c r="H1077" i="1"/>
  <c r="H1013" i="1"/>
  <c r="H949" i="1"/>
  <c r="H885" i="1"/>
  <c r="H821" i="1"/>
  <c r="H757" i="1"/>
  <c r="H693" i="1"/>
  <c r="H512" i="1"/>
  <c r="H256" i="1"/>
  <c r="G1052" i="1"/>
  <c r="H1052" i="1"/>
  <c r="G1004" i="1"/>
  <c r="H1004" i="1"/>
  <c r="G964" i="1"/>
  <c r="H964" i="1"/>
  <c r="G916" i="1"/>
  <c r="H916" i="1"/>
  <c r="G876" i="1"/>
  <c r="H876" i="1"/>
  <c r="G844" i="1"/>
  <c r="H844" i="1"/>
  <c r="G804" i="1"/>
  <c r="H804" i="1"/>
  <c r="G740" i="1"/>
  <c r="H740" i="1"/>
  <c r="G660" i="1"/>
  <c r="H660" i="1"/>
  <c r="G1051" i="1"/>
  <c r="H1051" i="1"/>
  <c r="G1019" i="1"/>
  <c r="H1019" i="1"/>
  <c r="G987" i="1"/>
  <c r="H987" i="1"/>
  <c r="G955" i="1"/>
  <c r="H955" i="1"/>
  <c r="G915" i="1"/>
  <c r="H915" i="1"/>
  <c r="G891" i="1"/>
  <c r="H891" i="1"/>
  <c r="G867" i="1"/>
  <c r="H867" i="1"/>
  <c r="G843" i="1"/>
  <c r="H843" i="1"/>
  <c r="G811" i="1"/>
  <c r="H811" i="1"/>
  <c r="G779" i="1"/>
  <c r="H779" i="1"/>
  <c r="G755" i="1"/>
  <c r="H755" i="1"/>
  <c r="G731" i="1"/>
  <c r="H731" i="1"/>
  <c r="G699" i="1"/>
  <c r="H699" i="1"/>
  <c r="G651" i="1"/>
  <c r="H651" i="1"/>
  <c r="G563" i="1"/>
  <c r="H563" i="1"/>
  <c r="G331" i="1"/>
  <c r="H331" i="1"/>
  <c r="G315" i="1"/>
  <c r="H315" i="1"/>
  <c r="G307" i="1"/>
  <c r="H307" i="1"/>
  <c r="G299" i="1"/>
  <c r="H299" i="1"/>
  <c r="G283" i="1"/>
  <c r="H283" i="1"/>
  <c r="G275" i="1"/>
  <c r="H275" i="1"/>
  <c r="G267" i="1"/>
  <c r="H267" i="1"/>
  <c r="G1074" i="1"/>
  <c r="H1074" i="1"/>
  <c r="G1066" i="1"/>
  <c r="H1066" i="1"/>
  <c r="G1058" i="1"/>
  <c r="H1058" i="1"/>
  <c r="G1050" i="1"/>
  <c r="H1050" i="1"/>
  <c r="G1042" i="1"/>
  <c r="H1042" i="1"/>
  <c r="G1034" i="1"/>
  <c r="H1034" i="1"/>
  <c r="G1026" i="1"/>
  <c r="H1026" i="1"/>
  <c r="G1018" i="1"/>
  <c r="H1018" i="1"/>
  <c r="G1010" i="1"/>
  <c r="H1010" i="1"/>
  <c r="G1002" i="1"/>
  <c r="H1002" i="1"/>
  <c r="G994" i="1"/>
  <c r="H994" i="1"/>
  <c r="G986" i="1"/>
  <c r="H986" i="1"/>
  <c r="G978" i="1"/>
  <c r="H978" i="1"/>
  <c r="G970" i="1"/>
  <c r="H970" i="1"/>
  <c r="G962" i="1"/>
  <c r="H962" i="1"/>
  <c r="G954" i="1"/>
  <c r="H954" i="1"/>
  <c r="H946" i="1"/>
  <c r="G946" i="1"/>
  <c r="G938" i="1"/>
  <c r="H938" i="1"/>
  <c r="G930" i="1"/>
  <c r="H930" i="1"/>
  <c r="G922" i="1"/>
  <c r="H922" i="1"/>
  <c r="G914" i="1"/>
  <c r="H914" i="1"/>
  <c r="G906" i="1"/>
  <c r="H906" i="1"/>
  <c r="G898" i="1"/>
  <c r="H898" i="1"/>
  <c r="G890" i="1"/>
  <c r="H890" i="1"/>
  <c r="G882" i="1"/>
  <c r="H882" i="1"/>
  <c r="G874" i="1"/>
  <c r="H874" i="1"/>
  <c r="G866" i="1"/>
  <c r="H866" i="1"/>
  <c r="G858" i="1"/>
  <c r="H858" i="1"/>
  <c r="G850" i="1"/>
  <c r="H850" i="1"/>
  <c r="G842" i="1"/>
  <c r="H842" i="1"/>
  <c r="G834" i="1"/>
  <c r="H834" i="1"/>
  <c r="G826" i="1"/>
  <c r="H826" i="1"/>
  <c r="G818" i="1"/>
  <c r="H818" i="1"/>
  <c r="G810" i="1"/>
  <c r="H810" i="1"/>
  <c r="G802" i="1"/>
  <c r="H802" i="1"/>
  <c r="G794" i="1"/>
  <c r="H794" i="1"/>
  <c r="G786" i="1"/>
  <c r="H786" i="1"/>
  <c r="G778" i="1"/>
  <c r="H778" i="1"/>
  <c r="G770" i="1"/>
  <c r="H770" i="1"/>
  <c r="G762" i="1"/>
  <c r="H762" i="1"/>
  <c r="G754" i="1"/>
  <c r="H754" i="1"/>
  <c r="G746" i="1"/>
  <c r="H746" i="1"/>
  <c r="G738" i="1"/>
  <c r="H738" i="1"/>
  <c r="G730" i="1"/>
  <c r="H730" i="1"/>
  <c r="G722" i="1"/>
  <c r="H722" i="1"/>
  <c r="G714" i="1"/>
  <c r="H714" i="1"/>
  <c r="G706" i="1"/>
  <c r="H706" i="1"/>
  <c r="G698" i="1"/>
  <c r="H698" i="1"/>
  <c r="G690" i="1"/>
  <c r="H690" i="1"/>
  <c r="G682" i="1"/>
  <c r="H682" i="1"/>
  <c r="G674" i="1"/>
  <c r="H674" i="1"/>
  <c r="G666" i="1"/>
  <c r="H666" i="1"/>
  <c r="G658" i="1"/>
  <c r="H658" i="1"/>
  <c r="G650" i="1"/>
  <c r="H650" i="1"/>
  <c r="G642" i="1"/>
  <c r="H642" i="1"/>
  <c r="G634" i="1"/>
  <c r="H634" i="1"/>
  <c r="G626" i="1"/>
  <c r="H626" i="1"/>
  <c r="G618" i="1"/>
  <c r="H618" i="1"/>
  <c r="G610" i="1"/>
  <c r="H610" i="1"/>
  <c r="G602" i="1"/>
  <c r="H602" i="1"/>
  <c r="G594" i="1"/>
  <c r="H594" i="1"/>
  <c r="G586" i="1"/>
  <c r="H586" i="1"/>
  <c r="G578" i="1"/>
  <c r="H578" i="1"/>
  <c r="G570" i="1"/>
  <c r="H570" i="1"/>
  <c r="G562" i="1"/>
  <c r="H562" i="1"/>
  <c r="G554" i="1"/>
  <c r="H554" i="1"/>
  <c r="G546" i="1"/>
  <c r="H546" i="1"/>
  <c r="G538" i="1"/>
  <c r="H538" i="1"/>
  <c r="G530" i="1"/>
  <c r="H530" i="1"/>
  <c r="G522" i="1"/>
  <c r="H522" i="1"/>
  <c r="G514" i="1"/>
  <c r="H514" i="1"/>
  <c r="G506" i="1"/>
  <c r="H506" i="1"/>
  <c r="G498" i="1"/>
  <c r="H498" i="1"/>
  <c r="G490" i="1"/>
  <c r="H490" i="1"/>
  <c r="G482" i="1"/>
  <c r="H482" i="1"/>
  <c r="H474" i="1"/>
  <c r="G474" i="1"/>
  <c r="G466" i="1"/>
  <c r="H466" i="1"/>
  <c r="G458" i="1"/>
  <c r="H458" i="1"/>
  <c r="G450" i="1"/>
  <c r="H450" i="1"/>
  <c r="H442" i="1"/>
  <c r="G442" i="1"/>
  <c r="G434" i="1"/>
  <c r="H434" i="1"/>
  <c r="G426" i="1"/>
  <c r="H426" i="1"/>
  <c r="G418" i="1"/>
  <c r="H418" i="1"/>
  <c r="G410" i="1"/>
  <c r="H410" i="1"/>
  <c r="G402" i="1"/>
  <c r="H402" i="1"/>
  <c r="G394" i="1"/>
  <c r="H394" i="1"/>
  <c r="G386" i="1"/>
  <c r="H386" i="1"/>
  <c r="G378" i="1"/>
  <c r="H378" i="1"/>
  <c r="G370" i="1"/>
  <c r="H370" i="1"/>
  <c r="G362" i="1"/>
  <c r="H362" i="1"/>
  <c r="G354" i="1"/>
  <c r="H354" i="1"/>
  <c r="G346" i="1"/>
  <c r="H346" i="1"/>
  <c r="G338" i="1"/>
  <c r="H338" i="1"/>
  <c r="G330" i="1"/>
  <c r="H330" i="1"/>
  <c r="G322" i="1"/>
  <c r="H322" i="1"/>
  <c r="G314" i="1"/>
  <c r="H314" i="1"/>
  <c r="G306" i="1"/>
  <c r="H306" i="1"/>
  <c r="G298" i="1"/>
  <c r="H298" i="1"/>
  <c r="G290" i="1"/>
  <c r="H290" i="1"/>
  <c r="G282" i="1"/>
  <c r="H282" i="1"/>
  <c r="G274" i="1"/>
  <c r="H274" i="1"/>
  <c r="G266" i="1"/>
  <c r="H266" i="1"/>
  <c r="G258" i="1"/>
  <c r="H258" i="1"/>
  <c r="G250" i="1"/>
  <c r="H250" i="1"/>
  <c r="G242" i="1"/>
  <c r="H242" i="1"/>
  <c r="G234" i="1"/>
  <c r="H234" i="1"/>
  <c r="G226" i="1"/>
  <c r="H226" i="1"/>
  <c r="G218" i="1"/>
  <c r="H218" i="1"/>
  <c r="G210" i="1"/>
  <c r="H210" i="1"/>
  <c r="G202" i="1"/>
  <c r="H202" i="1"/>
  <c r="G194" i="1"/>
  <c r="H194" i="1"/>
  <c r="G186" i="1"/>
  <c r="H186" i="1"/>
  <c r="H178" i="1"/>
  <c r="G178" i="1"/>
  <c r="G170" i="1"/>
  <c r="H170" i="1"/>
  <c r="G162" i="1"/>
  <c r="H162" i="1"/>
  <c r="G154" i="1"/>
  <c r="H154" i="1"/>
  <c r="G146" i="1"/>
  <c r="H146" i="1"/>
  <c r="G138" i="1"/>
  <c r="H138" i="1"/>
  <c r="G130" i="1"/>
  <c r="H130" i="1"/>
  <c r="G122" i="1"/>
  <c r="H122" i="1"/>
  <c r="G114" i="1"/>
  <c r="H114" i="1"/>
  <c r="G106" i="1"/>
  <c r="H106" i="1"/>
  <c r="G934" i="1"/>
  <c r="H1053" i="1"/>
  <c r="H989" i="1"/>
  <c r="H925" i="1"/>
  <c r="H861" i="1"/>
  <c r="H797" i="1"/>
  <c r="H733" i="1"/>
  <c r="H656" i="1"/>
  <c r="H416" i="1"/>
  <c r="H160" i="1"/>
  <c r="G1012" i="1"/>
  <c r="H1012" i="1"/>
  <c r="G508" i="1"/>
  <c r="H508" i="1"/>
  <c r="G1059" i="1"/>
  <c r="H1059" i="1"/>
  <c r="G1027" i="1"/>
  <c r="H1027" i="1"/>
  <c r="G995" i="1"/>
  <c r="H995" i="1"/>
  <c r="G939" i="1"/>
  <c r="H939" i="1"/>
  <c r="H819" i="1"/>
  <c r="G819" i="1"/>
  <c r="G787" i="1"/>
  <c r="H787" i="1"/>
  <c r="G747" i="1"/>
  <c r="H747" i="1"/>
  <c r="G723" i="1"/>
  <c r="H723" i="1"/>
  <c r="G683" i="1"/>
  <c r="H683" i="1"/>
  <c r="H659" i="1"/>
  <c r="G659" i="1"/>
  <c r="H619" i="1"/>
  <c r="G619" i="1"/>
  <c r="G595" i="1"/>
  <c r="H595" i="1"/>
  <c r="G555" i="1"/>
  <c r="H555" i="1"/>
  <c r="G531" i="1"/>
  <c r="H531" i="1"/>
  <c r="G499" i="1"/>
  <c r="H499" i="1"/>
  <c r="G483" i="1"/>
  <c r="H483" i="1"/>
  <c r="G459" i="1"/>
  <c r="H459" i="1"/>
  <c r="G443" i="1"/>
  <c r="H443" i="1"/>
  <c r="G427" i="1"/>
  <c r="H427" i="1"/>
  <c r="G403" i="1"/>
  <c r="H403" i="1"/>
  <c r="G387" i="1"/>
  <c r="H387" i="1"/>
  <c r="G355" i="1"/>
  <c r="H355" i="1"/>
  <c r="G291" i="1"/>
  <c r="H291" i="1"/>
  <c r="G2" i="1"/>
  <c r="H2" i="1"/>
  <c r="G1073" i="1"/>
  <c r="H1073" i="1"/>
  <c r="G1065" i="1"/>
  <c r="H1065" i="1"/>
  <c r="G1057" i="1"/>
  <c r="H1057" i="1"/>
  <c r="G1049" i="1"/>
  <c r="H1049" i="1"/>
  <c r="G1041" i="1"/>
  <c r="H1041" i="1"/>
  <c r="G1033" i="1"/>
  <c r="H1033" i="1"/>
  <c r="G1025" i="1"/>
  <c r="H1025" i="1"/>
  <c r="G1017" i="1"/>
  <c r="H1017" i="1"/>
  <c r="G1009" i="1"/>
  <c r="H1009" i="1"/>
  <c r="G1001" i="1"/>
  <c r="H1001" i="1"/>
  <c r="G993" i="1"/>
  <c r="H993" i="1"/>
  <c r="G985" i="1"/>
  <c r="H985" i="1"/>
  <c r="G977" i="1"/>
  <c r="H977" i="1"/>
  <c r="G969" i="1"/>
  <c r="H969" i="1"/>
  <c r="G961" i="1"/>
  <c r="H961" i="1"/>
  <c r="G953" i="1"/>
  <c r="H953" i="1"/>
  <c r="G945" i="1"/>
  <c r="H945" i="1"/>
  <c r="G937" i="1"/>
  <c r="H937" i="1"/>
  <c r="G929" i="1"/>
  <c r="H929" i="1"/>
  <c r="H921" i="1"/>
  <c r="G921" i="1"/>
  <c r="G913" i="1"/>
  <c r="H913" i="1"/>
  <c r="G905" i="1"/>
  <c r="H905" i="1"/>
  <c r="G897" i="1"/>
  <c r="H897" i="1"/>
  <c r="G889" i="1"/>
  <c r="H889" i="1"/>
  <c r="G881" i="1"/>
  <c r="H881" i="1"/>
  <c r="G873" i="1"/>
  <c r="H873" i="1"/>
  <c r="G865" i="1"/>
  <c r="H865" i="1"/>
  <c r="G857" i="1"/>
  <c r="H857" i="1"/>
  <c r="G849" i="1"/>
  <c r="H849" i="1"/>
  <c r="G841" i="1"/>
  <c r="H841" i="1"/>
  <c r="G833" i="1"/>
  <c r="H833" i="1"/>
  <c r="G825" i="1"/>
  <c r="H825" i="1"/>
  <c r="G817" i="1"/>
  <c r="H817" i="1"/>
  <c r="G809" i="1"/>
  <c r="H809" i="1"/>
  <c r="G801" i="1"/>
  <c r="H801" i="1"/>
  <c r="H793" i="1"/>
  <c r="G793" i="1"/>
  <c r="G785" i="1"/>
  <c r="H785" i="1"/>
  <c r="G777" i="1"/>
  <c r="H777" i="1"/>
  <c r="G769" i="1"/>
  <c r="H769" i="1"/>
  <c r="G761" i="1"/>
  <c r="H761" i="1"/>
  <c r="G753" i="1"/>
  <c r="H753" i="1"/>
  <c r="G745" i="1"/>
  <c r="H745" i="1"/>
  <c r="G737" i="1"/>
  <c r="H737" i="1"/>
  <c r="G721" i="1"/>
  <c r="H721" i="1"/>
  <c r="G713" i="1"/>
  <c r="H713" i="1"/>
  <c r="G705" i="1"/>
  <c r="H705" i="1"/>
  <c r="G697" i="1"/>
  <c r="H697" i="1"/>
  <c r="G689" i="1"/>
  <c r="H689" i="1"/>
  <c r="G681" i="1"/>
  <c r="H681" i="1"/>
  <c r="G665" i="1"/>
  <c r="H665" i="1"/>
  <c r="G657" i="1"/>
  <c r="H657" i="1"/>
  <c r="G649" i="1"/>
  <c r="H649" i="1"/>
  <c r="G641" i="1"/>
  <c r="H641" i="1"/>
  <c r="G625" i="1"/>
  <c r="H625" i="1"/>
  <c r="G617" i="1"/>
  <c r="H617" i="1"/>
  <c r="G609" i="1"/>
  <c r="H609" i="1"/>
  <c r="G601" i="1"/>
  <c r="H601" i="1"/>
  <c r="G593" i="1"/>
  <c r="H593" i="1"/>
  <c r="G585" i="1"/>
  <c r="H585" i="1"/>
  <c r="G577" i="1"/>
  <c r="H577" i="1"/>
  <c r="G569" i="1"/>
  <c r="H569" i="1"/>
  <c r="G561" i="1"/>
  <c r="H561" i="1"/>
  <c r="G553" i="1"/>
  <c r="H553" i="1"/>
  <c r="G545" i="1"/>
  <c r="H545" i="1"/>
  <c r="G537" i="1"/>
  <c r="H537" i="1"/>
  <c r="G529" i="1"/>
  <c r="H529" i="1"/>
  <c r="G521" i="1"/>
  <c r="H521" i="1"/>
  <c r="G513" i="1"/>
  <c r="H513" i="1"/>
  <c r="G505" i="1"/>
  <c r="H505" i="1"/>
  <c r="G497" i="1"/>
  <c r="H497" i="1"/>
  <c r="G489" i="1"/>
  <c r="H489" i="1"/>
  <c r="G481" i="1"/>
  <c r="H481" i="1"/>
  <c r="G473" i="1"/>
  <c r="H473" i="1"/>
  <c r="G465" i="1"/>
  <c r="H465" i="1"/>
  <c r="G457" i="1"/>
  <c r="H457" i="1"/>
  <c r="G449" i="1"/>
  <c r="H449" i="1"/>
  <c r="G441" i="1"/>
  <c r="H441" i="1"/>
  <c r="G433" i="1"/>
  <c r="H433" i="1"/>
  <c r="G425" i="1"/>
  <c r="H425" i="1"/>
  <c r="G417" i="1"/>
  <c r="H417" i="1"/>
  <c r="G409" i="1"/>
  <c r="H409" i="1"/>
  <c r="G401" i="1"/>
  <c r="H401" i="1"/>
  <c r="G393" i="1"/>
  <c r="H393" i="1"/>
  <c r="G385" i="1"/>
  <c r="H385" i="1"/>
  <c r="G377" i="1"/>
  <c r="H377" i="1"/>
  <c r="G369" i="1"/>
  <c r="H369" i="1"/>
  <c r="G361" i="1"/>
  <c r="H361" i="1"/>
  <c r="G353" i="1"/>
  <c r="H353" i="1"/>
  <c r="G345" i="1"/>
  <c r="H345" i="1"/>
  <c r="G337" i="1"/>
  <c r="H337" i="1"/>
  <c r="G329" i="1"/>
  <c r="H329" i="1"/>
  <c r="G321" i="1"/>
  <c r="H321" i="1"/>
  <c r="G313" i="1"/>
  <c r="H313" i="1"/>
  <c r="G305" i="1"/>
  <c r="H305" i="1"/>
  <c r="G297" i="1"/>
  <c r="H297" i="1"/>
  <c r="G289" i="1"/>
  <c r="H289" i="1"/>
  <c r="G281" i="1"/>
  <c r="H281" i="1"/>
  <c r="G273" i="1"/>
  <c r="H273" i="1"/>
  <c r="G265" i="1"/>
  <c r="H265" i="1"/>
  <c r="G257" i="1"/>
  <c r="H257" i="1"/>
  <c r="G249" i="1"/>
  <c r="H249" i="1"/>
  <c r="G241" i="1"/>
  <c r="H241" i="1"/>
  <c r="G233" i="1"/>
  <c r="H233" i="1"/>
  <c r="G225" i="1"/>
  <c r="H225" i="1"/>
  <c r="G217" i="1"/>
  <c r="H217" i="1"/>
  <c r="G209" i="1"/>
  <c r="H209" i="1"/>
  <c r="G201" i="1"/>
  <c r="H201" i="1"/>
  <c r="G193" i="1"/>
  <c r="H193" i="1"/>
  <c r="G185" i="1"/>
  <c r="H185" i="1"/>
  <c r="G831" i="1"/>
  <c r="H1045" i="1"/>
  <c r="H981" i="1"/>
  <c r="H917" i="1"/>
  <c r="H853" i="1"/>
  <c r="H789" i="1"/>
  <c r="H725" i="1"/>
  <c r="H633" i="1"/>
  <c r="H384" i="1"/>
  <c r="H128" i="1"/>
  <c r="G1076" i="1"/>
  <c r="H1076" i="1"/>
  <c r="G1036" i="1"/>
  <c r="H1036" i="1"/>
  <c r="G988" i="1"/>
  <c r="H988" i="1"/>
  <c r="G948" i="1"/>
  <c r="H948" i="1"/>
  <c r="G924" i="1"/>
  <c r="H924" i="1"/>
  <c r="G900" i="1"/>
  <c r="H900" i="1"/>
  <c r="G860" i="1"/>
  <c r="H860" i="1"/>
  <c r="G820" i="1"/>
  <c r="H820" i="1"/>
  <c r="G788" i="1"/>
  <c r="H788" i="1"/>
  <c r="G772" i="1"/>
  <c r="H772" i="1"/>
  <c r="G732" i="1"/>
  <c r="H732" i="1"/>
  <c r="G716" i="1"/>
  <c r="H716" i="1"/>
  <c r="G700" i="1"/>
  <c r="H700" i="1"/>
  <c r="G692" i="1"/>
  <c r="H692" i="1"/>
  <c r="H676" i="1"/>
  <c r="G676" i="1"/>
  <c r="G668" i="1"/>
  <c r="H668" i="1"/>
  <c r="G652" i="1"/>
  <c r="H652" i="1"/>
  <c r="G636" i="1"/>
  <c r="H636" i="1"/>
  <c r="G628" i="1"/>
  <c r="H628" i="1"/>
  <c r="G620" i="1"/>
  <c r="H620" i="1"/>
  <c r="G596" i="1"/>
  <c r="H596" i="1"/>
  <c r="G588" i="1"/>
  <c r="H588" i="1"/>
  <c r="G580" i="1"/>
  <c r="H580" i="1"/>
  <c r="G572" i="1"/>
  <c r="H572" i="1"/>
  <c r="G564" i="1"/>
  <c r="H564" i="1"/>
  <c r="G556" i="1"/>
  <c r="H556" i="1"/>
  <c r="G548" i="1"/>
  <c r="H548" i="1"/>
  <c r="G540" i="1"/>
  <c r="H540" i="1"/>
  <c r="G532" i="1"/>
  <c r="H532" i="1"/>
  <c r="G524" i="1"/>
  <c r="H524" i="1"/>
  <c r="G516" i="1"/>
  <c r="H516" i="1"/>
  <c r="G500" i="1"/>
  <c r="H500" i="1"/>
  <c r="G492" i="1"/>
  <c r="H492" i="1"/>
  <c r="G484" i="1"/>
  <c r="H484" i="1"/>
  <c r="G476" i="1"/>
  <c r="H476" i="1"/>
  <c r="G468" i="1"/>
  <c r="H468" i="1"/>
  <c r="G460" i="1"/>
  <c r="H460" i="1"/>
  <c r="G1067" i="1"/>
  <c r="H1067" i="1"/>
  <c r="G1043" i="1"/>
  <c r="H1043" i="1"/>
  <c r="G1011" i="1"/>
  <c r="H1011" i="1"/>
  <c r="G1003" i="1"/>
  <c r="H1003" i="1"/>
  <c r="G979" i="1"/>
  <c r="H979" i="1"/>
  <c r="G947" i="1"/>
  <c r="H947" i="1"/>
  <c r="G931" i="1"/>
  <c r="H931" i="1"/>
  <c r="G907" i="1"/>
  <c r="H907" i="1"/>
  <c r="G875" i="1"/>
  <c r="H875" i="1"/>
  <c r="G851" i="1"/>
  <c r="H851" i="1"/>
  <c r="G827" i="1"/>
  <c r="H827" i="1"/>
  <c r="G803" i="1"/>
  <c r="H803" i="1"/>
  <c r="G771" i="1"/>
  <c r="H771" i="1"/>
  <c r="G739" i="1"/>
  <c r="H739" i="1"/>
  <c r="G715" i="1"/>
  <c r="H715" i="1"/>
  <c r="G691" i="1"/>
  <c r="H691" i="1"/>
  <c r="G675" i="1"/>
  <c r="H675" i="1"/>
  <c r="G627" i="1"/>
  <c r="H627" i="1"/>
  <c r="G603" i="1"/>
  <c r="H603" i="1"/>
  <c r="G579" i="1"/>
  <c r="H579" i="1"/>
  <c r="G547" i="1"/>
  <c r="H547" i="1"/>
  <c r="G539" i="1"/>
  <c r="H539" i="1"/>
  <c r="G523" i="1"/>
  <c r="H523" i="1"/>
  <c r="G507" i="1"/>
  <c r="H507" i="1"/>
  <c r="G491" i="1"/>
  <c r="H491" i="1"/>
  <c r="G475" i="1"/>
  <c r="H475" i="1"/>
  <c r="G467" i="1"/>
  <c r="H467" i="1"/>
  <c r="G451" i="1"/>
  <c r="H451" i="1"/>
  <c r="G435" i="1"/>
  <c r="H435" i="1"/>
  <c r="G419" i="1"/>
  <c r="H419" i="1"/>
  <c r="G411" i="1"/>
  <c r="H411" i="1"/>
  <c r="G395" i="1"/>
  <c r="H395" i="1"/>
  <c r="G379" i="1"/>
  <c r="H379" i="1"/>
  <c r="H371" i="1"/>
  <c r="G371" i="1"/>
  <c r="G363" i="1"/>
  <c r="H363" i="1"/>
  <c r="G347" i="1"/>
  <c r="H347" i="1"/>
  <c r="G1080" i="1"/>
  <c r="H1080" i="1"/>
  <c r="G1072" i="1"/>
  <c r="H1072" i="1"/>
  <c r="G1064" i="1"/>
  <c r="H1064" i="1"/>
  <c r="G1056" i="1"/>
  <c r="H1056" i="1"/>
  <c r="G1048" i="1"/>
  <c r="H1048" i="1"/>
  <c r="G1040" i="1"/>
  <c r="H1040" i="1"/>
  <c r="G1032" i="1"/>
  <c r="H1032" i="1"/>
  <c r="G1024" i="1"/>
  <c r="H1024" i="1"/>
  <c r="G1016" i="1"/>
  <c r="H1016" i="1"/>
  <c r="G1008" i="1"/>
  <c r="H1008" i="1"/>
  <c r="G1000" i="1"/>
  <c r="H1000" i="1"/>
  <c r="G992" i="1"/>
  <c r="H992" i="1"/>
  <c r="G984" i="1"/>
  <c r="H984" i="1"/>
  <c r="G976" i="1"/>
  <c r="H976" i="1"/>
  <c r="G968" i="1"/>
  <c r="H968" i="1"/>
  <c r="G960" i="1"/>
  <c r="H960" i="1"/>
  <c r="G952" i="1"/>
  <c r="H952" i="1"/>
  <c r="G944" i="1"/>
  <c r="H944" i="1"/>
  <c r="G936" i="1"/>
  <c r="H936" i="1"/>
  <c r="G928" i="1"/>
  <c r="H928" i="1"/>
  <c r="G920" i="1"/>
  <c r="H920" i="1"/>
  <c r="G912" i="1"/>
  <c r="H912" i="1"/>
  <c r="G904" i="1"/>
  <c r="H904" i="1"/>
  <c r="G896" i="1"/>
  <c r="H896" i="1"/>
  <c r="G888" i="1"/>
  <c r="H888" i="1"/>
  <c r="G880" i="1"/>
  <c r="H880" i="1"/>
  <c r="G872" i="1"/>
  <c r="H872" i="1"/>
  <c r="G864" i="1"/>
  <c r="H864" i="1"/>
  <c r="G856" i="1"/>
  <c r="H856" i="1"/>
  <c r="G848" i="1"/>
  <c r="H848" i="1"/>
  <c r="G840" i="1"/>
  <c r="H840" i="1"/>
  <c r="G832" i="1"/>
  <c r="H832" i="1"/>
  <c r="G824" i="1"/>
  <c r="H824" i="1"/>
  <c r="G816" i="1"/>
  <c r="H816" i="1"/>
  <c r="G808" i="1"/>
  <c r="H808" i="1"/>
  <c r="G800" i="1"/>
  <c r="H800" i="1"/>
  <c r="G792" i="1"/>
  <c r="H792" i="1"/>
  <c r="G784" i="1"/>
  <c r="H784" i="1"/>
  <c r="G776" i="1"/>
  <c r="H776" i="1"/>
  <c r="G768" i="1"/>
  <c r="H768" i="1"/>
  <c r="G760" i="1"/>
  <c r="H760" i="1"/>
  <c r="G752" i="1"/>
  <c r="H752" i="1"/>
  <c r="G744" i="1"/>
  <c r="H744" i="1"/>
  <c r="G736" i="1"/>
  <c r="H736" i="1"/>
  <c r="G728" i="1"/>
  <c r="H728" i="1"/>
  <c r="G720" i="1"/>
  <c r="H720" i="1"/>
  <c r="G712" i="1"/>
  <c r="H712" i="1"/>
  <c r="G704" i="1"/>
  <c r="H704" i="1"/>
  <c r="G696" i="1"/>
  <c r="H696" i="1"/>
  <c r="G688" i="1"/>
  <c r="H688" i="1"/>
  <c r="G680" i="1"/>
  <c r="H680" i="1"/>
  <c r="G672" i="1"/>
  <c r="H672" i="1"/>
  <c r="G664" i="1"/>
  <c r="H664" i="1"/>
  <c r="G648" i="1"/>
  <c r="H648" i="1"/>
  <c r="G640" i="1"/>
  <c r="H640" i="1"/>
  <c r="G632" i="1"/>
  <c r="H632" i="1"/>
  <c r="G624" i="1"/>
  <c r="H624" i="1"/>
  <c r="G616" i="1"/>
  <c r="H616" i="1"/>
  <c r="G600" i="1"/>
  <c r="H600" i="1"/>
  <c r="G592" i="1"/>
  <c r="H592" i="1"/>
  <c r="G584" i="1"/>
  <c r="H584" i="1"/>
  <c r="G568" i="1"/>
  <c r="H568" i="1"/>
  <c r="G560" i="1"/>
  <c r="H560" i="1"/>
  <c r="G552" i="1"/>
  <c r="H552" i="1"/>
  <c r="G536" i="1"/>
  <c r="H536" i="1"/>
  <c r="G528" i="1"/>
  <c r="H528" i="1"/>
  <c r="G520" i="1"/>
  <c r="H520" i="1"/>
  <c r="G504" i="1"/>
  <c r="H504" i="1"/>
  <c r="G496" i="1"/>
  <c r="H496" i="1"/>
  <c r="G488" i="1"/>
  <c r="H488" i="1"/>
  <c r="G472" i="1"/>
  <c r="H472" i="1"/>
  <c r="G464" i="1"/>
  <c r="H464" i="1"/>
  <c r="G456" i="1"/>
  <c r="H456" i="1"/>
  <c r="G440" i="1"/>
  <c r="H440" i="1"/>
  <c r="G432" i="1"/>
  <c r="H432" i="1"/>
  <c r="G424" i="1"/>
  <c r="H424" i="1"/>
  <c r="G408" i="1"/>
  <c r="H408" i="1"/>
  <c r="G400" i="1"/>
  <c r="H400" i="1"/>
  <c r="G392" i="1"/>
  <c r="H392" i="1"/>
  <c r="G376" i="1"/>
  <c r="H376" i="1"/>
  <c r="G368" i="1"/>
  <c r="H368" i="1"/>
  <c r="G360" i="1"/>
  <c r="H360" i="1"/>
  <c r="G344" i="1"/>
  <c r="H344" i="1"/>
  <c r="G336" i="1"/>
  <c r="H336" i="1"/>
  <c r="G328" i="1"/>
  <c r="H328" i="1"/>
  <c r="G312" i="1"/>
  <c r="H312" i="1"/>
  <c r="G304" i="1"/>
  <c r="H304" i="1"/>
  <c r="G296" i="1"/>
  <c r="H296" i="1"/>
  <c r="G280" i="1"/>
  <c r="H280" i="1"/>
  <c r="G272" i="1"/>
  <c r="H272" i="1"/>
  <c r="G264" i="1"/>
  <c r="H264" i="1"/>
  <c r="G248" i="1"/>
  <c r="H248" i="1"/>
  <c r="G240" i="1"/>
  <c r="H240" i="1"/>
  <c r="G232" i="1"/>
  <c r="H232" i="1"/>
  <c r="G216" i="1"/>
  <c r="H216" i="1"/>
  <c r="G208" i="1"/>
  <c r="H208" i="1"/>
  <c r="G200" i="1"/>
  <c r="H200" i="1"/>
  <c r="G184" i="1"/>
  <c r="H184" i="1"/>
  <c r="G176" i="1"/>
  <c r="H176" i="1"/>
  <c r="G168" i="1"/>
  <c r="H168" i="1"/>
  <c r="G152" i="1"/>
  <c r="H152" i="1"/>
  <c r="G144" i="1"/>
  <c r="H144" i="1"/>
  <c r="G136" i="1"/>
  <c r="H136" i="1"/>
  <c r="G120" i="1"/>
  <c r="H120" i="1"/>
  <c r="G112" i="1"/>
  <c r="H112" i="1"/>
  <c r="G104" i="1"/>
  <c r="H104" i="1"/>
  <c r="G88" i="1"/>
  <c r="H88" i="1"/>
  <c r="G80" i="1"/>
  <c r="H80" i="1"/>
  <c r="G72" i="1"/>
  <c r="H72" i="1"/>
  <c r="G56" i="1"/>
  <c r="H56" i="1"/>
  <c r="G729" i="1"/>
  <c r="H1037" i="1"/>
  <c r="H973" i="1"/>
  <c r="H909" i="1"/>
  <c r="H845" i="1"/>
  <c r="H781" i="1"/>
  <c r="H717" i="1"/>
  <c r="H608" i="1"/>
  <c r="H352" i="1"/>
  <c r="H96" i="1"/>
  <c r="G1044" i="1"/>
  <c r="H1044" i="1"/>
  <c r="G996" i="1"/>
  <c r="H996" i="1"/>
  <c r="G940" i="1"/>
  <c r="H940" i="1"/>
  <c r="G884" i="1"/>
  <c r="H884" i="1"/>
  <c r="G828" i="1"/>
  <c r="H828" i="1"/>
  <c r="G764" i="1"/>
  <c r="H764" i="1"/>
  <c r="G612" i="1"/>
  <c r="H612" i="1"/>
  <c r="G1035" i="1"/>
  <c r="H1035" i="1"/>
  <c r="G971" i="1"/>
  <c r="H971" i="1"/>
  <c r="G923" i="1"/>
  <c r="H923" i="1"/>
  <c r="G899" i="1"/>
  <c r="H899" i="1"/>
  <c r="G883" i="1"/>
  <c r="H883" i="1"/>
  <c r="G859" i="1"/>
  <c r="H859" i="1"/>
  <c r="G835" i="1"/>
  <c r="H835" i="1"/>
  <c r="G795" i="1"/>
  <c r="H795" i="1"/>
  <c r="G763" i="1"/>
  <c r="H763" i="1"/>
  <c r="G707" i="1"/>
  <c r="H707" i="1"/>
  <c r="G667" i="1"/>
  <c r="H667" i="1"/>
  <c r="G635" i="1"/>
  <c r="H635" i="1"/>
  <c r="G611" i="1"/>
  <c r="H611" i="1"/>
  <c r="G587" i="1"/>
  <c r="H587" i="1"/>
  <c r="G515" i="1"/>
  <c r="H515" i="1"/>
  <c r="G323" i="1"/>
  <c r="H323" i="1"/>
  <c r="G823" i="1"/>
  <c r="H823" i="1"/>
  <c r="G815" i="1"/>
  <c r="H815" i="1"/>
  <c r="G807" i="1"/>
  <c r="H807" i="1"/>
  <c r="G799" i="1"/>
  <c r="H799" i="1"/>
  <c r="G791" i="1"/>
  <c r="H791" i="1"/>
  <c r="G783" i="1"/>
  <c r="H783" i="1"/>
  <c r="G775" i="1"/>
  <c r="H775" i="1"/>
  <c r="G759" i="1"/>
  <c r="H759" i="1"/>
  <c r="G751" i="1"/>
  <c r="H751" i="1"/>
  <c r="G743" i="1"/>
  <c r="H743" i="1"/>
  <c r="G735" i="1"/>
  <c r="H735" i="1"/>
  <c r="G727" i="1"/>
  <c r="H727" i="1"/>
  <c r="G719" i="1"/>
  <c r="H719" i="1"/>
  <c r="G711" i="1"/>
  <c r="H711" i="1"/>
  <c r="H703" i="1"/>
  <c r="G703" i="1"/>
  <c r="G695" i="1"/>
  <c r="H695" i="1"/>
  <c r="G687" i="1"/>
  <c r="H687" i="1"/>
  <c r="G679" i="1"/>
  <c r="H679" i="1"/>
  <c r="G671" i="1"/>
  <c r="H671" i="1"/>
  <c r="G663" i="1"/>
  <c r="H663" i="1"/>
  <c r="G655" i="1"/>
  <c r="H655" i="1"/>
  <c r="G647" i="1"/>
  <c r="H647" i="1"/>
  <c r="G639" i="1"/>
  <c r="H639" i="1"/>
  <c r="G631" i="1"/>
  <c r="H631" i="1"/>
  <c r="G623" i="1"/>
  <c r="H623" i="1"/>
  <c r="G615" i="1"/>
  <c r="H615" i="1"/>
  <c r="G607" i="1"/>
  <c r="H607" i="1"/>
  <c r="G599" i="1"/>
  <c r="H599" i="1"/>
  <c r="G591" i="1"/>
  <c r="H591" i="1"/>
  <c r="G583" i="1"/>
  <c r="H583" i="1"/>
  <c r="G575" i="1"/>
  <c r="H575" i="1"/>
  <c r="G567" i="1"/>
  <c r="H567" i="1"/>
  <c r="H559" i="1"/>
  <c r="G559" i="1"/>
  <c r="G551" i="1"/>
  <c r="H551" i="1"/>
  <c r="G543" i="1"/>
  <c r="H543" i="1"/>
  <c r="G535" i="1"/>
  <c r="H535" i="1"/>
  <c r="G527" i="1"/>
  <c r="H527" i="1"/>
  <c r="G519" i="1"/>
  <c r="H519" i="1"/>
  <c r="G511" i="1"/>
  <c r="H511" i="1"/>
  <c r="H503" i="1"/>
  <c r="G503" i="1"/>
  <c r="G495" i="1"/>
  <c r="H495" i="1"/>
  <c r="G487" i="1"/>
  <c r="H487" i="1"/>
  <c r="G479" i="1"/>
  <c r="H479" i="1"/>
  <c r="G471" i="1"/>
  <c r="H471" i="1"/>
  <c r="G463" i="1"/>
  <c r="H463" i="1"/>
  <c r="G455" i="1"/>
  <c r="H455" i="1"/>
  <c r="G447" i="1"/>
  <c r="H447" i="1"/>
  <c r="G439" i="1"/>
  <c r="H439" i="1"/>
  <c r="G431" i="1"/>
  <c r="H431" i="1"/>
  <c r="G423" i="1"/>
  <c r="H423" i="1"/>
  <c r="G415" i="1"/>
  <c r="H415" i="1"/>
  <c r="G407" i="1"/>
  <c r="H407" i="1"/>
  <c r="G399" i="1"/>
  <c r="H399" i="1"/>
  <c r="G391" i="1"/>
  <c r="H391" i="1"/>
  <c r="G383" i="1"/>
  <c r="H383" i="1"/>
  <c r="G375" i="1"/>
  <c r="H375" i="1"/>
  <c r="G367" i="1"/>
  <c r="H367" i="1"/>
  <c r="G359" i="1"/>
  <c r="H359" i="1"/>
  <c r="G351" i="1"/>
  <c r="H351" i="1"/>
  <c r="G343" i="1"/>
  <c r="H343" i="1"/>
  <c r="G335" i="1"/>
  <c r="H335" i="1"/>
  <c r="G327" i="1"/>
  <c r="H327" i="1"/>
  <c r="G319" i="1"/>
  <c r="H319" i="1"/>
  <c r="G311" i="1"/>
  <c r="H311" i="1"/>
  <c r="G303" i="1"/>
  <c r="H303" i="1"/>
  <c r="G295" i="1"/>
  <c r="H295" i="1"/>
  <c r="G287" i="1"/>
  <c r="H287" i="1"/>
  <c r="G279" i="1"/>
  <c r="H279" i="1"/>
  <c r="G271" i="1"/>
  <c r="H271" i="1"/>
  <c r="G263" i="1"/>
  <c r="H263" i="1"/>
  <c r="G255" i="1"/>
  <c r="H255" i="1"/>
  <c r="G247" i="1"/>
  <c r="H247" i="1"/>
  <c r="G239" i="1"/>
  <c r="H239" i="1"/>
  <c r="G231" i="1"/>
  <c r="H231" i="1"/>
  <c r="G223" i="1"/>
  <c r="H223" i="1"/>
  <c r="G215" i="1"/>
  <c r="H215" i="1"/>
  <c r="G207" i="1"/>
  <c r="H207" i="1"/>
  <c r="G199" i="1"/>
  <c r="H199" i="1"/>
  <c r="G191" i="1"/>
  <c r="H191" i="1"/>
  <c r="G183" i="1"/>
  <c r="H183" i="1"/>
  <c r="G175" i="1"/>
  <c r="H175" i="1"/>
  <c r="G167" i="1"/>
  <c r="H167" i="1"/>
  <c r="G159" i="1"/>
  <c r="H159" i="1"/>
  <c r="G151" i="1"/>
  <c r="H151" i="1"/>
  <c r="G143" i="1"/>
  <c r="H143" i="1"/>
  <c r="G135" i="1"/>
  <c r="H135" i="1"/>
  <c r="G127" i="1"/>
  <c r="H127" i="1"/>
  <c r="G119" i="1"/>
  <c r="H119" i="1"/>
  <c r="G111" i="1"/>
  <c r="H111" i="1"/>
  <c r="G103" i="1"/>
  <c r="H103" i="1"/>
  <c r="G95" i="1"/>
  <c r="H95" i="1"/>
  <c r="G87" i="1"/>
  <c r="H87" i="1"/>
  <c r="G79" i="1"/>
  <c r="H79" i="1"/>
  <c r="G71" i="1"/>
  <c r="H71" i="1"/>
  <c r="G63" i="1"/>
  <c r="H63" i="1"/>
  <c r="G55" i="1"/>
  <c r="H55" i="1"/>
  <c r="G47" i="1"/>
  <c r="H47" i="1"/>
  <c r="G39" i="1"/>
  <c r="H39" i="1"/>
  <c r="G31" i="1"/>
  <c r="H31" i="1"/>
  <c r="G23" i="1"/>
  <c r="H23" i="1"/>
  <c r="G15" i="1"/>
  <c r="H15" i="1"/>
  <c r="G7" i="1"/>
  <c r="H7" i="1"/>
  <c r="G589" i="1"/>
  <c r="H1029" i="1"/>
  <c r="H965" i="1"/>
  <c r="H901" i="1"/>
  <c r="H837" i="1"/>
  <c r="H773" i="1"/>
  <c r="H709" i="1"/>
  <c r="H576" i="1"/>
  <c r="H320" i="1"/>
  <c r="H64" i="1"/>
  <c r="G1060" i="1"/>
  <c r="H1060" i="1"/>
  <c r="G1020" i="1"/>
  <c r="H1020" i="1"/>
  <c r="G972" i="1"/>
  <c r="H972" i="1"/>
  <c r="G932" i="1"/>
  <c r="H932" i="1"/>
  <c r="G892" i="1"/>
  <c r="H892" i="1"/>
  <c r="G852" i="1"/>
  <c r="H852" i="1"/>
  <c r="G812" i="1"/>
  <c r="H812" i="1"/>
  <c r="G780" i="1"/>
  <c r="H780" i="1"/>
  <c r="G748" i="1"/>
  <c r="H748" i="1"/>
  <c r="G724" i="1"/>
  <c r="H724" i="1"/>
  <c r="G708" i="1"/>
  <c r="H708" i="1"/>
  <c r="G684" i="1"/>
  <c r="H684" i="1"/>
  <c r="G604" i="1"/>
  <c r="H604" i="1"/>
  <c r="G1075" i="1"/>
  <c r="H1075" i="1"/>
  <c r="H643" i="1"/>
  <c r="G643" i="1"/>
  <c r="G1071" i="1"/>
  <c r="H1071" i="1"/>
  <c r="G1055" i="1"/>
  <c r="H1055" i="1"/>
  <c r="G1031" i="1"/>
  <c r="H1031" i="1"/>
  <c r="G1015" i="1"/>
  <c r="H1015" i="1"/>
  <c r="H999" i="1"/>
  <c r="G999" i="1"/>
  <c r="G991" i="1"/>
  <c r="H991" i="1"/>
  <c r="G975" i="1"/>
  <c r="H975" i="1"/>
  <c r="G959" i="1"/>
  <c r="H959" i="1"/>
  <c r="G951" i="1"/>
  <c r="H951" i="1"/>
  <c r="G935" i="1"/>
  <c r="H935" i="1"/>
  <c r="G927" i="1"/>
  <c r="H927" i="1"/>
  <c r="G919" i="1"/>
  <c r="H919" i="1"/>
  <c r="G911" i="1"/>
  <c r="H911" i="1"/>
  <c r="G903" i="1"/>
  <c r="H903" i="1"/>
  <c r="H895" i="1"/>
  <c r="G895" i="1"/>
  <c r="G887" i="1"/>
  <c r="H887" i="1"/>
  <c r="G879" i="1"/>
  <c r="H879" i="1"/>
  <c r="G871" i="1"/>
  <c r="H871" i="1"/>
  <c r="G863" i="1"/>
  <c r="H863" i="1"/>
  <c r="G855" i="1"/>
  <c r="H855" i="1"/>
  <c r="G847" i="1"/>
  <c r="H847" i="1"/>
  <c r="H767" i="1"/>
  <c r="G767" i="1"/>
  <c r="G1078" i="1"/>
  <c r="H1078" i="1"/>
  <c r="G1070" i="1"/>
  <c r="H1070" i="1"/>
  <c r="G1062" i="1"/>
  <c r="H1062" i="1"/>
  <c r="H1054" i="1"/>
  <c r="G1054" i="1"/>
  <c r="G1038" i="1"/>
  <c r="H1038" i="1"/>
  <c r="G1030" i="1"/>
  <c r="H1030" i="1"/>
  <c r="G1022" i="1"/>
  <c r="H1022" i="1"/>
  <c r="G1014" i="1"/>
  <c r="H1014" i="1"/>
  <c r="G1006" i="1"/>
  <c r="H1006" i="1"/>
  <c r="G998" i="1"/>
  <c r="H998" i="1"/>
  <c r="G990" i="1"/>
  <c r="H990" i="1"/>
  <c r="G982" i="1"/>
  <c r="H982" i="1"/>
  <c r="G974" i="1"/>
  <c r="H974" i="1"/>
  <c r="G966" i="1"/>
  <c r="H966" i="1"/>
  <c r="G958" i="1"/>
  <c r="H958" i="1"/>
  <c r="G950" i="1"/>
  <c r="H950" i="1"/>
  <c r="G942" i="1"/>
  <c r="H942" i="1"/>
  <c r="G926" i="1"/>
  <c r="H926" i="1"/>
  <c r="G918" i="1"/>
  <c r="H918" i="1"/>
  <c r="G910" i="1"/>
  <c r="H910" i="1"/>
  <c r="G902" i="1"/>
  <c r="H902" i="1"/>
  <c r="G894" i="1"/>
  <c r="H894" i="1"/>
  <c r="G886" i="1"/>
  <c r="H886" i="1"/>
  <c r="G878" i="1"/>
  <c r="H878" i="1"/>
  <c r="G870" i="1"/>
  <c r="H870" i="1"/>
  <c r="G862" i="1"/>
  <c r="H862" i="1"/>
  <c r="G854" i="1"/>
  <c r="H854" i="1"/>
  <c r="G846" i="1"/>
  <c r="H846" i="1"/>
  <c r="G838" i="1"/>
  <c r="H838" i="1"/>
  <c r="G830" i="1"/>
  <c r="H830" i="1"/>
  <c r="G822" i="1"/>
  <c r="H822" i="1"/>
  <c r="G814" i="1"/>
  <c r="H814" i="1"/>
  <c r="G806" i="1"/>
  <c r="H806" i="1"/>
  <c r="G798" i="1"/>
  <c r="H798" i="1"/>
  <c r="G790" i="1"/>
  <c r="H790" i="1"/>
  <c r="G782" i="1"/>
  <c r="H782" i="1"/>
  <c r="G774" i="1"/>
  <c r="H774" i="1"/>
  <c r="G766" i="1"/>
  <c r="H766" i="1"/>
  <c r="G758" i="1"/>
  <c r="H758" i="1"/>
  <c r="G750" i="1"/>
  <c r="H750" i="1"/>
  <c r="H742" i="1"/>
  <c r="G742" i="1"/>
  <c r="G734" i="1"/>
  <c r="H734" i="1"/>
  <c r="G726" i="1"/>
  <c r="H726" i="1"/>
  <c r="G718" i="1"/>
  <c r="H718" i="1"/>
  <c r="G710" i="1"/>
  <c r="H710" i="1"/>
  <c r="G702" i="1"/>
  <c r="H702" i="1"/>
  <c r="G694" i="1"/>
  <c r="H694" i="1"/>
  <c r="G686" i="1"/>
  <c r="H686" i="1"/>
  <c r="G678" i="1"/>
  <c r="H678" i="1"/>
  <c r="G670" i="1"/>
  <c r="H670" i="1"/>
  <c r="G662" i="1"/>
  <c r="H662" i="1"/>
  <c r="G654" i="1"/>
  <c r="H654" i="1"/>
  <c r="G646" i="1"/>
  <c r="H646" i="1"/>
  <c r="G638" i="1"/>
  <c r="H638" i="1"/>
  <c r="G630" i="1"/>
  <c r="H630" i="1"/>
  <c r="G622" i="1"/>
  <c r="H622" i="1"/>
  <c r="G614" i="1"/>
  <c r="H614" i="1"/>
  <c r="G606" i="1"/>
  <c r="H606" i="1"/>
  <c r="G598" i="1"/>
  <c r="H598" i="1"/>
  <c r="G590" i="1"/>
  <c r="H590" i="1"/>
  <c r="G582" i="1"/>
  <c r="H582" i="1"/>
  <c r="G574" i="1"/>
  <c r="H574" i="1"/>
  <c r="G566" i="1"/>
  <c r="H566" i="1"/>
  <c r="G558" i="1"/>
  <c r="H558" i="1"/>
  <c r="G550" i="1"/>
  <c r="H550" i="1"/>
  <c r="G542" i="1"/>
  <c r="H542" i="1"/>
  <c r="G534" i="1"/>
  <c r="H534" i="1"/>
  <c r="G526" i="1"/>
  <c r="H526" i="1"/>
  <c r="G518" i="1"/>
  <c r="H518" i="1"/>
  <c r="G510" i="1"/>
  <c r="H510" i="1"/>
  <c r="G502" i="1"/>
  <c r="H502" i="1"/>
  <c r="G494" i="1"/>
  <c r="H494" i="1"/>
  <c r="G486" i="1"/>
  <c r="H486" i="1"/>
  <c r="G478" i="1"/>
  <c r="H478" i="1"/>
  <c r="G470" i="1"/>
  <c r="H470" i="1"/>
  <c r="G462" i="1"/>
  <c r="H462" i="1"/>
  <c r="G454" i="1"/>
  <c r="H454" i="1"/>
  <c r="G446" i="1"/>
  <c r="H446" i="1"/>
  <c r="G438" i="1"/>
  <c r="H438" i="1"/>
  <c r="G430" i="1"/>
  <c r="H430" i="1"/>
  <c r="G422" i="1"/>
  <c r="H422" i="1"/>
  <c r="G414" i="1"/>
  <c r="H414" i="1"/>
  <c r="G406" i="1"/>
  <c r="H406" i="1"/>
  <c r="G398" i="1"/>
  <c r="H398" i="1"/>
  <c r="G390" i="1"/>
  <c r="H390" i="1"/>
  <c r="G382" i="1"/>
  <c r="H382" i="1"/>
  <c r="G374" i="1"/>
  <c r="H374" i="1"/>
  <c r="G366" i="1"/>
  <c r="H366" i="1"/>
  <c r="G358" i="1"/>
  <c r="H358" i="1"/>
  <c r="G350" i="1"/>
  <c r="H350" i="1"/>
  <c r="G342" i="1"/>
  <c r="H342" i="1"/>
  <c r="G334" i="1"/>
  <c r="H334" i="1"/>
  <c r="G326" i="1"/>
  <c r="H326" i="1"/>
  <c r="G318" i="1"/>
  <c r="H318" i="1"/>
  <c r="G310" i="1"/>
  <c r="H310" i="1"/>
  <c r="H302" i="1"/>
  <c r="G302" i="1"/>
  <c r="G294" i="1"/>
  <c r="H294" i="1"/>
  <c r="G286" i="1"/>
  <c r="H286" i="1"/>
  <c r="G278" i="1"/>
  <c r="H278" i="1"/>
  <c r="G270" i="1"/>
  <c r="H270" i="1"/>
  <c r="G262" i="1"/>
  <c r="H262" i="1"/>
  <c r="G254" i="1"/>
  <c r="H254" i="1"/>
  <c r="G246" i="1"/>
  <c r="H246" i="1"/>
  <c r="G238" i="1"/>
  <c r="H238" i="1"/>
  <c r="G230" i="1"/>
  <c r="H230" i="1"/>
  <c r="G222" i="1"/>
  <c r="H222" i="1"/>
  <c r="G214" i="1"/>
  <c r="H214" i="1"/>
  <c r="G206" i="1"/>
  <c r="H206" i="1"/>
  <c r="G198" i="1"/>
  <c r="H198" i="1"/>
  <c r="G190" i="1"/>
  <c r="H190" i="1"/>
  <c r="G182" i="1"/>
  <c r="H182" i="1"/>
  <c r="G174" i="1"/>
  <c r="H174" i="1"/>
  <c r="G166" i="1"/>
  <c r="H166" i="1"/>
  <c r="G339" i="1"/>
  <c r="H1021" i="1"/>
  <c r="H957" i="1"/>
  <c r="H893" i="1"/>
  <c r="H829" i="1"/>
  <c r="H765" i="1"/>
  <c r="H701" i="1"/>
  <c r="H544" i="1"/>
  <c r="H288" i="1"/>
  <c r="H161" i="1"/>
  <c r="H129" i="1"/>
  <c r="H97" i="1"/>
  <c r="H65" i="1"/>
  <c r="H33" i="1"/>
  <c r="G158" i="1"/>
  <c r="H158" i="1"/>
  <c r="G150" i="1"/>
  <c r="H150" i="1"/>
  <c r="G142" i="1"/>
  <c r="H142" i="1"/>
  <c r="G134" i="1"/>
  <c r="H134" i="1"/>
  <c r="G126" i="1"/>
  <c r="H126" i="1"/>
  <c r="G118" i="1"/>
  <c r="H118" i="1"/>
  <c r="G110" i="1"/>
  <c r="H110" i="1"/>
  <c r="G102" i="1"/>
  <c r="H102" i="1"/>
  <c r="G94" i="1"/>
  <c r="H94" i="1"/>
  <c r="G86" i="1"/>
  <c r="H86" i="1"/>
  <c r="G78" i="1"/>
  <c r="H78" i="1"/>
  <c r="G70" i="1"/>
  <c r="H70" i="1"/>
  <c r="G62" i="1"/>
  <c r="H62" i="1"/>
  <c r="G54" i="1"/>
  <c r="H54" i="1"/>
  <c r="G46" i="1"/>
  <c r="H46" i="1"/>
  <c r="G38" i="1"/>
  <c r="H38" i="1"/>
  <c r="G30" i="1"/>
  <c r="H30" i="1"/>
  <c r="G22" i="1"/>
  <c r="H22" i="1"/>
  <c r="G14" i="1"/>
  <c r="H14" i="1"/>
  <c r="G6" i="1"/>
  <c r="H6" i="1"/>
  <c r="H153" i="1"/>
  <c r="H121" i="1"/>
  <c r="H89" i="1"/>
  <c r="H57" i="1"/>
  <c r="H25" i="1"/>
  <c r="G109" i="1"/>
  <c r="H109" i="1"/>
  <c r="G101" i="1"/>
  <c r="H101" i="1"/>
  <c r="G93" i="1"/>
  <c r="H93" i="1"/>
  <c r="G85" i="1"/>
  <c r="H85" i="1"/>
  <c r="G77" i="1"/>
  <c r="H77" i="1"/>
  <c r="G69" i="1"/>
  <c r="H69" i="1"/>
  <c r="G61" i="1"/>
  <c r="H61" i="1"/>
  <c r="G53" i="1"/>
  <c r="H53" i="1"/>
  <c r="G45" i="1"/>
  <c r="H45" i="1"/>
  <c r="G37" i="1"/>
  <c r="H37" i="1"/>
  <c r="G29" i="1"/>
  <c r="H29" i="1"/>
  <c r="G21" i="1"/>
  <c r="H21" i="1"/>
  <c r="G13" i="1"/>
  <c r="H13" i="1"/>
  <c r="G5" i="1"/>
  <c r="H5" i="1"/>
  <c r="G259" i="1"/>
  <c r="H24" i="1"/>
  <c r="G452" i="1"/>
  <c r="H452" i="1"/>
  <c r="G444" i="1"/>
  <c r="H444" i="1"/>
  <c r="G436" i="1"/>
  <c r="H436" i="1"/>
  <c r="G428" i="1"/>
  <c r="H428" i="1"/>
  <c r="G420" i="1"/>
  <c r="H420" i="1"/>
  <c r="G412" i="1"/>
  <c r="H412" i="1"/>
  <c r="G404" i="1"/>
  <c r="H404" i="1"/>
  <c r="G396" i="1"/>
  <c r="H396" i="1"/>
  <c r="G388" i="1"/>
  <c r="H388" i="1"/>
  <c r="G380" i="1"/>
  <c r="H380" i="1"/>
  <c r="G372" i="1"/>
  <c r="H372" i="1"/>
  <c r="G364" i="1"/>
  <c r="H364" i="1"/>
  <c r="G356" i="1"/>
  <c r="H356" i="1"/>
  <c r="G348" i="1"/>
  <c r="H348" i="1"/>
  <c r="G340" i="1"/>
  <c r="H340" i="1"/>
  <c r="G332" i="1"/>
  <c r="H332" i="1"/>
  <c r="G324" i="1"/>
  <c r="H324" i="1"/>
  <c r="G316" i="1"/>
  <c r="H316" i="1"/>
  <c r="G308" i="1"/>
  <c r="H308" i="1"/>
  <c r="G300" i="1"/>
  <c r="H300" i="1"/>
  <c r="G292" i="1"/>
  <c r="H292" i="1"/>
  <c r="G284" i="1"/>
  <c r="H284" i="1"/>
  <c r="G276" i="1"/>
  <c r="H276" i="1"/>
  <c r="G268" i="1"/>
  <c r="H268" i="1"/>
  <c r="G260" i="1"/>
  <c r="H260" i="1"/>
  <c r="G252" i="1"/>
  <c r="H252" i="1"/>
  <c r="G244" i="1"/>
  <c r="H244" i="1"/>
  <c r="G236" i="1"/>
  <c r="H236" i="1"/>
  <c r="G228" i="1"/>
  <c r="H228" i="1"/>
  <c r="G220" i="1"/>
  <c r="H220" i="1"/>
  <c r="G212" i="1"/>
  <c r="H212" i="1"/>
  <c r="G204" i="1"/>
  <c r="H204" i="1"/>
  <c r="G196" i="1"/>
  <c r="H196" i="1"/>
  <c r="G188" i="1"/>
  <c r="H188" i="1"/>
  <c r="G180" i="1"/>
  <c r="H180" i="1"/>
  <c r="G172" i="1"/>
  <c r="H172" i="1"/>
  <c r="G164" i="1"/>
  <c r="H164" i="1"/>
  <c r="G156" i="1"/>
  <c r="H156" i="1"/>
  <c r="G148" i="1"/>
  <c r="H148" i="1"/>
  <c r="G140" i="1"/>
  <c r="H140" i="1"/>
  <c r="G132" i="1"/>
  <c r="H132" i="1"/>
  <c r="G124" i="1"/>
  <c r="H124" i="1"/>
  <c r="G116" i="1"/>
  <c r="H116" i="1"/>
  <c r="G108" i="1"/>
  <c r="H108" i="1"/>
  <c r="G100" i="1"/>
  <c r="H100" i="1"/>
  <c r="G92" i="1"/>
  <c r="H92" i="1"/>
  <c r="G84" i="1"/>
  <c r="H84" i="1"/>
  <c r="G76" i="1"/>
  <c r="H76" i="1"/>
  <c r="G68" i="1"/>
  <c r="H68" i="1"/>
  <c r="G60" i="1"/>
  <c r="H60" i="1"/>
  <c r="G52" i="1"/>
  <c r="H52" i="1"/>
  <c r="G44" i="1"/>
  <c r="H44" i="1"/>
  <c r="G36" i="1"/>
  <c r="H36" i="1"/>
  <c r="G28" i="1"/>
  <c r="H28" i="1"/>
  <c r="G20" i="1"/>
  <c r="H20" i="1"/>
  <c r="G12" i="1"/>
  <c r="H12" i="1"/>
  <c r="G4" i="1"/>
  <c r="H4" i="1"/>
  <c r="H177" i="1"/>
  <c r="H145" i="1"/>
  <c r="H113" i="1"/>
  <c r="H81" i="1"/>
  <c r="H49" i="1"/>
  <c r="H17" i="1"/>
  <c r="G251" i="1"/>
  <c r="H251" i="1"/>
  <c r="G243" i="1"/>
  <c r="H243" i="1"/>
  <c r="G235" i="1"/>
  <c r="H235" i="1"/>
  <c r="G227" i="1"/>
  <c r="H227" i="1"/>
  <c r="G219" i="1"/>
  <c r="H219" i="1"/>
  <c r="G211" i="1"/>
  <c r="H211" i="1"/>
  <c r="G203" i="1"/>
  <c r="H203" i="1"/>
  <c r="G195" i="1"/>
  <c r="H195" i="1"/>
  <c r="G187" i="1"/>
  <c r="H187" i="1"/>
  <c r="G179" i="1"/>
  <c r="H179" i="1"/>
  <c r="G171" i="1"/>
  <c r="H171" i="1"/>
  <c r="G163" i="1"/>
  <c r="H163" i="1"/>
  <c r="G155" i="1"/>
  <c r="H155" i="1"/>
  <c r="G147" i="1"/>
  <c r="H147" i="1"/>
  <c r="G139" i="1"/>
  <c r="H139" i="1"/>
  <c r="G131" i="1"/>
  <c r="H131" i="1"/>
  <c r="G123" i="1"/>
  <c r="H123" i="1"/>
  <c r="G115" i="1"/>
  <c r="H115" i="1"/>
  <c r="G107" i="1"/>
  <c r="H107" i="1"/>
  <c r="G99" i="1"/>
  <c r="H99" i="1"/>
  <c r="G91" i="1"/>
  <c r="H91" i="1"/>
  <c r="G83" i="1"/>
  <c r="H83" i="1"/>
  <c r="G75" i="1"/>
  <c r="H75" i="1"/>
  <c r="G67" i="1"/>
  <c r="H67" i="1"/>
  <c r="G59" i="1"/>
  <c r="H59" i="1"/>
  <c r="G51" i="1"/>
  <c r="H51" i="1"/>
  <c r="G43" i="1"/>
  <c r="H43" i="1"/>
  <c r="G35" i="1"/>
  <c r="H35" i="1"/>
  <c r="G27" i="1"/>
  <c r="H27" i="1"/>
  <c r="G19" i="1"/>
  <c r="H19" i="1"/>
  <c r="G11" i="1"/>
  <c r="H11" i="1"/>
  <c r="G3" i="1"/>
  <c r="H3" i="1"/>
  <c r="H48" i="1"/>
  <c r="H16" i="1"/>
  <c r="G98" i="1"/>
  <c r="H98" i="1"/>
  <c r="G90" i="1"/>
  <c r="H90" i="1"/>
  <c r="G82" i="1"/>
  <c r="H82" i="1"/>
  <c r="G74" i="1"/>
  <c r="H74" i="1"/>
  <c r="G66" i="1"/>
  <c r="H66" i="1"/>
  <c r="G58" i="1"/>
  <c r="H58" i="1"/>
  <c r="G50" i="1"/>
  <c r="H50" i="1"/>
  <c r="G42" i="1"/>
  <c r="H42" i="1"/>
  <c r="G34" i="1"/>
  <c r="H34" i="1"/>
  <c r="G26" i="1"/>
  <c r="H26" i="1"/>
  <c r="G18" i="1"/>
  <c r="H18" i="1"/>
  <c r="G10" i="1"/>
  <c r="H10" i="1"/>
  <c r="H169" i="1"/>
  <c r="H137" i="1"/>
  <c r="H105" i="1"/>
  <c r="H73" i="1"/>
  <c r="H41" i="1"/>
  <c r="H9" i="1"/>
  <c r="H40" i="1"/>
  <c r="H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5DE7EE-2CBA-4231-B46E-2EA028C20AF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473DF8E-D35E-4233-A4D6-756892BB9DA4}" name="WorksheetConnection_BrightCart.xlsx!engagement" type="102" refreshedVersion="8" minRefreshableVersion="5">
    <extLst>
      <ext xmlns:x15="http://schemas.microsoft.com/office/spreadsheetml/2010/11/main" uri="{DE250136-89BD-433C-8126-D09CA5730AF9}">
        <x15:connection id="engagement">
          <x15:rangePr sourceName="_xlcn.WorksheetConnection_BrightCart.xlsxengagement1"/>
        </x15:connection>
      </ext>
    </extLst>
  </connection>
  <connection id="3" xr16:uid="{84653417-C24D-455B-86AA-A7C14C03F65F}" name="WorksheetConnection_BrightCart.xlsx!session_data" type="102" refreshedVersion="8" minRefreshableVersion="5">
    <extLst>
      <ext xmlns:x15="http://schemas.microsoft.com/office/spreadsheetml/2010/11/main" uri="{DE250136-89BD-433C-8126-D09CA5730AF9}">
        <x15:connection id="session_data" autoDelete="1">
          <x15:rangePr sourceName="_xlcn.WorksheetConnection_BrightCart.xlsxsession_data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<sst xmlns="http://schemas.openxmlformats.org/spreadsheetml/2006/main" count="10893" uniqueCount="1659">
  <si>
    <t>SessionID</t>
  </si>
  <si>
    <t>UserID</t>
  </si>
  <si>
    <t>Timestamp</t>
  </si>
  <si>
    <t>Traffic Source</t>
  </si>
  <si>
    <t>Device Type</t>
  </si>
  <si>
    <t>Country</t>
  </si>
  <si>
    <t>State</t>
  </si>
  <si>
    <t>User Type</t>
  </si>
  <si>
    <t>User Gender</t>
  </si>
  <si>
    <t>S00001</t>
  </si>
  <si>
    <t>U411</t>
  </si>
  <si>
    <t>Organic Search</t>
  </si>
  <si>
    <t>Mobile</t>
  </si>
  <si>
    <t>New York</t>
  </si>
  <si>
    <t>New</t>
  </si>
  <si>
    <t>Female</t>
  </si>
  <si>
    <t>S00002</t>
  </si>
  <si>
    <t>U391</t>
  </si>
  <si>
    <t>Direct</t>
  </si>
  <si>
    <t>Canada</t>
  </si>
  <si>
    <t>British Columbia</t>
  </si>
  <si>
    <t>S00003</t>
  </si>
  <si>
    <t>Returning</t>
  </si>
  <si>
    <t>S00004</t>
  </si>
  <si>
    <t>S00005</t>
  </si>
  <si>
    <t>S00006</t>
  </si>
  <si>
    <t>S00007</t>
  </si>
  <si>
    <t>U182</t>
  </si>
  <si>
    <t>Referral</t>
  </si>
  <si>
    <t>Desktop</t>
  </si>
  <si>
    <t>California</t>
  </si>
  <si>
    <t>S00008</t>
  </si>
  <si>
    <t>USA</t>
  </si>
  <si>
    <t>S00009</t>
  </si>
  <si>
    <t>S00010</t>
  </si>
  <si>
    <t>U443</t>
  </si>
  <si>
    <t>Tablet</t>
  </si>
  <si>
    <t>S00011</t>
  </si>
  <si>
    <t>S00012</t>
  </si>
  <si>
    <t>U228</t>
  </si>
  <si>
    <t>UK</t>
  </si>
  <si>
    <t>Scotland</t>
  </si>
  <si>
    <t>S00013</t>
  </si>
  <si>
    <t>U152</t>
  </si>
  <si>
    <t>Social Media</t>
  </si>
  <si>
    <t>Male</t>
  </si>
  <si>
    <t>S00014</t>
  </si>
  <si>
    <t>U226</t>
  </si>
  <si>
    <t>S00015</t>
  </si>
  <si>
    <t>U158</t>
  </si>
  <si>
    <t>Ontario</t>
  </si>
  <si>
    <t>S00016</t>
  </si>
  <si>
    <t>S00017</t>
  </si>
  <si>
    <t>S00018</t>
  </si>
  <si>
    <t>S00019</t>
  </si>
  <si>
    <t>U233</t>
  </si>
  <si>
    <t>S00020</t>
  </si>
  <si>
    <t>S00021</t>
  </si>
  <si>
    <t>U370</t>
  </si>
  <si>
    <t>Quebec</t>
  </si>
  <si>
    <t>S00022</t>
  </si>
  <si>
    <t>S00023</t>
  </si>
  <si>
    <t>S00024</t>
  </si>
  <si>
    <t>U205</t>
  </si>
  <si>
    <t>S00025</t>
  </si>
  <si>
    <t>U89</t>
  </si>
  <si>
    <t>Paid Ads</t>
  </si>
  <si>
    <t>S00026</t>
  </si>
  <si>
    <t>S00027</t>
  </si>
  <si>
    <t>S00028</t>
  </si>
  <si>
    <t>S00029</t>
  </si>
  <si>
    <t>S00030</t>
  </si>
  <si>
    <t>U146</t>
  </si>
  <si>
    <t>S00031</t>
  </si>
  <si>
    <t>S00032</t>
  </si>
  <si>
    <t>S00033</t>
  </si>
  <si>
    <t>U277</t>
  </si>
  <si>
    <t>S00034</t>
  </si>
  <si>
    <t>U383</t>
  </si>
  <si>
    <t>England</t>
  </si>
  <si>
    <t>S00035</t>
  </si>
  <si>
    <t>U14</t>
  </si>
  <si>
    <t>S00036</t>
  </si>
  <si>
    <t>U59</t>
  </si>
  <si>
    <t>S00037</t>
  </si>
  <si>
    <t>U250</t>
  </si>
  <si>
    <t>S00038</t>
  </si>
  <si>
    <t>S00039</t>
  </si>
  <si>
    <t>U491</t>
  </si>
  <si>
    <t>S00040</t>
  </si>
  <si>
    <t>S00041</t>
  </si>
  <si>
    <t>U161</t>
  </si>
  <si>
    <t>S00042</t>
  </si>
  <si>
    <t>U216</t>
  </si>
  <si>
    <t>Texas</t>
  </si>
  <si>
    <t>S00043</t>
  </si>
  <si>
    <t>S00044</t>
  </si>
  <si>
    <t>U210</t>
  </si>
  <si>
    <t>S00045</t>
  </si>
  <si>
    <t>U106</t>
  </si>
  <si>
    <t>S00046</t>
  </si>
  <si>
    <t>U107</t>
  </si>
  <si>
    <t>S00047</t>
  </si>
  <si>
    <t>U267</t>
  </si>
  <si>
    <t>S00048</t>
  </si>
  <si>
    <t>S00049</t>
  </si>
  <si>
    <t>U318</t>
  </si>
  <si>
    <t>S00050</t>
  </si>
  <si>
    <t>S00051</t>
  </si>
  <si>
    <t>S00052</t>
  </si>
  <si>
    <t>U43</t>
  </si>
  <si>
    <t>S00053</t>
  </si>
  <si>
    <t>U352</t>
  </si>
  <si>
    <t>S00054</t>
  </si>
  <si>
    <t>S00055</t>
  </si>
  <si>
    <t>U78</t>
  </si>
  <si>
    <t>S00056</t>
  </si>
  <si>
    <t>S00057</t>
  </si>
  <si>
    <t>U268</t>
  </si>
  <si>
    <t>Wales</t>
  </si>
  <si>
    <t>S00058</t>
  </si>
  <si>
    <t>U124</t>
  </si>
  <si>
    <t>S00059</t>
  </si>
  <si>
    <t>S00060</t>
  </si>
  <si>
    <t>U97</t>
  </si>
  <si>
    <t>S00061</t>
  </si>
  <si>
    <t>U56</t>
  </si>
  <si>
    <t>S00062</t>
  </si>
  <si>
    <t>U347</t>
  </si>
  <si>
    <t>S00063</t>
  </si>
  <si>
    <t>S00064</t>
  </si>
  <si>
    <t>S00065</t>
  </si>
  <si>
    <t>S00066</t>
  </si>
  <si>
    <t>U362</t>
  </si>
  <si>
    <t>S00067</t>
  </si>
  <si>
    <t>S00068</t>
  </si>
  <si>
    <t>S00069</t>
  </si>
  <si>
    <t>S00070</t>
  </si>
  <si>
    <t>S00071</t>
  </si>
  <si>
    <t>U386</t>
  </si>
  <si>
    <t>S00072</t>
  </si>
  <si>
    <t>S00073</t>
  </si>
  <si>
    <t>S00074</t>
  </si>
  <si>
    <t>U324</t>
  </si>
  <si>
    <t>S00075</t>
  </si>
  <si>
    <t>U427</t>
  </si>
  <si>
    <t>S00076</t>
  </si>
  <si>
    <t>U13</t>
  </si>
  <si>
    <t>S00077</t>
  </si>
  <si>
    <t>S00078</t>
  </si>
  <si>
    <t>S00079</t>
  </si>
  <si>
    <t>U224</t>
  </si>
  <si>
    <t>S00080</t>
  </si>
  <si>
    <t>S00081</t>
  </si>
  <si>
    <t>U83</t>
  </si>
  <si>
    <t>S00082</t>
  </si>
  <si>
    <t>U299</t>
  </si>
  <si>
    <t>S00083</t>
  </si>
  <si>
    <t>S00084</t>
  </si>
  <si>
    <t>U159</t>
  </si>
  <si>
    <t>S00085</t>
  </si>
  <si>
    <t>U153</t>
  </si>
  <si>
    <t>S00086</t>
  </si>
  <si>
    <t>S00087</t>
  </si>
  <si>
    <t>S00088</t>
  </si>
  <si>
    <t>S00089</t>
  </si>
  <si>
    <t>U128</t>
  </si>
  <si>
    <t>S00090</t>
  </si>
  <si>
    <t>U94</t>
  </si>
  <si>
    <t>S00091</t>
  </si>
  <si>
    <t>S00092</t>
  </si>
  <si>
    <t>S00093</t>
  </si>
  <si>
    <t>U359</t>
  </si>
  <si>
    <t>S00094</t>
  </si>
  <si>
    <t>U382</t>
  </si>
  <si>
    <t>S00095</t>
  </si>
  <si>
    <t>S00096</t>
  </si>
  <si>
    <t>U96</t>
  </si>
  <si>
    <t>S00097</t>
  </si>
  <si>
    <t>S00098</t>
  </si>
  <si>
    <t>U446</t>
  </si>
  <si>
    <t>S00099</t>
  </si>
  <si>
    <t>U208</t>
  </si>
  <si>
    <t>S00100</t>
  </si>
  <si>
    <t>S00101</t>
  </si>
  <si>
    <t>S00102</t>
  </si>
  <si>
    <t>S00103</t>
  </si>
  <si>
    <t>S00104</t>
  </si>
  <si>
    <t>U150</t>
  </si>
  <si>
    <t>S00105</t>
  </si>
  <si>
    <t>S00106</t>
  </si>
  <si>
    <t>S00107</t>
  </si>
  <si>
    <t>U148</t>
  </si>
  <si>
    <t>S00108</t>
  </si>
  <si>
    <t>S00109</t>
  </si>
  <si>
    <t>S00110</t>
  </si>
  <si>
    <t>S00111</t>
  </si>
  <si>
    <t>U93</t>
  </si>
  <si>
    <t>S00112</t>
  </si>
  <si>
    <t>S00113</t>
  </si>
  <si>
    <t>S00114</t>
  </si>
  <si>
    <t>S00115</t>
  </si>
  <si>
    <t>U308</t>
  </si>
  <si>
    <t>S00116</t>
  </si>
  <si>
    <t>S00117</t>
  </si>
  <si>
    <t>U469</t>
  </si>
  <si>
    <t>S00118</t>
  </si>
  <si>
    <t>S00119</t>
  </si>
  <si>
    <t>S00120</t>
  </si>
  <si>
    <t>S00121</t>
  </si>
  <si>
    <t>U442</t>
  </si>
  <si>
    <t>S00122</t>
  </si>
  <si>
    <t>U69</t>
  </si>
  <si>
    <t>S00123</t>
  </si>
  <si>
    <t>U82</t>
  </si>
  <si>
    <t>S00124</t>
  </si>
  <si>
    <t>U40</t>
  </si>
  <si>
    <t>S00125</t>
  </si>
  <si>
    <t>U67</t>
  </si>
  <si>
    <t>S00126</t>
  </si>
  <si>
    <t>U477</t>
  </si>
  <si>
    <t>S00127</t>
  </si>
  <si>
    <t>U145</t>
  </si>
  <si>
    <t>S00128</t>
  </si>
  <si>
    <t>S00129</t>
  </si>
  <si>
    <t>S00130</t>
  </si>
  <si>
    <t>U175</t>
  </si>
  <si>
    <t>S00131</t>
  </si>
  <si>
    <t>U245</t>
  </si>
  <si>
    <t>S00132</t>
  </si>
  <si>
    <t>U225</t>
  </si>
  <si>
    <t>S00133</t>
  </si>
  <si>
    <t>S00134</t>
  </si>
  <si>
    <t>U65</t>
  </si>
  <si>
    <t>S00135</t>
  </si>
  <si>
    <t>U132</t>
  </si>
  <si>
    <t>S00136</t>
  </si>
  <si>
    <t>S00137</t>
  </si>
  <si>
    <t>S00138</t>
  </si>
  <si>
    <t>U454</t>
  </si>
  <si>
    <t>S00139</t>
  </si>
  <si>
    <t>U467</t>
  </si>
  <si>
    <t>S00140</t>
  </si>
  <si>
    <t>S00141</t>
  </si>
  <si>
    <t>S00142</t>
  </si>
  <si>
    <t>S00143</t>
  </si>
  <si>
    <t>S00144</t>
  </si>
  <si>
    <t>U100</t>
  </si>
  <si>
    <t>S00145</t>
  </si>
  <si>
    <t>S00146</t>
  </si>
  <si>
    <t>S00147</t>
  </si>
  <si>
    <t>U353</t>
  </si>
  <si>
    <t>S00148</t>
  </si>
  <si>
    <t>U174</t>
  </si>
  <si>
    <t>S00149</t>
  </si>
  <si>
    <t>U484</t>
  </si>
  <si>
    <t>S00150</t>
  </si>
  <si>
    <t>S00151</t>
  </si>
  <si>
    <t>S00152</t>
  </si>
  <si>
    <t>U26</t>
  </si>
  <si>
    <t>S00153</t>
  </si>
  <si>
    <t>S00154</t>
  </si>
  <si>
    <t>S00155</t>
  </si>
  <si>
    <t>U191</t>
  </si>
  <si>
    <t>S00156</t>
  </si>
  <si>
    <t>S00157</t>
  </si>
  <si>
    <t>S00158</t>
  </si>
  <si>
    <t>U475</t>
  </si>
  <si>
    <t>S00159</t>
  </si>
  <si>
    <t>S00160</t>
  </si>
  <si>
    <t>S00161</t>
  </si>
  <si>
    <t>U270</t>
  </si>
  <si>
    <t>S00162</t>
  </si>
  <si>
    <t>U438</t>
  </si>
  <si>
    <t>S00163</t>
  </si>
  <si>
    <t>U320</t>
  </si>
  <si>
    <t>S00164</t>
  </si>
  <si>
    <t>U297</t>
  </si>
  <si>
    <t>S00165</t>
  </si>
  <si>
    <t>S00166</t>
  </si>
  <si>
    <t>S00167</t>
  </si>
  <si>
    <t>S00168</t>
  </si>
  <si>
    <t>U306</t>
  </si>
  <si>
    <t>S00169</t>
  </si>
  <si>
    <t>S00170</t>
  </si>
  <si>
    <t>U214</t>
  </si>
  <si>
    <t>S00171</t>
  </si>
  <si>
    <t>U424</t>
  </si>
  <si>
    <t>S00172</t>
  </si>
  <si>
    <t>U357</t>
  </si>
  <si>
    <t>S00173</t>
  </si>
  <si>
    <t>U119</t>
  </si>
  <si>
    <t>S00174</t>
  </si>
  <si>
    <t>U248</t>
  </si>
  <si>
    <t>S00175</t>
  </si>
  <si>
    <t>S00176</t>
  </si>
  <si>
    <t>S00177</t>
  </si>
  <si>
    <t>U314</t>
  </si>
  <si>
    <t>S00178</t>
  </si>
  <si>
    <t>S00179</t>
  </si>
  <si>
    <t>U151</t>
  </si>
  <si>
    <t>S00180</t>
  </si>
  <si>
    <t>S00181</t>
  </si>
  <si>
    <t>S00182</t>
  </si>
  <si>
    <t>S00183</t>
  </si>
  <si>
    <t>U436</t>
  </si>
  <si>
    <t>S00184</t>
  </si>
  <si>
    <t>S00185</t>
  </si>
  <si>
    <t>U410</t>
  </si>
  <si>
    <t>S00186</t>
  </si>
  <si>
    <t>U81</t>
  </si>
  <si>
    <t>S00187</t>
  </si>
  <si>
    <t>S00188</t>
  </si>
  <si>
    <t>S00189</t>
  </si>
  <si>
    <t>U258</t>
  </si>
  <si>
    <t>S00190</t>
  </si>
  <si>
    <t>S00191</t>
  </si>
  <si>
    <t>S00192</t>
  </si>
  <si>
    <t>U465</t>
  </si>
  <si>
    <t>S00193</t>
  </si>
  <si>
    <t>S00194</t>
  </si>
  <si>
    <t>U355</t>
  </si>
  <si>
    <t>S00195</t>
  </si>
  <si>
    <t>S00196</t>
  </si>
  <si>
    <t>S00197</t>
  </si>
  <si>
    <t>U10</t>
  </si>
  <si>
    <t>S00198</t>
  </si>
  <si>
    <t>S00199</t>
  </si>
  <si>
    <t>U368</t>
  </si>
  <si>
    <t>S00200</t>
  </si>
  <si>
    <t>S00201</t>
  </si>
  <si>
    <t>U90</t>
  </si>
  <si>
    <t>S00202</t>
  </si>
  <si>
    <t>S00203</t>
  </si>
  <si>
    <t>U137</t>
  </si>
  <si>
    <t>S00204</t>
  </si>
  <si>
    <t>U101</t>
  </si>
  <si>
    <t>S00205</t>
  </si>
  <si>
    <t>U377</t>
  </si>
  <si>
    <t>S00206</t>
  </si>
  <si>
    <t>U435</t>
  </si>
  <si>
    <t>S00207</t>
  </si>
  <si>
    <t>S00208</t>
  </si>
  <si>
    <t>U86</t>
  </si>
  <si>
    <t>S00209</t>
  </si>
  <si>
    <t>U20</t>
  </si>
  <si>
    <t>S00210</t>
  </si>
  <si>
    <t>S00211</t>
  </si>
  <si>
    <t>U142</t>
  </si>
  <si>
    <t>S00212</t>
  </si>
  <si>
    <t>S00213</t>
  </si>
  <si>
    <t>S00214</t>
  </si>
  <si>
    <t>S00215</t>
  </si>
  <si>
    <t>U460</t>
  </si>
  <si>
    <t>S00216</t>
  </si>
  <si>
    <t>U265</t>
  </si>
  <si>
    <t>S00217</t>
  </si>
  <si>
    <t>S00218</t>
  </si>
  <si>
    <t>U87</t>
  </si>
  <si>
    <t>S00219</t>
  </si>
  <si>
    <t>S00220</t>
  </si>
  <si>
    <t>S00221</t>
  </si>
  <si>
    <t>U300</t>
  </si>
  <si>
    <t>S00222</t>
  </si>
  <si>
    <t>U343</t>
  </si>
  <si>
    <t>S00223</t>
  </si>
  <si>
    <t>U372</t>
  </si>
  <si>
    <t>S00224</t>
  </si>
  <si>
    <t>U170</t>
  </si>
  <si>
    <t>S00225</t>
  </si>
  <si>
    <t>U423</t>
  </si>
  <si>
    <t>S00226</t>
  </si>
  <si>
    <t>S00227</t>
  </si>
  <si>
    <t>S00228</t>
  </si>
  <si>
    <t>S00229</t>
  </si>
  <si>
    <t>U420</t>
  </si>
  <si>
    <t>S00230</t>
  </si>
  <si>
    <t>S00231</t>
  </si>
  <si>
    <t>S00232</t>
  </si>
  <si>
    <t>U330</t>
  </si>
  <si>
    <t>S00233</t>
  </si>
  <si>
    <t>S00234</t>
  </si>
  <si>
    <t>U493</t>
  </si>
  <si>
    <t>S00235</t>
  </si>
  <si>
    <t>S00236</t>
  </si>
  <si>
    <t>S00237</t>
  </si>
  <si>
    <t>S00238</t>
  </si>
  <si>
    <t>U188</t>
  </si>
  <si>
    <t>S00239</t>
  </si>
  <si>
    <t>S00240</t>
  </si>
  <si>
    <t>S00241</t>
  </si>
  <si>
    <t>U492</t>
  </si>
  <si>
    <t>S00242</t>
  </si>
  <si>
    <t>U254</t>
  </si>
  <si>
    <t>S00243</t>
  </si>
  <si>
    <t>S00244</t>
  </si>
  <si>
    <t>S00245</t>
  </si>
  <si>
    <t>S00246</t>
  </si>
  <si>
    <t>U129</t>
  </si>
  <si>
    <t>S00247</t>
  </si>
  <si>
    <t>S00248</t>
  </si>
  <si>
    <t>U312</t>
  </si>
  <si>
    <t>S00249</t>
  </si>
  <si>
    <t>S00250</t>
  </si>
  <si>
    <t>S00251</t>
  </si>
  <si>
    <t>U198</t>
  </si>
  <si>
    <t>S00252</t>
  </si>
  <si>
    <t>S00253</t>
  </si>
  <si>
    <t>S00254</t>
  </si>
  <si>
    <t>S00255</t>
  </si>
  <si>
    <t>U371</t>
  </si>
  <si>
    <t>S00256</t>
  </si>
  <si>
    <t>U294</t>
  </si>
  <si>
    <t>S00257</t>
  </si>
  <si>
    <t>U278</t>
  </si>
  <si>
    <t>S00258</t>
  </si>
  <si>
    <t>U455</t>
  </si>
  <si>
    <t>S00259</t>
  </si>
  <si>
    <t>S00260</t>
  </si>
  <si>
    <t>U75</t>
  </si>
  <si>
    <t>S00261</t>
  </si>
  <si>
    <t>S00262</t>
  </si>
  <si>
    <t>S00263</t>
  </si>
  <si>
    <t>U304</t>
  </si>
  <si>
    <t>S00264</t>
  </si>
  <si>
    <t>S00265</t>
  </si>
  <si>
    <t>S00266</t>
  </si>
  <si>
    <t>S00267</t>
  </si>
  <si>
    <t>U74</t>
  </si>
  <si>
    <t>S00268</t>
  </si>
  <si>
    <t>U147</t>
  </si>
  <si>
    <t>S00269</t>
  </si>
  <si>
    <t>S00270</t>
  </si>
  <si>
    <t>U113</t>
  </si>
  <si>
    <t>S00271</t>
  </si>
  <si>
    <t>S00272</t>
  </si>
  <si>
    <t>U29</t>
  </si>
  <si>
    <t>S00273</t>
  </si>
  <si>
    <t>U166</t>
  </si>
  <si>
    <t>S00274</t>
  </si>
  <si>
    <t>U437</t>
  </si>
  <si>
    <t>S00275</t>
  </si>
  <si>
    <t>U487</t>
  </si>
  <si>
    <t>S00276</t>
  </si>
  <si>
    <t>S00277</t>
  </si>
  <si>
    <t>S00278</t>
  </si>
  <si>
    <t>S00279</t>
  </si>
  <si>
    <t>U262</t>
  </si>
  <si>
    <t>S00280</t>
  </si>
  <si>
    <t>U239</t>
  </si>
  <si>
    <t>S00281</t>
  </si>
  <si>
    <t>S00282</t>
  </si>
  <si>
    <t>U16</t>
  </si>
  <si>
    <t>S00283</t>
  </si>
  <si>
    <t>S00284</t>
  </si>
  <si>
    <t>S00285</t>
  </si>
  <si>
    <t>U194</t>
  </si>
  <si>
    <t>S00286</t>
  </si>
  <si>
    <t>U223</t>
  </si>
  <si>
    <t>S00287</t>
  </si>
  <si>
    <t>S00288</t>
  </si>
  <si>
    <t>S00289</t>
  </si>
  <si>
    <t>S00290</t>
  </si>
  <si>
    <t>S00291</t>
  </si>
  <si>
    <t>U218</t>
  </si>
  <si>
    <t>S00292</t>
  </si>
  <si>
    <t>S00293</t>
  </si>
  <si>
    <t>S00294</t>
  </si>
  <si>
    <t>S00295</t>
  </si>
  <si>
    <t>S00296</t>
  </si>
  <si>
    <t>U196</t>
  </si>
  <si>
    <t>S00297</t>
  </si>
  <si>
    <t>U110</t>
  </si>
  <si>
    <t>S00298</t>
  </si>
  <si>
    <t>S00299</t>
  </si>
  <si>
    <t>U7</t>
  </si>
  <si>
    <t>S00300</t>
  </si>
  <si>
    <t>U61</t>
  </si>
  <si>
    <t>S00301</t>
  </si>
  <si>
    <t>U76</t>
  </si>
  <si>
    <t>S00302</t>
  </si>
  <si>
    <t>U298</t>
  </si>
  <si>
    <t>S00303</t>
  </si>
  <si>
    <t>S00304</t>
  </si>
  <si>
    <t>U472</t>
  </si>
  <si>
    <t>S00305</t>
  </si>
  <si>
    <t>S00306</t>
  </si>
  <si>
    <t>U337</t>
  </si>
  <si>
    <t>S00307</t>
  </si>
  <si>
    <t>U109</t>
  </si>
  <si>
    <t>S00308</t>
  </si>
  <si>
    <t>U111</t>
  </si>
  <si>
    <t>S00309</t>
  </si>
  <si>
    <t>S00310</t>
  </si>
  <si>
    <t>S00311</t>
  </si>
  <si>
    <t>S00312</t>
  </si>
  <si>
    <t>U495</t>
  </si>
  <si>
    <t>S00313</t>
  </si>
  <si>
    <t>U9</t>
  </si>
  <si>
    <t>S00314</t>
  </si>
  <si>
    <t>U292</t>
  </si>
  <si>
    <t>S00315</t>
  </si>
  <si>
    <t>S00316</t>
  </si>
  <si>
    <t>U406</t>
  </si>
  <si>
    <t>S00317</t>
  </si>
  <si>
    <t>S00318</t>
  </si>
  <si>
    <t>S00319</t>
  </si>
  <si>
    <t>S00320</t>
  </si>
  <si>
    <t>S00321</t>
  </si>
  <si>
    <t>U197</t>
  </si>
  <si>
    <t>S00322</t>
  </si>
  <si>
    <t>U8</t>
  </si>
  <si>
    <t>S00323</t>
  </si>
  <si>
    <t>S00324</t>
  </si>
  <si>
    <t>S00325</t>
  </si>
  <si>
    <t>U309</t>
  </si>
  <si>
    <t>S00326</t>
  </si>
  <si>
    <t>S00327</t>
  </si>
  <si>
    <t>S00328</t>
  </si>
  <si>
    <t>U231</t>
  </si>
  <si>
    <t>S00329</t>
  </si>
  <si>
    <t>U287</t>
  </si>
  <si>
    <t>S00330</t>
  </si>
  <si>
    <t>S00331</t>
  </si>
  <si>
    <t>S00332</t>
  </si>
  <si>
    <t>U356</t>
  </si>
  <si>
    <t>S00333</t>
  </si>
  <si>
    <t>U221</t>
  </si>
  <si>
    <t>S00334</t>
  </si>
  <si>
    <t>S00335</t>
  </si>
  <si>
    <t>U240</t>
  </si>
  <si>
    <t>S00336</t>
  </si>
  <si>
    <t>S00337</t>
  </si>
  <si>
    <t>U272</t>
  </si>
  <si>
    <t>S00338</t>
  </si>
  <si>
    <t>S00339</t>
  </si>
  <si>
    <t>U184</t>
  </si>
  <si>
    <t>S00340</t>
  </si>
  <si>
    <t>U189</t>
  </si>
  <si>
    <t>S00341</t>
  </si>
  <si>
    <t>S00342</t>
  </si>
  <si>
    <t>S00343</t>
  </si>
  <si>
    <t>U117</t>
  </si>
  <si>
    <t>S00344</t>
  </si>
  <si>
    <t>U402</t>
  </si>
  <si>
    <t>S00345</t>
  </si>
  <si>
    <t>U41</t>
  </si>
  <si>
    <t>S00346</t>
  </si>
  <si>
    <t>U241</t>
  </si>
  <si>
    <t>S00347</t>
  </si>
  <si>
    <t>S00348</t>
  </si>
  <si>
    <t>U92</t>
  </si>
  <si>
    <t>S00349</t>
  </si>
  <si>
    <t>S00350</t>
  </si>
  <si>
    <t>S00351</t>
  </si>
  <si>
    <t>U403</t>
  </si>
  <si>
    <t>S00352</t>
  </si>
  <si>
    <t>U285</t>
  </si>
  <si>
    <t>S00353</t>
  </si>
  <si>
    <t>S00354</t>
  </si>
  <si>
    <t>U369</t>
  </si>
  <si>
    <t>S00355</t>
  </si>
  <si>
    <t>U79</t>
  </si>
  <si>
    <t>S00356</t>
  </si>
  <si>
    <t>S00357</t>
  </si>
  <si>
    <t>U310</t>
  </si>
  <si>
    <t>S00358</t>
  </si>
  <si>
    <t>U27</t>
  </si>
  <si>
    <t>S00359</t>
  </si>
  <si>
    <t>S00360</t>
  </si>
  <si>
    <t>S00361</t>
  </si>
  <si>
    <t>U252</t>
  </si>
  <si>
    <t>S00362</t>
  </si>
  <si>
    <t>U219</t>
  </si>
  <si>
    <t>S00363</t>
  </si>
  <si>
    <t>S00364</t>
  </si>
  <si>
    <t>S00365</t>
  </si>
  <si>
    <t>S00366</t>
  </si>
  <si>
    <t>U401</t>
  </si>
  <si>
    <t>S00367</t>
  </si>
  <si>
    <t>U260</t>
  </si>
  <si>
    <t>S00368</t>
  </si>
  <si>
    <t>U64</t>
  </si>
  <si>
    <t>S00369</t>
  </si>
  <si>
    <t>U481</t>
  </si>
  <si>
    <t>S00370</t>
  </si>
  <si>
    <t>S00371</t>
  </si>
  <si>
    <t>S00372</t>
  </si>
  <si>
    <t>S00373</t>
  </si>
  <si>
    <t>U222</t>
  </si>
  <si>
    <t>S00374</t>
  </si>
  <si>
    <t>S00375</t>
  </si>
  <si>
    <t>S00376</t>
  </si>
  <si>
    <t>S00377</t>
  </si>
  <si>
    <t>U163</t>
  </si>
  <si>
    <t>S00378</t>
  </si>
  <si>
    <t>U266</t>
  </si>
  <si>
    <t>S00379</t>
  </si>
  <si>
    <t>S00380</t>
  </si>
  <si>
    <t>S00381</t>
  </si>
  <si>
    <t>U311</t>
  </si>
  <si>
    <t>S00382</t>
  </si>
  <si>
    <t>S00383</t>
  </si>
  <si>
    <t>S00384</t>
  </si>
  <si>
    <t>U202</t>
  </si>
  <si>
    <t>S00385</t>
  </si>
  <si>
    <t>S00386</t>
  </si>
  <si>
    <t>U144</t>
  </si>
  <si>
    <t>S00387</t>
  </si>
  <si>
    <t>S00388</t>
  </si>
  <si>
    <t>U192</t>
  </si>
  <si>
    <t>S00389</t>
  </si>
  <si>
    <t>U269</t>
  </si>
  <si>
    <t>S00390</t>
  </si>
  <si>
    <t>U193</t>
  </si>
  <si>
    <t>S00391</t>
  </si>
  <si>
    <t>S00392</t>
  </si>
  <si>
    <t>S00393</t>
  </si>
  <si>
    <t>S00394</t>
  </si>
  <si>
    <t>U227</t>
  </si>
  <si>
    <t>S00395</t>
  </si>
  <si>
    <t>S00396</t>
  </si>
  <si>
    <t>S00397</t>
  </si>
  <si>
    <t>S00398</t>
  </si>
  <si>
    <t>U485</t>
  </si>
  <si>
    <t>S00399</t>
  </si>
  <si>
    <t>S00400</t>
  </si>
  <si>
    <t>U326</t>
  </si>
  <si>
    <t>S00401</t>
  </si>
  <si>
    <t>U53</t>
  </si>
  <si>
    <t>S00402</t>
  </si>
  <si>
    <t>U45</t>
  </si>
  <si>
    <t>S00403</t>
  </si>
  <si>
    <t>S00404</t>
  </si>
  <si>
    <t>S00405</t>
  </si>
  <si>
    <t>U295</t>
  </si>
  <si>
    <t>S00406</t>
  </si>
  <si>
    <t>S00407</t>
  </si>
  <si>
    <t>S00408</t>
  </si>
  <si>
    <t>S00409</t>
  </si>
  <si>
    <t>U138</t>
  </si>
  <si>
    <t>S00410</t>
  </si>
  <si>
    <t>S00411</t>
  </si>
  <si>
    <t>S00412</t>
  </si>
  <si>
    <t>S00413</t>
  </si>
  <si>
    <t>U361</t>
  </si>
  <si>
    <t>S00414</t>
  </si>
  <si>
    <t>S00415</t>
  </si>
  <si>
    <t>S00416</t>
  </si>
  <si>
    <t>U281</t>
  </si>
  <si>
    <t>S00417</t>
  </si>
  <si>
    <t>S00418</t>
  </si>
  <si>
    <t>U203</t>
  </si>
  <si>
    <t>S00419</t>
  </si>
  <si>
    <t>U416</t>
  </si>
  <si>
    <t>S00420</t>
  </si>
  <si>
    <t>U276</t>
  </si>
  <si>
    <t>S00421</t>
  </si>
  <si>
    <t>S00422</t>
  </si>
  <si>
    <t>S00423</t>
  </si>
  <si>
    <t>S00424</t>
  </si>
  <si>
    <t>U112</t>
  </si>
  <si>
    <t>S00425</t>
  </si>
  <si>
    <t>S00426</t>
  </si>
  <si>
    <t>U305</t>
  </si>
  <si>
    <t>S00427</t>
  </si>
  <si>
    <t>U379</t>
  </si>
  <si>
    <t>S00428</t>
  </si>
  <si>
    <t>U440</t>
  </si>
  <si>
    <t>S00429</t>
  </si>
  <si>
    <t>S00430</t>
  </si>
  <si>
    <t>S00431</t>
  </si>
  <si>
    <t>U378</t>
  </si>
  <si>
    <t>S00432</t>
  </si>
  <si>
    <t>U77</t>
  </si>
  <si>
    <t>S00433</t>
  </si>
  <si>
    <t>U331</t>
  </si>
  <si>
    <t>S00434</t>
  </si>
  <si>
    <t>S00435</t>
  </si>
  <si>
    <t>U255</t>
  </si>
  <si>
    <t>S00436</t>
  </si>
  <si>
    <t>S00437</t>
  </si>
  <si>
    <t>S00438</t>
  </si>
  <si>
    <t>U444</t>
  </si>
  <si>
    <t>S00439</t>
  </si>
  <si>
    <t>S00440</t>
  </si>
  <si>
    <t>S00441</t>
  </si>
  <si>
    <t>U84</t>
  </si>
  <si>
    <t>S00442</t>
  </si>
  <si>
    <t>U354</t>
  </si>
  <si>
    <t>S00443</t>
  </si>
  <si>
    <t>S00444</t>
  </si>
  <si>
    <t>S00445</t>
  </si>
  <si>
    <t>U28</t>
  </si>
  <si>
    <t>S00446</t>
  </si>
  <si>
    <t>U37</t>
  </si>
  <si>
    <t>S00447</t>
  </si>
  <si>
    <t>U363</t>
  </si>
  <si>
    <t>S00448</t>
  </si>
  <si>
    <t>S00449</t>
  </si>
  <si>
    <t>S00450</t>
  </si>
  <si>
    <t>U458</t>
  </si>
  <si>
    <t>S00451</t>
  </si>
  <si>
    <t>S00452</t>
  </si>
  <si>
    <t>U217</t>
  </si>
  <si>
    <t>S00453</t>
  </si>
  <si>
    <t>S00454</t>
  </si>
  <si>
    <t>S00455</t>
  </si>
  <si>
    <t>U183</t>
  </si>
  <si>
    <t>S00456</t>
  </si>
  <si>
    <t>S00457</t>
  </si>
  <si>
    <t>S00458</t>
  </si>
  <si>
    <t>U172</t>
  </si>
  <si>
    <t>S00459</t>
  </si>
  <si>
    <t>S00460</t>
  </si>
  <si>
    <t>U341</t>
  </si>
  <si>
    <t>S00461</t>
  </si>
  <si>
    <t>U376</t>
  </si>
  <si>
    <t>S00462</t>
  </si>
  <si>
    <t>U474</t>
  </si>
  <si>
    <t>S00463</t>
  </si>
  <si>
    <t>U88</t>
  </si>
  <si>
    <t>S00464</t>
  </si>
  <si>
    <t>U63</t>
  </si>
  <si>
    <t>S00465</t>
  </si>
  <si>
    <t>S00466</t>
  </si>
  <si>
    <t>S00467</t>
  </si>
  <si>
    <t>S00468</t>
  </si>
  <si>
    <t>S00469</t>
  </si>
  <si>
    <t>U366</t>
  </si>
  <si>
    <t>S00470</t>
  </si>
  <si>
    <t>U140</t>
  </si>
  <si>
    <t>S00471</t>
  </si>
  <si>
    <t>S00472</t>
  </si>
  <si>
    <t>S00473</t>
  </si>
  <si>
    <t>S00474</t>
  </si>
  <si>
    <t>U448</t>
  </si>
  <si>
    <t>S00475</t>
  </si>
  <si>
    <t>S00476</t>
  </si>
  <si>
    <t>U399</t>
  </si>
  <si>
    <t>S00477</t>
  </si>
  <si>
    <t>S00478</t>
  </si>
  <si>
    <t>S00479</t>
  </si>
  <si>
    <t>U434</t>
  </si>
  <si>
    <t>S00480</t>
  </si>
  <si>
    <t>S00481</t>
  </si>
  <si>
    <t>U131</t>
  </si>
  <si>
    <t>S00482</t>
  </si>
  <si>
    <t>S00483</t>
  </si>
  <si>
    <t>U176</t>
  </si>
  <si>
    <t>S00484</t>
  </si>
  <si>
    <t>S00485</t>
  </si>
  <si>
    <t>U156</t>
  </si>
  <si>
    <t>S00486</t>
  </si>
  <si>
    <t>U232</t>
  </si>
  <si>
    <t>S00487</t>
  </si>
  <si>
    <t>S00488</t>
  </si>
  <si>
    <t>S00489</t>
  </si>
  <si>
    <t>U244</t>
  </si>
  <si>
    <t>S00490</t>
  </si>
  <si>
    <t>U307</t>
  </si>
  <si>
    <t>S00491</t>
  </si>
  <si>
    <t>U390</t>
  </si>
  <si>
    <t>S00492</t>
  </si>
  <si>
    <t>S00493</t>
  </si>
  <si>
    <t>U235</t>
  </si>
  <si>
    <t>S00494</t>
  </si>
  <si>
    <t>U168</t>
  </si>
  <si>
    <t>S00495</t>
  </si>
  <si>
    <t>S00496</t>
  </si>
  <si>
    <t>S00497</t>
  </si>
  <si>
    <t>S00498</t>
  </si>
  <si>
    <t>U489</t>
  </si>
  <si>
    <t>S00499</t>
  </si>
  <si>
    <t>S00500</t>
  </si>
  <si>
    <t>S00501</t>
  </si>
  <si>
    <t>S00502</t>
  </si>
  <si>
    <t>S00503</t>
  </si>
  <si>
    <t>U66</t>
  </si>
  <si>
    <t>S00504</t>
  </si>
  <si>
    <t>S00505</t>
  </si>
  <si>
    <t>S00506</t>
  </si>
  <si>
    <t>S00507</t>
  </si>
  <si>
    <t>U185</t>
  </si>
  <si>
    <t>S00508</t>
  </si>
  <si>
    <t>U450</t>
  </si>
  <si>
    <t>S00509</t>
  </si>
  <si>
    <t>U422</t>
  </si>
  <si>
    <t>S00510</t>
  </si>
  <si>
    <t>S00511</t>
  </si>
  <si>
    <t>S00512</t>
  </si>
  <si>
    <t>S00513</t>
  </si>
  <si>
    <t>U264</t>
  </si>
  <si>
    <t>S00514</t>
  </si>
  <si>
    <t>S00515</t>
  </si>
  <si>
    <t>U125</t>
  </si>
  <si>
    <t>S00516</t>
  </si>
  <si>
    <t>S00517</t>
  </si>
  <si>
    <t>S00518</t>
  </si>
  <si>
    <t>S00519</t>
  </si>
  <si>
    <t>S00520</t>
  </si>
  <si>
    <t>U289</t>
  </si>
  <si>
    <t>S00521</t>
  </si>
  <si>
    <t>S00522</t>
  </si>
  <si>
    <t>S00523</t>
  </si>
  <si>
    <t>S00524</t>
  </si>
  <si>
    <t>S00525</t>
  </si>
  <si>
    <t>U242</t>
  </si>
  <si>
    <t>S00526</t>
  </si>
  <si>
    <t>S00527</t>
  </si>
  <si>
    <t>S00528</t>
  </si>
  <si>
    <t>S00529</t>
  </si>
  <si>
    <t>U247</t>
  </si>
  <si>
    <t>S00530</t>
  </si>
  <si>
    <t>U418</t>
  </si>
  <si>
    <t>S00531</t>
  </si>
  <si>
    <t>U199</t>
  </si>
  <si>
    <t>S00532</t>
  </si>
  <si>
    <t>S00533</t>
  </si>
  <si>
    <t>S00534</t>
  </si>
  <si>
    <t>S00535</t>
  </si>
  <si>
    <t>U52</t>
  </si>
  <si>
    <t>S00536</t>
  </si>
  <si>
    <t>U73</t>
  </si>
  <si>
    <t>S00537</t>
  </si>
  <si>
    <t>U85</t>
  </si>
  <si>
    <t>S00538</t>
  </si>
  <si>
    <t>S00539</t>
  </si>
  <si>
    <t>U35</t>
  </si>
  <si>
    <t>S00540</t>
  </si>
  <si>
    <t>S00541</t>
  </si>
  <si>
    <t>S00542</t>
  </si>
  <si>
    <t>S00543</t>
  </si>
  <si>
    <t>U212</t>
  </si>
  <si>
    <t>S00544</t>
  </si>
  <si>
    <t>S00545</t>
  </si>
  <si>
    <t>S00546</t>
  </si>
  <si>
    <t>U380</t>
  </si>
  <si>
    <t>S00547</t>
  </si>
  <si>
    <t>S00548</t>
  </si>
  <si>
    <t>U302</t>
  </si>
  <si>
    <t>S00549</t>
  </si>
  <si>
    <t>U409</t>
  </si>
  <si>
    <t>S00550</t>
  </si>
  <si>
    <t>S00551</t>
  </si>
  <si>
    <t>U349</t>
  </si>
  <si>
    <t>S00552</t>
  </si>
  <si>
    <t>S00553</t>
  </si>
  <si>
    <t>S00554</t>
  </si>
  <si>
    <t>S00555</t>
  </si>
  <si>
    <t>S00556</t>
  </si>
  <si>
    <t>U18</t>
  </si>
  <si>
    <t>S00557</t>
  </si>
  <si>
    <t>U344</t>
  </si>
  <si>
    <t>S00558</t>
  </si>
  <si>
    <t>S00559</t>
  </si>
  <si>
    <t>U480</t>
  </si>
  <si>
    <t>S00560</t>
  </si>
  <si>
    <t>S00561</t>
  </si>
  <si>
    <t>S00562</t>
  </si>
  <si>
    <t>S00563</t>
  </si>
  <si>
    <t>U121</t>
  </si>
  <si>
    <t>S00564</t>
  </si>
  <si>
    <t>S00565</t>
  </si>
  <si>
    <t>S00566</t>
  </si>
  <si>
    <t>U141</t>
  </si>
  <si>
    <t>S00567</t>
  </si>
  <si>
    <t>S00568</t>
  </si>
  <si>
    <t>S00569</t>
  </si>
  <si>
    <t>U130</t>
  </si>
  <si>
    <t>S00570</t>
  </si>
  <si>
    <t>S00571</t>
  </si>
  <si>
    <t>S00572</t>
  </si>
  <si>
    <t>U367</t>
  </si>
  <si>
    <t>S00573</t>
  </si>
  <si>
    <t>U478</t>
  </si>
  <si>
    <t>S00574</t>
  </si>
  <si>
    <t>U284</t>
  </si>
  <si>
    <t>S00575</t>
  </si>
  <si>
    <t>S00576</t>
  </si>
  <si>
    <t>S00577</t>
  </si>
  <si>
    <t>U164</t>
  </si>
  <si>
    <t>S00578</t>
  </si>
  <si>
    <t>S00579</t>
  </si>
  <si>
    <t>S00580</t>
  </si>
  <si>
    <t>U445</t>
  </si>
  <si>
    <t>S00581</t>
  </si>
  <si>
    <t>S00582</t>
  </si>
  <si>
    <t>S00583</t>
  </si>
  <si>
    <t>S00584</t>
  </si>
  <si>
    <t>U365</t>
  </si>
  <si>
    <t>S00585</t>
  </si>
  <si>
    <t>S00586</t>
  </si>
  <si>
    <t>S00587</t>
  </si>
  <si>
    <t>S00588</t>
  </si>
  <si>
    <t>U127</t>
  </si>
  <si>
    <t>S00589</t>
  </si>
  <si>
    <t>S00590</t>
  </si>
  <si>
    <t>U461</t>
  </si>
  <si>
    <t>S00591</t>
  </si>
  <si>
    <t>S00592</t>
  </si>
  <si>
    <t>U405</t>
  </si>
  <si>
    <t>S00593</t>
  </si>
  <si>
    <t>S00594</t>
  </si>
  <si>
    <t>S00595</t>
  </si>
  <si>
    <t>U123</t>
  </si>
  <si>
    <t>S00596</t>
  </si>
  <si>
    <t>S00597</t>
  </si>
  <si>
    <t>U91</t>
  </si>
  <si>
    <t>S00598</t>
  </si>
  <si>
    <t>S00599</t>
  </si>
  <si>
    <t>S00600</t>
  </si>
  <si>
    <t>U115</t>
  </si>
  <si>
    <t>S00601</t>
  </si>
  <si>
    <t>S00602</t>
  </si>
  <si>
    <t>S00603</t>
  </si>
  <si>
    <t>U3</t>
  </si>
  <si>
    <t>S00604</t>
  </si>
  <si>
    <t>S00605</t>
  </si>
  <si>
    <t>S00606</t>
  </si>
  <si>
    <t>S00607</t>
  </si>
  <si>
    <t>U46</t>
  </si>
  <si>
    <t>S00608</t>
  </si>
  <si>
    <t>U456</t>
  </si>
  <si>
    <t>S00609</t>
  </si>
  <si>
    <t>U290</t>
  </si>
  <si>
    <t>S00610</t>
  </si>
  <si>
    <t>U431</t>
  </si>
  <si>
    <t>S00611</t>
  </si>
  <si>
    <t>S00612</t>
  </si>
  <si>
    <t>U397</t>
  </si>
  <si>
    <t>S00613</t>
  </si>
  <si>
    <t>U333</t>
  </si>
  <si>
    <t>S00614</t>
  </si>
  <si>
    <t>S00615</t>
  </si>
  <si>
    <t>U271</t>
  </si>
  <si>
    <t>S00616</t>
  </si>
  <si>
    <t>S00617</t>
  </si>
  <si>
    <t>U187</t>
  </si>
  <si>
    <t>S00618</t>
  </si>
  <si>
    <t>U60</t>
  </si>
  <si>
    <t>S00619</t>
  </si>
  <si>
    <t>S00620</t>
  </si>
  <si>
    <t>U381</t>
  </si>
  <si>
    <t>S00621</t>
  </si>
  <si>
    <t>U201</t>
  </si>
  <si>
    <t>S00622</t>
  </si>
  <si>
    <t>U50</t>
  </si>
  <si>
    <t>S00623</t>
  </si>
  <si>
    <t>S00624</t>
  </si>
  <si>
    <t>S00625</t>
  </si>
  <si>
    <t>U348</t>
  </si>
  <si>
    <t>S00626</t>
  </si>
  <si>
    <t>U167</t>
  </si>
  <si>
    <t>S00627</t>
  </si>
  <si>
    <t>U220</t>
  </si>
  <si>
    <t>S00628</t>
  </si>
  <si>
    <t>S00629</t>
  </si>
  <si>
    <t>U261</t>
  </si>
  <si>
    <t>S00630</t>
  </si>
  <si>
    <t>S00631</t>
  </si>
  <si>
    <t>S00632</t>
  </si>
  <si>
    <t>U253</t>
  </si>
  <si>
    <t>S00633</t>
  </si>
  <si>
    <t>U327</t>
  </si>
  <si>
    <t>S00634</t>
  </si>
  <si>
    <t>S00635</t>
  </si>
  <si>
    <t>U340</t>
  </si>
  <si>
    <t>S00636</t>
  </si>
  <si>
    <t>U68</t>
  </si>
  <si>
    <t>S00637</t>
  </si>
  <si>
    <t>U428</t>
  </si>
  <si>
    <t>S00638</t>
  </si>
  <si>
    <t>S00639</t>
  </si>
  <si>
    <t>U282</t>
  </si>
  <si>
    <t>S00640</t>
  </si>
  <si>
    <t>S00641</t>
  </si>
  <si>
    <t>U108</t>
  </si>
  <si>
    <t>S00642</t>
  </si>
  <si>
    <t>S00643</t>
  </si>
  <si>
    <t>U389</t>
  </si>
  <si>
    <t>S00644</t>
  </si>
  <si>
    <t>S00645</t>
  </si>
  <si>
    <t>S00646</t>
  </si>
  <si>
    <t>U407</t>
  </si>
  <si>
    <t>S00647</t>
  </si>
  <si>
    <t>S00648</t>
  </si>
  <si>
    <t>S00649</t>
  </si>
  <si>
    <t>S00650</t>
  </si>
  <si>
    <t>S00651</t>
  </si>
  <si>
    <t>U462</t>
  </si>
  <si>
    <t>S00652</t>
  </si>
  <si>
    <t>S00653</t>
  </si>
  <si>
    <t>U134</t>
  </si>
  <si>
    <t>S00654</t>
  </si>
  <si>
    <t>U116</t>
  </si>
  <si>
    <t>S00655</t>
  </si>
  <si>
    <t>S00656</t>
  </si>
  <si>
    <t>S00657</t>
  </si>
  <si>
    <t>U322</t>
  </si>
  <si>
    <t>S00658</t>
  </si>
  <si>
    <t>U33</t>
  </si>
  <si>
    <t>S00659</t>
  </si>
  <si>
    <t>S00660</t>
  </si>
  <si>
    <t>U325</t>
  </si>
  <si>
    <t>S00661</t>
  </si>
  <si>
    <t>U51</t>
  </si>
  <si>
    <t>S00662</t>
  </si>
  <si>
    <t>U328</t>
  </si>
  <si>
    <t>S00663</t>
  </si>
  <si>
    <t>S00664</t>
  </si>
  <si>
    <t>S00665</t>
  </si>
  <si>
    <t>S00666</t>
  </si>
  <si>
    <t>S00667</t>
  </si>
  <si>
    <t>U490</t>
  </si>
  <si>
    <t>S00668</t>
  </si>
  <si>
    <t>S00669</t>
  </si>
  <si>
    <t>S00670</t>
  </si>
  <si>
    <t>U204</t>
  </si>
  <si>
    <t>S00671</t>
  </si>
  <si>
    <t>S00672</t>
  </si>
  <si>
    <t>S00673</t>
  </si>
  <si>
    <t>U25</t>
  </si>
  <si>
    <t>S00674</t>
  </si>
  <si>
    <t>S00675</t>
  </si>
  <si>
    <t>U375</t>
  </si>
  <si>
    <t>S00676</t>
  </si>
  <si>
    <t>U118</t>
  </si>
  <si>
    <t>S00677</t>
  </si>
  <si>
    <t>U44</t>
  </si>
  <si>
    <t>S00678</t>
  </si>
  <si>
    <t>U213</t>
  </si>
  <si>
    <t>S00679</t>
  </si>
  <si>
    <t>S00680</t>
  </si>
  <si>
    <t>U273</t>
  </si>
  <si>
    <t>S00681</t>
  </si>
  <si>
    <t>S00682</t>
  </si>
  <si>
    <t>S00683</t>
  </si>
  <si>
    <t>U488</t>
  </si>
  <si>
    <t>S00684</t>
  </si>
  <si>
    <t>S00685</t>
  </si>
  <si>
    <t>S00686</t>
  </si>
  <si>
    <t>U398</t>
  </si>
  <si>
    <t>S00687</t>
  </si>
  <si>
    <t>U315</t>
  </si>
  <si>
    <t>S00688</t>
  </si>
  <si>
    <t>S00689</t>
  </si>
  <si>
    <t>S00690</t>
  </si>
  <si>
    <t>S00691</t>
  </si>
  <si>
    <t>S00692</t>
  </si>
  <si>
    <t>U360</t>
  </si>
  <si>
    <t>S00693</t>
  </si>
  <si>
    <t>S00694</t>
  </si>
  <si>
    <t>S00695</t>
  </si>
  <si>
    <t>U57</t>
  </si>
  <si>
    <t>S00696</t>
  </si>
  <si>
    <t>S00697</t>
  </si>
  <si>
    <t>U466</t>
  </si>
  <si>
    <t>S00698</t>
  </si>
  <si>
    <t>S00699</t>
  </si>
  <si>
    <t>U58</t>
  </si>
  <si>
    <t>S00700</t>
  </si>
  <si>
    <t>S00701</t>
  </si>
  <si>
    <t>U207</t>
  </si>
  <si>
    <t>S00702</t>
  </si>
  <si>
    <t>U259</t>
  </si>
  <si>
    <t>S00703</t>
  </si>
  <si>
    <t>U346</t>
  </si>
  <si>
    <t>S00704</t>
  </si>
  <si>
    <t>S00705</t>
  </si>
  <si>
    <t>S00706</t>
  </si>
  <si>
    <t>U449</t>
  </si>
  <si>
    <t>S00707</t>
  </si>
  <si>
    <t>U392</t>
  </si>
  <si>
    <t>S00708</t>
  </si>
  <si>
    <t>U385</t>
  </si>
  <si>
    <t>S00709</t>
  </si>
  <si>
    <t>U388</t>
  </si>
  <si>
    <t>S00710</t>
  </si>
  <si>
    <t>U236</t>
  </si>
  <si>
    <t>S00711</t>
  </si>
  <si>
    <t>S00712</t>
  </si>
  <si>
    <t>S00713</t>
  </si>
  <si>
    <t>S00714</t>
  </si>
  <si>
    <t>U31</t>
  </si>
  <si>
    <t>S00715</t>
  </si>
  <si>
    <t>S00716</t>
  </si>
  <si>
    <t>S00717</t>
  </si>
  <si>
    <t>U412</t>
  </si>
  <si>
    <t>S00718</t>
  </si>
  <si>
    <t>S00719</t>
  </si>
  <si>
    <t>U229</t>
  </si>
  <si>
    <t>S00720</t>
  </si>
  <si>
    <t>U72</t>
  </si>
  <si>
    <t>S00721</t>
  </si>
  <si>
    <t>S00722</t>
  </si>
  <si>
    <t>U338</t>
  </si>
  <si>
    <t>S00723</t>
  </si>
  <si>
    <t>S00724</t>
  </si>
  <si>
    <t>U321</t>
  </si>
  <si>
    <t>S00725</t>
  </si>
  <si>
    <t>U177</t>
  </si>
  <si>
    <t>S00726</t>
  </si>
  <si>
    <t>S00727</t>
  </si>
  <si>
    <t>U452</t>
  </si>
  <si>
    <t>S00728</t>
  </si>
  <si>
    <t>U441</t>
  </si>
  <si>
    <t>S00729</t>
  </si>
  <si>
    <t>S00730</t>
  </si>
  <si>
    <t>U103</t>
  </si>
  <si>
    <t>S00731</t>
  </si>
  <si>
    <t>S00732</t>
  </si>
  <si>
    <t>U230</t>
  </si>
  <si>
    <t>S00733</t>
  </si>
  <si>
    <t>U215</t>
  </si>
  <si>
    <t>S00734</t>
  </si>
  <si>
    <t>U393</t>
  </si>
  <si>
    <t>S00735</t>
  </si>
  <si>
    <t>S00736</t>
  </si>
  <si>
    <t>U38</t>
  </si>
  <si>
    <t>S00737</t>
  </si>
  <si>
    <t>S00738</t>
  </si>
  <si>
    <t>U135</t>
  </si>
  <si>
    <t>S00739</t>
  </si>
  <si>
    <t>S00740</t>
  </si>
  <si>
    <t>S00741</t>
  </si>
  <si>
    <t>S00742</t>
  </si>
  <si>
    <t>U122</t>
  </si>
  <si>
    <t>S00743</t>
  </si>
  <si>
    <t>S00744</t>
  </si>
  <si>
    <t>S00745</t>
  </si>
  <si>
    <t>U415</t>
  </si>
  <si>
    <t>S00746</t>
  </si>
  <si>
    <t>U408</t>
  </si>
  <si>
    <t>S00747</t>
  </si>
  <si>
    <t>U463</t>
  </si>
  <si>
    <t>S00748</t>
  </si>
  <si>
    <t>S00749</t>
  </si>
  <si>
    <t>U246</t>
  </si>
  <si>
    <t>S00750</t>
  </si>
  <si>
    <t>U95</t>
  </si>
  <si>
    <t>S00751</t>
  </si>
  <si>
    <t>S00752</t>
  </si>
  <si>
    <t>U471</t>
  </si>
  <si>
    <t>S00753</t>
  </si>
  <si>
    <t>S00754</t>
  </si>
  <si>
    <t>S00755</t>
  </si>
  <si>
    <t>S00756</t>
  </si>
  <si>
    <t>U263</t>
  </si>
  <si>
    <t>S00757</t>
  </si>
  <si>
    <t>S00758</t>
  </si>
  <si>
    <t>U345</t>
  </si>
  <si>
    <t>S00759</t>
  </si>
  <si>
    <t>U136</t>
  </si>
  <si>
    <t>S00760</t>
  </si>
  <si>
    <t>S00761</t>
  </si>
  <si>
    <t>U195</t>
  </si>
  <si>
    <t>S00762</t>
  </si>
  <si>
    <t>S00763</t>
  </si>
  <si>
    <t>U301</t>
  </si>
  <si>
    <t>S00764</t>
  </si>
  <si>
    <t>S00765</t>
  </si>
  <si>
    <t>U494</t>
  </si>
  <si>
    <t>S00766</t>
  </si>
  <si>
    <t>S00767</t>
  </si>
  <si>
    <t>S00768</t>
  </si>
  <si>
    <t>S00769</t>
  </si>
  <si>
    <t>U342</t>
  </si>
  <si>
    <t>S00770</t>
  </si>
  <si>
    <t>U155</t>
  </si>
  <si>
    <t>S00771</t>
  </si>
  <si>
    <t>S00772</t>
  </si>
  <si>
    <t>S00773</t>
  </si>
  <si>
    <t>S00774</t>
  </si>
  <si>
    <t>S00775</t>
  </si>
  <si>
    <t>U351</t>
  </si>
  <si>
    <t>S00776</t>
  </si>
  <si>
    <t>S00777</t>
  </si>
  <si>
    <t>S00778</t>
  </si>
  <si>
    <t>S00779</t>
  </si>
  <si>
    <t>U496</t>
  </si>
  <si>
    <t>S00780</t>
  </si>
  <si>
    <t>U288</t>
  </si>
  <si>
    <t>S00781</t>
  </si>
  <si>
    <t>U80</t>
  </si>
  <si>
    <t>S00782</t>
  </si>
  <si>
    <t>U384</t>
  </si>
  <si>
    <t>S00783</t>
  </si>
  <si>
    <t>U293</t>
  </si>
  <si>
    <t>S00784</t>
  </si>
  <si>
    <t>U180</t>
  </si>
  <si>
    <t>S00785</t>
  </si>
  <si>
    <t>S00786</t>
  </si>
  <si>
    <t>S00787</t>
  </si>
  <si>
    <t>U2</t>
  </si>
  <si>
    <t>S00788</t>
  </si>
  <si>
    <t>U206</t>
  </si>
  <si>
    <t>S00789</t>
  </si>
  <si>
    <t>U404</t>
  </si>
  <si>
    <t>S00790</t>
  </si>
  <si>
    <t>S00791</t>
  </si>
  <si>
    <t>S00792</t>
  </si>
  <si>
    <t>U433</t>
  </si>
  <si>
    <t>S00793</t>
  </si>
  <si>
    <t>U160</t>
  </si>
  <si>
    <t>S00794</t>
  </si>
  <si>
    <t>S00795</t>
  </si>
  <si>
    <t>S00796</t>
  </si>
  <si>
    <t>U470</t>
  </si>
  <si>
    <t>S00797</t>
  </si>
  <si>
    <t>U339</t>
  </si>
  <si>
    <t>S00798</t>
  </si>
  <si>
    <t>U49</t>
  </si>
  <si>
    <t>S00799</t>
  </si>
  <si>
    <t>S00800</t>
  </si>
  <si>
    <t>S00801</t>
  </si>
  <si>
    <t>U439</t>
  </si>
  <si>
    <t>S00802</t>
  </si>
  <si>
    <t>S00803</t>
  </si>
  <si>
    <t>U104</t>
  </si>
  <si>
    <t>S00804</t>
  </si>
  <si>
    <t>S00805</t>
  </si>
  <si>
    <t>S00806</t>
  </si>
  <si>
    <t>S00807</t>
  </si>
  <si>
    <t>U32</t>
  </si>
  <si>
    <t>S00808</t>
  </si>
  <si>
    <t>S00809</t>
  </si>
  <si>
    <t>S00810</t>
  </si>
  <si>
    <t>U430</t>
  </si>
  <si>
    <t>S00811</t>
  </si>
  <si>
    <t>S00812</t>
  </si>
  <si>
    <t>S00813</t>
  </si>
  <si>
    <t>U154</t>
  </si>
  <si>
    <t>S00814</t>
  </si>
  <si>
    <t>U486</t>
  </si>
  <si>
    <t>S00815</t>
  </si>
  <si>
    <t>U6</t>
  </si>
  <si>
    <t>S00816</t>
  </si>
  <si>
    <t>S00817</t>
  </si>
  <si>
    <t>S00818</t>
  </si>
  <si>
    <t>U24</t>
  </si>
  <si>
    <t>S00819</t>
  </si>
  <si>
    <t>S00820</t>
  </si>
  <si>
    <t>S00821</t>
  </si>
  <si>
    <t>U419</t>
  </si>
  <si>
    <t>S00822</t>
  </si>
  <si>
    <t>S00823</t>
  </si>
  <si>
    <t>S00824</t>
  </si>
  <si>
    <t>S00825</t>
  </si>
  <si>
    <t>S00826</t>
  </si>
  <si>
    <t>U499</t>
  </si>
  <si>
    <t>S00827</t>
  </si>
  <si>
    <t>S00828</t>
  </si>
  <si>
    <t>U102</t>
  </si>
  <si>
    <t>S00829</t>
  </si>
  <si>
    <t>U178</t>
  </si>
  <si>
    <t>S00830</t>
  </si>
  <si>
    <t>S00831</t>
  </si>
  <si>
    <t>S00832</t>
  </si>
  <si>
    <t>U417</t>
  </si>
  <si>
    <t>S00833</t>
  </si>
  <si>
    <t>U459</t>
  </si>
  <si>
    <t>S00834</t>
  </si>
  <si>
    <t>S00835</t>
  </si>
  <si>
    <t>S00836</t>
  </si>
  <si>
    <t>S00837</t>
  </si>
  <si>
    <t>U335</t>
  </si>
  <si>
    <t>S00838</t>
  </si>
  <si>
    <t>S00839</t>
  </si>
  <si>
    <t>S00840</t>
  </si>
  <si>
    <t>S00841</t>
  </si>
  <si>
    <t>U332</t>
  </si>
  <si>
    <t>S00842</t>
  </si>
  <si>
    <t>S00843</t>
  </si>
  <si>
    <t>U414</t>
  </si>
  <si>
    <t>S00844</t>
  </si>
  <si>
    <t>S00845</t>
  </si>
  <si>
    <t>S00846</t>
  </si>
  <si>
    <t>U238</t>
  </si>
  <si>
    <t>S00847</t>
  </si>
  <si>
    <t>S00848</t>
  </si>
  <si>
    <t>S00849</t>
  </si>
  <si>
    <t>U12</t>
  </si>
  <si>
    <t>S00850</t>
  </si>
  <si>
    <t>U286</t>
  </si>
  <si>
    <t>S00851</t>
  </si>
  <si>
    <t>S00852</t>
  </si>
  <si>
    <t>S00853</t>
  </si>
  <si>
    <t>S00854</t>
  </si>
  <si>
    <t>U468</t>
  </si>
  <si>
    <t>S00855</t>
  </si>
  <si>
    <t>S00856</t>
  </si>
  <si>
    <t>U162</t>
  </si>
  <si>
    <t>S00857</t>
  </si>
  <si>
    <t>S00858</t>
  </si>
  <si>
    <t>S00859</t>
  </si>
  <si>
    <t>U275</t>
  </si>
  <si>
    <t>S00860</t>
  </si>
  <si>
    <t>U364</t>
  </si>
  <si>
    <t>S00861</t>
  </si>
  <si>
    <t>S00862</t>
  </si>
  <si>
    <t>S00863</t>
  </si>
  <si>
    <t>S00864</t>
  </si>
  <si>
    <t>U358</t>
  </si>
  <si>
    <t>S00865</t>
  </si>
  <si>
    <t>U464</t>
  </si>
  <si>
    <t>S00866</t>
  </si>
  <si>
    <t>U453</t>
  </si>
  <si>
    <t>S00867</t>
  </si>
  <si>
    <t>S00868</t>
  </si>
  <si>
    <t>S00869</t>
  </si>
  <si>
    <t>S00870</t>
  </si>
  <si>
    <t>U447</t>
  </si>
  <si>
    <t>S00871</t>
  </si>
  <si>
    <t>U279</t>
  </si>
  <si>
    <t>S00872</t>
  </si>
  <si>
    <t>U479</t>
  </si>
  <si>
    <t>S00873</t>
  </si>
  <si>
    <t>S00874</t>
  </si>
  <si>
    <t>S00875</t>
  </si>
  <si>
    <t>S00876</t>
  </si>
  <si>
    <t>S00877</t>
  </si>
  <si>
    <t>U47</t>
  </si>
  <si>
    <t>S00878</t>
  </si>
  <si>
    <t>S00879</t>
  </si>
  <si>
    <t>S00880</t>
  </si>
  <si>
    <t>S00881</t>
  </si>
  <si>
    <t>S00882</t>
  </si>
  <si>
    <t>U211</t>
  </si>
  <si>
    <t>S00883</t>
  </si>
  <si>
    <t>S00884</t>
  </si>
  <si>
    <t>U251</t>
  </si>
  <si>
    <t>S00885</t>
  </si>
  <si>
    <t>S00886</t>
  </si>
  <si>
    <t>U157</t>
  </si>
  <si>
    <t>S00887</t>
  </si>
  <si>
    <t>S00888</t>
  </si>
  <si>
    <t>U36</t>
  </si>
  <si>
    <t>S00889</t>
  </si>
  <si>
    <t>U334</t>
  </si>
  <si>
    <t>S00890</t>
  </si>
  <si>
    <t>U256</t>
  </si>
  <si>
    <t>S00891</t>
  </si>
  <si>
    <t>S00892</t>
  </si>
  <si>
    <t>S00893</t>
  </si>
  <si>
    <t>U70</t>
  </si>
  <si>
    <t>S00894</t>
  </si>
  <si>
    <t>S00895</t>
  </si>
  <si>
    <t>S00896</t>
  </si>
  <si>
    <t>U316</t>
  </si>
  <si>
    <t>S00897</t>
  </si>
  <si>
    <t>S00898</t>
  </si>
  <si>
    <t>S00899</t>
  </si>
  <si>
    <t>U429</t>
  </si>
  <si>
    <t>S00900</t>
  </si>
  <si>
    <t>S00901</t>
  </si>
  <si>
    <t>S00902</t>
  </si>
  <si>
    <t>U396</t>
  </si>
  <si>
    <t>S00903</t>
  </si>
  <si>
    <t>U209</t>
  </si>
  <si>
    <t>S00904</t>
  </si>
  <si>
    <t>S00905</t>
  </si>
  <si>
    <t>U1</t>
  </si>
  <si>
    <t>S00906</t>
  </si>
  <si>
    <t>U280</t>
  </si>
  <si>
    <t>S00907</t>
  </si>
  <si>
    <t>S00908</t>
  </si>
  <si>
    <t>U99</t>
  </si>
  <si>
    <t>S00909</t>
  </si>
  <si>
    <t>S00910</t>
  </si>
  <si>
    <t>U413</t>
  </si>
  <si>
    <t>S00911</t>
  </si>
  <si>
    <t>S00912</t>
  </si>
  <si>
    <t>S00913</t>
  </si>
  <si>
    <t>S00914</t>
  </si>
  <si>
    <t>U319</t>
  </si>
  <si>
    <t>S00915</t>
  </si>
  <si>
    <t>U483</t>
  </si>
  <si>
    <t>S00916</t>
  </si>
  <si>
    <t>U303</t>
  </si>
  <si>
    <t>S00917</t>
  </si>
  <si>
    <t>U421</t>
  </si>
  <si>
    <t>S00918</t>
  </si>
  <si>
    <t>S00919</t>
  </si>
  <si>
    <t>S00920</t>
  </si>
  <si>
    <t>U165</t>
  </si>
  <si>
    <t>S00921</t>
  </si>
  <si>
    <t>S00922</t>
  </si>
  <si>
    <t>U373</t>
  </si>
  <si>
    <t>S00923</t>
  </si>
  <si>
    <t>U387</t>
  </si>
  <si>
    <t>S00924</t>
  </si>
  <si>
    <t>U39</t>
  </si>
  <si>
    <t>S00925</t>
  </si>
  <si>
    <t>S00926</t>
  </si>
  <si>
    <t>S00927</t>
  </si>
  <si>
    <t>U171</t>
  </si>
  <si>
    <t>S00928</t>
  </si>
  <si>
    <t>U98</t>
  </si>
  <si>
    <t>S00929</t>
  </si>
  <si>
    <t>S00930</t>
  </si>
  <si>
    <t>S00931</t>
  </si>
  <si>
    <t>U296</t>
  </si>
  <si>
    <t>S00932</t>
  </si>
  <si>
    <t>S00933</t>
  </si>
  <si>
    <t>S00934</t>
  </si>
  <si>
    <t>U482</t>
  </si>
  <si>
    <t>S00935</t>
  </si>
  <si>
    <t>U22</t>
  </si>
  <si>
    <t>S00936</t>
  </si>
  <si>
    <t>U181</t>
  </si>
  <si>
    <t>S00937</t>
  </si>
  <si>
    <t>S00938</t>
  </si>
  <si>
    <t>S00939</t>
  </si>
  <si>
    <t>S00940</t>
  </si>
  <si>
    <t>S00941</t>
  </si>
  <si>
    <t>U473</t>
  </si>
  <si>
    <t>S00942</t>
  </si>
  <si>
    <t>U329</t>
  </si>
  <si>
    <t>S00943</t>
  </si>
  <si>
    <t>U143</t>
  </si>
  <si>
    <t>S00944</t>
  </si>
  <si>
    <t>S00945</t>
  </si>
  <si>
    <t>S00946</t>
  </si>
  <si>
    <t>U139</t>
  </si>
  <si>
    <t>S00947</t>
  </si>
  <si>
    <t>S00948</t>
  </si>
  <si>
    <t>S00949</t>
  </si>
  <si>
    <t>S00950</t>
  </si>
  <si>
    <t>U133</t>
  </si>
  <si>
    <t>S00951</t>
  </si>
  <si>
    <t>S00952</t>
  </si>
  <si>
    <t>S00953</t>
  </si>
  <si>
    <t>S00954</t>
  </si>
  <si>
    <t>S00955</t>
  </si>
  <si>
    <t>U243</t>
  </si>
  <si>
    <t>S00956</t>
  </si>
  <si>
    <t>S00957</t>
  </si>
  <si>
    <t>S00958</t>
  </si>
  <si>
    <t>U62</t>
  </si>
  <si>
    <t>S00959</t>
  </si>
  <si>
    <t>U5</t>
  </si>
  <si>
    <t>S00960</t>
  </si>
  <si>
    <t>U457</t>
  </si>
  <si>
    <t>S00961</t>
  </si>
  <si>
    <t>S00962</t>
  </si>
  <si>
    <t>S00963</t>
  </si>
  <si>
    <t>U120</t>
  </si>
  <si>
    <t>S00964</t>
  </si>
  <si>
    <t>S00965</t>
  </si>
  <si>
    <t>U249</t>
  </si>
  <si>
    <t>S00966</t>
  </si>
  <si>
    <t>S00967</t>
  </si>
  <si>
    <t>U48</t>
  </si>
  <si>
    <t>S00968</t>
  </si>
  <si>
    <t>S00969</t>
  </si>
  <si>
    <t>S00970</t>
  </si>
  <si>
    <t>S00971</t>
  </si>
  <si>
    <t>U426</t>
  </si>
  <si>
    <t>S00972</t>
  </si>
  <si>
    <t>U54</t>
  </si>
  <si>
    <t>S00973</t>
  </si>
  <si>
    <t>S00974</t>
  </si>
  <si>
    <t>U173</t>
  </si>
  <si>
    <t>S00975</t>
  </si>
  <si>
    <t>U114</t>
  </si>
  <si>
    <t>S00976</t>
  </si>
  <si>
    <t>S00977</t>
  </si>
  <si>
    <t>U30</t>
  </si>
  <si>
    <t>S00978</t>
  </si>
  <si>
    <t>U17</t>
  </si>
  <si>
    <t>S00979</t>
  </si>
  <si>
    <t>U186</t>
  </si>
  <si>
    <t>S00980</t>
  </si>
  <si>
    <t>U498</t>
  </si>
  <si>
    <t>S00981</t>
  </si>
  <si>
    <t>S00982</t>
  </si>
  <si>
    <t>U34</t>
  </si>
  <si>
    <t>S00983</t>
  </si>
  <si>
    <t>S00984</t>
  </si>
  <si>
    <t>S00985</t>
  </si>
  <si>
    <t>U169</t>
  </si>
  <si>
    <t>S00986</t>
  </si>
  <si>
    <t>S00987</t>
  </si>
  <si>
    <t>U190</t>
  </si>
  <si>
    <t>S00988</t>
  </si>
  <si>
    <t>S00989</t>
  </si>
  <si>
    <t>S00990</t>
  </si>
  <si>
    <t>S00991</t>
  </si>
  <si>
    <t>S00992</t>
  </si>
  <si>
    <t>U237</t>
  </si>
  <si>
    <t>S00993</t>
  </si>
  <si>
    <t>U19</t>
  </si>
  <si>
    <t>S00994</t>
  </si>
  <si>
    <t>U200</t>
  </si>
  <si>
    <t>S00995</t>
  </si>
  <si>
    <t>S00996</t>
  </si>
  <si>
    <t>S00997</t>
  </si>
  <si>
    <t>S00998</t>
  </si>
  <si>
    <t>U395</t>
  </si>
  <si>
    <t>S00999</t>
  </si>
  <si>
    <t>U313</t>
  </si>
  <si>
    <t>S01000</t>
  </si>
  <si>
    <t>S01001</t>
  </si>
  <si>
    <t>S01002</t>
  </si>
  <si>
    <t>S01003</t>
  </si>
  <si>
    <t>S01004</t>
  </si>
  <si>
    <t>U21</t>
  </si>
  <si>
    <t>S01005</t>
  </si>
  <si>
    <t>U291</t>
  </si>
  <si>
    <t>S01006</t>
  </si>
  <si>
    <t>S01007</t>
  </si>
  <si>
    <t>S01008</t>
  </si>
  <si>
    <t>S01009</t>
  </si>
  <si>
    <t>S01010</t>
  </si>
  <si>
    <t>U257</t>
  </si>
  <si>
    <t>S01011</t>
  </si>
  <si>
    <t>U432</t>
  </si>
  <si>
    <t>S01012</t>
  </si>
  <si>
    <t>S01013</t>
  </si>
  <si>
    <t>S01014</t>
  </si>
  <si>
    <t>S01015</t>
  </si>
  <si>
    <t>U234</t>
  </si>
  <si>
    <t>S01016</t>
  </si>
  <si>
    <t>S01017</t>
  </si>
  <si>
    <t>U500</t>
  </si>
  <si>
    <t>S01018</t>
  </si>
  <si>
    <t>S01019</t>
  </si>
  <si>
    <t>S01020</t>
  </si>
  <si>
    <t>S01021</t>
  </si>
  <si>
    <t>S01022</t>
  </si>
  <si>
    <t>U476</t>
  </si>
  <si>
    <t>S01023</t>
  </si>
  <si>
    <t>U179</t>
  </si>
  <si>
    <t>S01024</t>
  </si>
  <si>
    <t>S01025</t>
  </si>
  <si>
    <t>U4</t>
  </si>
  <si>
    <t>S01026</t>
  </si>
  <si>
    <t>S01027</t>
  </si>
  <si>
    <t>S01028</t>
  </si>
  <si>
    <t>S01029</t>
  </si>
  <si>
    <t>S01030</t>
  </si>
  <si>
    <t>U274</t>
  </si>
  <si>
    <t>S01031</t>
  </si>
  <si>
    <t>S01032</t>
  </si>
  <si>
    <t>U394</t>
  </si>
  <si>
    <t>S01033</t>
  </si>
  <si>
    <t>S01034</t>
  </si>
  <si>
    <t>U374</t>
  </si>
  <si>
    <t>S01035</t>
  </si>
  <si>
    <t>S01036</t>
  </si>
  <si>
    <t>S01037</t>
  </si>
  <si>
    <t>U55</t>
  </si>
  <si>
    <t>S01038</t>
  </si>
  <si>
    <t>S01039</t>
  </si>
  <si>
    <t>U149</t>
  </si>
  <si>
    <t>S01040</t>
  </si>
  <si>
    <t>S01041</t>
  </si>
  <si>
    <t>U11</t>
  </si>
  <si>
    <t>S01042</t>
  </si>
  <si>
    <t>S01043</t>
  </si>
  <si>
    <t>U451</t>
  </si>
  <si>
    <t>S01044</t>
  </si>
  <si>
    <t>S01045</t>
  </si>
  <si>
    <t>S01046</t>
  </si>
  <si>
    <t>S01047</t>
  </si>
  <si>
    <t>U323</t>
  </si>
  <si>
    <t>S01048</t>
  </si>
  <si>
    <t>U400</t>
  </si>
  <si>
    <t>S01049</t>
  </si>
  <si>
    <t>U283</t>
  </si>
  <si>
    <t>S01050</t>
  </si>
  <si>
    <t>S01051</t>
  </si>
  <si>
    <t>S01052</t>
  </si>
  <si>
    <t>S01053</t>
  </si>
  <si>
    <t>S01054</t>
  </si>
  <si>
    <t>U425</t>
  </si>
  <si>
    <t>S01055</t>
  </si>
  <si>
    <t>S01056</t>
  </si>
  <si>
    <t>S01057</t>
  </si>
  <si>
    <t>S01058</t>
  </si>
  <si>
    <t>U126</t>
  </si>
  <si>
    <t>S01059</t>
  </si>
  <si>
    <t>S01060</t>
  </si>
  <si>
    <t>U336</t>
  </si>
  <si>
    <t>S01061</t>
  </si>
  <si>
    <t>S01062</t>
  </si>
  <si>
    <t>U497</t>
  </si>
  <si>
    <t>S01063</t>
  </si>
  <si>
    <t>U42</t>
  </si>
  <si>
    <t>S01064</t>
  </si>
  <si>
    <t>U317</t>
  </si>
  <si>
    <t>S01065</t>
  </si>
  <si>
    <t>S01066</t>
  </si>
  <si>
    <t>U23</t>
  </si>
  <si>
    <t>S01067</t>
  </si>
  <si>
    <t>U350</t>
  </si>
  <si>
    <t>S01068</t>
  </si>
  <si>
    <t>S01069</t>
  </si>
  <si>
    <t>U71</t>
  </si>
  <si>
    <t>S01070</t>
  </si>
  <si>
    <t>U15</t>
  </si>
  <si>
    <t>S01071</t>
  </si>
  <si>
    <t>S01072</t>
  </si>
  <si>
    <t>S01073</t>
  </si>
  <si>
    <t>S01074</t>
  </si>
  <si>
    <t>S01075</t>
  </si>
  <si>
    <t>U105</t>
  </si>
  <si>
    <t>S01076</t>
  </si>
  <si>
    <t>S01077</t>
  </si>
  <si>
    <t>S01078</t>
  </si>
  <si>
    <t>S01079</t>
  </si>
  <si>
    <t>Session Duration</t>
  </si>
  <si>
    <t>Page Views</t>
  </si>
  <si>
    <t>Unique Page Views</t>
  </si>
  <si>
    <t>Conversion Flag</t>
  </si>
  <si>
    <t>Page URL</t>
  </si>
  <si>
    <t>Date</t>
  </si>
  <si>
    <t>Time</t>
  </si>
  <si>
    <t>Year</t>
  </si>
  <si>
    <t>Month</t>
  </si>
  <si>
    <t>Day</t>
  </si>
  <si>
    <t>home</t>
  </si>
  <si>
    <t>order-confirmation</t>
  </si>
  <si>
    <t>product-details</t>
  </si>
  <si>
    <t>checkout</t>
  </si>
  <si>
    <t>products</t>
  </si>
  <si>
    <t>Time_of_Day</t>
  </si>
  <si>
    <t>Row Labels</t>
  </si>
  <si>
    <t>Grand Total</t>
  </si>
  <si>
    <t>Count of SessionID</t>
  </si>
  <si>
    <t>Total sessions</t>
  </si>
  <si>
    <t>Distinct Count of UserID</t>
  </si>
  <si>
    <t>Total Users</t>
  </si>
  <si>
    <t>Afternoon</t>
  </si>
  <si>
    <t>Evening</t>
  </si>
  <si>
    <t>Morning</t>
  </si>
  <si>
    <t>Night</t>
  </si>
  <si>
    <t>New &amp;Returning Users Rate</t>
  </si>
  <si>
    <t>Traffic source</t>
  </si>
  <si>
    <t xml:space="preserve">Sessions by User Type </t>
  </si>
  <si>
    <t xml:space="preserve">Traffic by  Country </t>
  </si>
  <si>
    <t xml:space="preserve">DeviceType Distribution </t>
  </si>
  <si>
    <t>Average of Session Duration</t>
  </si>
  <si>
    <t>Column Labels</t>
  </si>
  <si>
    <t>Mon</t>
  </si>
  <si>
    <t>Sat</t>
  </si>
  <si>
    <t>Sun</t>
  </si>
  <si>
    <t>Fri</t>
  </si>
  <si>
    <t>Tue</t>
  </si>
  <si>
    <t>Thu</t>
  </si>
  <si>
    <t>Wed</t>
  </si>
  <si>
    <t>Sessions by Time of Day</t>
  </si>
  <si>
    <t>Sessions by Traffic Source</t>
  </si>
  <si>
    <t>Conversion Rate by Time of Day</t>
  </si>
  <si>
    <t>Sessions by Day of the Week</t>
  </si>
  <si>
    <t>Conversion_Rate</t>
  </si>
  <si>
    <t>Conversion Rate by Traffic Source</t>
  </si>
  <si>
    <t>AVG SD(MINS)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</si>
</sst>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m/yyyy\ hh:mm"/>
    <numFmt numFmtId="165" formatCode="[$-409]h:mm\ AM/PM;@"/>
    <numFmt numFmtId="166" formatCode="0.0%"/>
    <numFmt numFmtId="171" formatCode="0.0"/>
  </numFmts>
  <fonts count="5" x14ac:knownFonts="1">
    <font>
      <sz val="10"/>
      <color rgb="FF000000"/>
      <name val="Arial"/>
      <scheme val="minor"/>
    </font>
    <font>
      <sz val="10"/>
      <color theme="1"/>
      <name val="Arial"/>
      <family val="2"/>
      <scheme val="minor"/>
    </font>
    <font>
      <sz val="10"/>
      <color theme="2"/>
      <name val="Arial"/>
      <family val="2"/>
      <scheme val="minor"/>
    </font>
    <font>
      <sz val="10"/>
      <color rgb="FF000000"/>
      <name val="Arial"/>
      <family val="2"/>
      <scheme val="minor"/>
    </font>
    <font>
      <sz val="10"/>
      <color rgb="FF000000"/>
      <name val="Arial"/>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4" fillId="0" borderId="0" applyFont="0" applyFill="0" applyBorder="0" applyAlignment="0" applyProtection="0"/>
  </cellStyleXfs>
  <cellXfs count="20">
    <xf numFmtId="0" fontId="0" fillId="0" borderId="0" xfId="0"/>
    <xf numFmtId="0" fontId="1" fillId="0" borderId="0" xfId="0" applyFont="1"/>
    <xf numFmtId="164" fontId="1" fillId="0" borderId="0" xfId="0" applyNumberFormat="1" applyFont="1"/>
    <xf numFmtId="22" fontId="1" fillId="0" borderId="0" xfId="0" applyNumberFormat="1" applyFont="1"/>
    <xf numFmtId="14" fontId="1" fillId="0" borderId="0" xfId="0" applyNumberFormat="1" applyFont="1"/>
    <xf numFmtId="14" fontId="0" fillId="0" borderId="0" xfId="0" applyNumberFormat="1"/>
    <xf numFmtId="165" fontId="1" fillId="0" borderId="0" xfId="0" applyNumberFormat="1" applyFont="1"/>
    <xf numFmtId="0" fontId="0" fillId="0" borderId="0" xfId="0" pivotButton="1"/>
    <xf numFmtId="0" fontId="0" fillId="0" borderId="0" xfId="0" applyAlignment="1">
      <alignment horizontal="left"/>
    </xf>
    <xf numFmtId="0" fontId="3" fillId="2" borderId="0" xfId="0" applyFont="1" applyFill="1"/>
    <xf numFmtId="9" fontId="0" fillId="0" borderId="0" xfId="0" applyNumberFormat="1"/>
    <xf numFmtId="9" fontId="0" fillId="0" borderId="0" xfId="1" applyFont="1"/>
    <xf numFmtId="0" fontId="2" fillId="0" borderId="0" xfId="0" applyFont="1"/>
    <xf numFmtId="0" fontId="0" fillId="2" borderId="0" xfId="0" applyFill="1"/>
    <xf numFmtId="0" fontId="3" fillId="0" borderId="0" xfId="0" applyFont="1"/>
    <xf numFmtId="10" fontId="0" fillId="0" borderId="0" xfId="0" applyNumberFormat="1"/>
    <xf numFmtId="166" fontId="0" fillId="0" borderId="0" xfId="1" applyNumberFormat="1" applyFont="1"/>
    <xf numFmtId="166" fontId="0" fillId="0" borderId="0" xfId="0" applyNumberFormat="1"/>
    <xf numFmtId="0" fontId="1" fillId="0" borderId="1" xfId="0" applyFont="1" applyBorder="1"/>
    <xf numFmtId="171" fontId="0" fillId="0" borderId="0" xfId="0" applyNumberFormat="1"/>
  </cellXfs>
  <cellStyles count="2">
    <cellStyle name="Normal" xfId="0" builtinId="0"/>
    <cellStyle name="Percent" xfId="1" builtinId="5"/>
  </cellStyles>
  <dxfs count="33">
    <dxf>
      <font>
        <color rgb="FF9C0006"/>
      </font>
      <fill>
        <patternFill>
          <bgColor rgb="FFFFC7CE"/>
        </patternFill>
      </fill>
    </dxf>
    <dxf>
      <font>
        <color rgb="FF9C0006"/>
      </font>
      <fill>
        <patternFill>
          <bgColor rgb="FFFFC7CE"/>
        </patternFill>
      </fill>
    </dxf>
    <dxf>
      <numFmt numFmtId="13" formatCode="0%"/>
    </dxf>
    <dxf>
      <numFmt numFmtId="13" formatCode="0%"/>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0" formatCode="General"/>
    </dxf>
    <dxf>
      <font>
        <b val="0"/>
        <i val="0"/>
        <strike val="0"/>
        <condense val="0"/>
        <extend val="0"/>
        <outline val="0"/>
        <shadow val="0"/>
        <u val="none"/>
        <vertAlign val="baseline"/>
        <sz val="10"/>
        <color theme="1"/>
        <name val="Arial"/>
        <family val="2"/>
        <scheme val="minor"/>
      </font>
      <numFmt numFmtId="0" formatCode="General"/>
    </dxf>
    <dxf>
      <font>
        <b val="0"/>
        <i val="0"/>
        <strike val="0"/>
        <condense val="0"/>
        <extend val="0"/>
        <outline val="0"/>
        <shadow val="0"/>
        <u val="none"/>
        <vertAlign val="baseline"/>
        <sz val="10"/>
        <color theme="1"/>
        <name val="Arial"/>
        <family val="2"/>
        <scheme val="minor"/>
      </font>
      <numFmt numFmtId="0" formatCode="General"/>
    </dxf>
    <dxf>
      <font>
        <b val="0"/>
        <i val="0"/>
        <strike val="0"/>
        <condense val="0"/>
        <extend val="0"/>
        <outline val="0"/>
        <shadow val="0"/>
        <u val="none"/>
        <vertAlign val="baseline"/>
        <sz val="10"/>
        <color theme="1"/>
        <name val="Arial"/>
        <family val="2"/>
        <scheme val="minor"/>
      </font>
      <numFmt numFmtId="165" formatCode="[$-409]h:mm\ AM/PM;@"/>
    </dxf>
    <dxf>
      <font>
        <b val="0"/>
        <i val="0"/>
        <strike val="0"/>
        <condense val="0"/>
        <extend val="0"/>
        <outline val="0"/>
        <shadow val="0"/>
        <u val="none"/>
        <vertAlign val="baseline"/>
        <sz val="10"/>
        <color theme="1"/>
        <name val="Arial"/>
        <family val="2"/>
        <scheme val="minor"/>
      </font>
      <numFmt numFmtId="165" formatCode="[$-409]h:mm\ AM/PM;@"/>
    </dxf>
    <dxf>
      <font>
        <b val="0"/>
        <i val="0"/>
        <strike val="0"/>
        <condense val="0"/>
        <extend val="0"/>
        <outline val="0"/>
        <shadow val="0"/>
        <u val="none"/>
        <vertAlign val="baseline"/>
        <sz val="10"/>
        <color theme="1"/>
        <name val="Arial"/>
        <family val="2"/>
        <scheme val="minor"/>
      </font>
      <numFmt numFmtId="19" formatCode="m/d/yyyy"/>
    </dxf>
    <dxf>
      <font>
        <b val="0"/>
        <i val="0"/>
        <strike val="0"/>
        <condense val="0"/>
        <extend val="0"/>
        <outline val="0"/>
        <shadow val="0"/>
        <u val="none"/>
        <vertAlign val="baseline"/>
        <sz val="10"/>
        <color theme="1"/>
        <name val="Arial"/>
        <family val="2"/>
        <scheme val="minor"/>
      </font>
      <numFmt numFmtId="27" formatCode="m/d/yyyy\ h:mm"/>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0" formatCode="General"/>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ill>
        <patternFill patternType="none">
          <bgColor auto="1"/>
        </patternFill>
      </fill>
      <border>
        <left style="thin">
          <color auto="1"/>
        </left>
        <right style="thin">
          <color auto="1"/>
        </right>
        <top style="thin">
          <color auto="1"/>
        </top>
        <bottom style="thin">
          <color auto="1"/>
        </bottom>
      </border>
    </dxf>
    <dxf>
      <font>
        <b/>
        <color theme="1"/>
      </font>
      <border>
        <bottom style="thin">
          <color theme="9"/>
        </bottom>
        <vertical/>
        <horizontal/>
      </border>
    </dxf>
    <dxf>
      <font>
        <sz val="9"/>
        <color theme="1"/>
        <name val="Georgia Pro"/>
        <family val="1"/>
        <scheme val="none"/>
      </font>
      <fill>
        <patternFill patternType="solid">
          <bgColor theme="9" tint="0.79998168889431442"/>
        </patternFill>
      </fill>
      <border diagonalUp="0" diagonalDown="0">
        <left/>
        <right/>
        <top/>
        <bottom/>
        <vertical/>
        <horizontal/>
      </border>
    </dxf>
    <dxf>
      <font>
        <sz val="8"/>
        <name val="Georgia"/>
        <family val="1"/>
        <scheme val="none"/>
      </font>
    </dxf>
    <dxf>
      <border diagonalUp="0" diagonalDown="0">
        <left/>
        <right/>
        <top/>
        <bottom/>
        <vertical/>
        <horizontal/>
      </border>
    </dxf>
  </dxfs>
  <tableStyles count="6" defaultTableStyle="TableStyleMedium2" defaultPivotStyle="PivotStyleLight16">
    <tableStyle name="Slicer Style 1" pivot="0" table="0" count="1" xr9:uid="{C0E2C09F-467B-4CD7-8BEA-E627A7C7055A}"/>
    <tableStyle name="Slicer Style 2" pivot="0" table="0" count="1" xr9:uid="{D3C64652-78BD-4F4A-9F09-DD1C8E116CBF}">
      <tableStyleElement type="wholeTable" dxfId="32"/>
    </tableStyle>
    <tableStyle name="Slicer Style 3" pivot="0" table="0" count="1" xr9:uid="{E8FB0BA6-DBBF-4C94-B322-18A2E6A90E73}">
      <tableStyleElement type="wholeTable" dxfId="31"/>
    </tableStyle>
    <tableStyle name="Slicer Style 5" pivot="0" table="0" count="0" xr9:uid="{DF25D9B2-4292-466E-84D0-A80B442CF62E}"/>
    <tableStyle name="SlicerStyleLight6 2" pivot="0" table="0" count="10" xr9:uid="{5BAA0FD4-7886-4351-880A-54F652F8EE4E}">
      <tableStyleElement type="wholeTable" dxfId="30"/>
      <tableStyleElement type="headerRow" dxfId="29"/>
    </tableStyle>
    <tableStyle name="Table Style 1" pivot="0" count="1" xr9:uid="{B8CA322E-65C2-4093-9DA7-C510CDC9C557}">
      <tableStyleElement type="wholeTable" dxfId="28"/>
    </tableStyle>
  </tableStyles>
  <colors>
    <mruColors>
      <color rgb="FFC89FFF"/>
      <color rgb="FFB580B6"/>
      <color rgb="FFE2D7F7"/>
      <color rgb="FFB8A708"/>
    </mruColors>
  </colors>
  <extLst>
    <ext xmlns:x14="http://schemas.microsoft.com/office/spreadsheetml/2009/9/main" uri="{46F421CA-312F-682f-3DD2-61675219B42D}">
      <x14:dxfs count="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sz val="8"/>
          </font>
        </dxf>
      </x14:dxfs>
    </ext>
    <ext xmlns:x14="http://schemas.microsoft.com/office/spreadsheetml/2009/9/main" uri="{EB79DEF2-80B8-43e5-95BD-54CBDDF9020C}">
      <x14:slicerStyles defaultSlicerStyle="SlicerStyleLight6 2">
        <x14:slicerStyle name="Slicer Style 1">
          <x14:slicerStyleElements>
            <x14:slicerStyleElement type="unselectedItemWithData" dxfId="8"/>
          </x14:slicerStyleElements>
        </x14:slicerStyle>
        <x14:slicerStyle name="Slicer Style 2"/>
        <x14:slicerStyle name="Slicer Style 3"/>
        <x14:slicerStyle name="Slicer Style 5"/>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heetMetadata" Target="metadata.xml"/><Relationship Id="rId39" Type="http://schemas.openxmlformats.org/officeDocument/2006/relationships/customXml" Target="../customXml/item10.xml"/><Relationship Id="rId21" Type="http://schemas.microsoft.com/office/2007/relationships/slicerCache" Target="slicerCaches/slicerCache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alcChain" Target="calcChain.xml"/><Relationship Id="rId11" Type="http://schemas.openxmlformats.org/officeDocument/2006/relationships/pivotCacheDefinition" Target="pivotCache/pivotCacheDefinition7.xml"/><Relationship Id="rId24" Type="http://schemas.openxmlformats.org/officeDocument/2006/relationships/styles" Target="style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pivotCacheDefinition" Target="pivotCache/pivotCacheDefinition1.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pivotCacheDefinition" Target="pivotCache/pivotCacheDefinition4.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microsoft.com/office/2007/relationships/slicerCache" Target="slicerCaches/slicerCache2.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microsoft.com/office/2017/10/relationships/person" Target="persons/person.xml"/><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6.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[BrightCart.xlsx]pivot tables!PivotTable11</c:name>
    <c:fmtId val="4"/>
  </c:pivotSource>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Georgia" panose="02040502050405020303" pitchFamily="18" charset="0"/>
                <a:ea typeface="+mn-ea"/>
                <a:cs typeface="+mn-cs"/>
              </a:defRPr>
            </a:pPr>
            <a:r>
              <a:rPr lang="en-US" b="1">
                <a:solidFill>
                  <a:schemeClr val="accent6">
                    <a:lumMod val="50000"/>
                  </a:schemeClr>
                </a:solidFill>
                <a:latin typeface="Georgia" panose="02040502050405020303" pitchFamily="18" charset="0"/>
              </a:rPr>
              <a:t>Sessions by Traffic Source</a:t>
            </a:r>
          </a:p>
        </c:rich>
      </c:tx>
      <c:layout>
        <c:manualLayout>
          <c:xMode val="edge"/>
          <c:yMode val="edge"/>
          <c:x val="0.16856048038505572"/>
          <c:y val="3.9374045683193949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6">
                      <a:lumMod val="50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6">
                        <a:lumMod val="50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tables'!$A$11:$A$16</c:f>
              <c:strCache>
                <c:ptCount val="5"/>
                <c:pt idx="0">
                  <c:v>Organic Search</c:v>
                </c:pt>
                <c:pt idx="1">
                  <c:v>Direct</c:v>
                </c:pt>
                <c:pt idx="2">
                  <c:v>Referral</c:v>
                </c:pt>
                <c:pt idx="3">
                  <c:v>Social Media</c:v>
                </c:pt>
                <c:pt idx="4">
                  <c:v>Paid Ads</c:v>
                </c:pt>
              </c:strCache>
            </c:strRef>
          </c:cat>
          <c:val>
            <c:numRef>
              <c:f>'pivot tables'!$B$11:$B$16</c:f>
              <c:numCache>
                <c:formatCode>General</c:formatCode>
                <c:ptCount val="5"/>
                <c:pt idx="0">
                  <c:v>366</c:v>
                </c:pt>
                <c:pt idx="1">
                  <c:v>345</c:v>
                </c:pt>
                <c:pt idx="2">
                  <c:v>136</c:v>
                </c:pt>
                <c:pt idx="3">
                  <c:v>122</c:v>
                </c:pt>
                <c:pt idx="4">
                  <c:v>110</c:v>
                </c:pt>
              </c:numCache>
            </c:numRef>
          </c:val>
          <c:extLst>
            <c:ext xmlns:c16="http://schemas.microsoft.com/office/drawing/2014/chart" uri="{C3380CC4-5D6E-409C-BE32-E72D297353CC}">
              <c16:uniqueId val="{00000000-CFE5-4E80-9A6D-5CE8BEA52021}"/>
            </c:ext>
          </c:extLst>
        </c:ser>
        <c:dLbls>
          <c:dLblPos val="outEnd"/>
          <c:showLegendKey val="0"/>
          <c:showVal val="1"/>
          <c:showCatName val="0"/>
          <c:showSerName val="0"/>
          <c:showPercent val="0"/>
          <c:showBubbleSize val="0"/>
        </c:dLbls>
        <c:gapWidth val="59"/>
        <c:overlap val="-27"/>
        <c:axId val="424239232"/>
        <c:axId val="424256032"/>
      </c:barChart>
      <c:catAx>
        <c:axId val="42423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accent6">
                    <a:lumMod val="50000"/>
                  </a:schemeClr>
                </a:solidFill>
                <a:latin typeface="Georgia" panose="02040502050405020303" pitchFamily="18" charset="0"/>
                <a:ea typeface="+mn-ea"/>
                <a:cs typeface="+mn-cs"/>
              </a:defRPr>
            </a:pPr>
            <a:endParaRPr lang="en-US"/>
          </a:p>
        </c:txPr>
        <c:crossAx val="424256032"/>
        <c:crosses val="autoZero"/>
        <c:auto val="1"/>
        <c:lblAlgn val="ctr"/>
        <c:lblOffset val="100"/>
        <c:noMultiLvlLbl val="0"/>
      </c:catAx>
      <c:valAx>
        <c:axId val="424256032"/>
        <c:scaling>
          <c:orientation val="minMax"/>
        </c:scaling>
        <c:delete val="1"/>
        <c:axPos val="l"/>
        <c:numFmt formatCode="General" sourceLinked="1"/>
        <c:majorTickMark val="none"/>
        <c:minorTickMark val="none"/>
        <c:tickLblPos val="nextTo"/>
        <c:crossAx val="42423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6">
                        <a:lumMod val="50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tables'!$J$22:$J$26</c:f>
              <c:numCache>
                <c:formatCode>General</c:formatCode>
                <c:ptCount val="5"/>
              </c:numCache>
            </c:numRef>
          </c:cat>
          <c:val>
            <c:numRef>
              <c:f>'pivot tables'!$K$22:$K$26</c:f>
              <c:numCache>
                <c:formatCode>0.0%</c:formatCode>
                <c:ptCount val="5"/>
              </c:numCache>
            </c:numRef>
          </c:val>
          <c:extLst>
            <c:ext xmlns:c16="http://schemas.microsoft.com/office/drawing/2014/chart" uri="{C3380CC4-5D6E-409C-BE32-E72D297353CC}">
              <c16:uniqueId val="{00000000-02BB-4EA4-97CD-89A738041C4A}"/>
            </c:ext>
          </c:extLst>
        </c:ser>
        <c:dLbls>
          <c:dLblPos val="outEnd"/>
          <c:showLegendKey val="0"/>
          <c:showVal val="1"/>
          <c:showCatName val="0"/>
          <c:showSerName val="0"/>
          <c:showPercent val="0"/>
          <c:showBubbleSize val="0"/>
        </c:dLbls>
        <c:gapWidth val="49"/>
        <c:overlap val="-27"/>
        <c:axId val="789926976"/>
        <c:axId val="789927936"/>
      </c:barChart>
      <c:catAx>
        <c:axId val="789926976"/>
        <c:scaling>
          <c:orientation val="minMax"/>
        </c:scaling>
        <c:delete val="1"/>
        <c:axPos val="b"/>
        <c:numFmt formatCode="General" sourceLinked="1"/>
        <c:majorTickMark val="none"/>
        <c:minorTickMark val="none"/>
        <c:tickLblPos val="nextTo"/>
        <c:crossAx val="789927936"/>
        <c:crosses val="autoZero"/>
        <c:auto val="1"/>
        <c:lblAlgn val="ctr"/>
        <c:lblOffset val="100"/>
        <c:noMultiLvlLbl val="0"/>
      </c:catAx>
      <c:valAx>
        <c:axId val="789927936"/>
        <c:scaling>
          <c:orientation val="minMax"/>
        </c:scaling>
        <c:delete val="1"/>
        <c:axPos val="l"/>
        <c:numFmt formatCode="0.0%" sourceLinked="1"/>
        <c:majorTickMark val="none"/>
        <c:minorTickMark val="none"/>
        <c:tickLblPos val="nextTo"/>
        <c:crossAx val="789926976"/>
        <c:crosses val="autoZero"/>
        <c:crossBetween val="between"/>
      </c:valAx>
      <c:spPr>
        <a:noFill/>
        <a:ln w="25400">
          <a:noFill/>
        </a:ln>
        <a:effectLst/>
      </c:spPr>
    </c:plotArea>
    <c:plotVisOnly val="1"/>
    <c:dispBlanksAs val="gap"/>
    <c:showDLblsOverMax val="0"/>
  </c:chart>
  <c:spPr>
    <a:solidFill>
      <a:schemeClr val="bg1"/>
    </a:solidFill>
    <a:ln w="317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[BrightCart.xlsx]pivot tables!PivotTable10</c:name>
    <c:fmtId val="4"/>
  </c:pivotSource>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Georgia" panose="02040502050405020303" pitchFamily="18" charset="0"/>
                <a:ea typeface="+mn-ea"/>
                <a:cs typeface="+mn-cs"/>
              </a:defRPr>
            </a:pPr>
            <a:r>
              <a:rPr lang="en-US" sz="800" b="1">
                <a:solidFill>
                  <a:schemeClr val="accent6">
                    <a:lumMod val="50000"/>
                  </a:schemeClr>
                </a:solidFill>
                <a:latin typeface="Georgia" panose="02040502050405020303" pitchFamily="18" charset="0"/>
              </a:rPr>
              <a:t>Session</a:t>
            </a:r>
            <a:r>
              <a:rPr lang="en-US" sz="800" b="1" baseline="0">
                <a:solidFill>
                  <a:schemeClr val="accent6">
                    <a:lumMod val="50000"/>
                  </a:schemeClr>
                </a:solidFill>
                <a:latin typeface="Georgia" panose="02040502050405020303" pitchFamily="18" charset="0"/>
              </a:rPr>
              <a:t> Daily Trend</a:t>
            </a:r>
          </a:p>
        </c:rich>
      </c:tx>
      <c:layout>
        <c:manualLayout>
          <c:xMode val="edge"/>
          <c:yMode val="edge"/>
          <c:x val="0.28250659803258665"/>
          <c:y val="3.0456852791878174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circle"/>
          <c:size val="5"/>
          <c:spPr>
            <a:solidFill>
              <a:schemeClr val="bg1"/>
            </a:solidFill>
            <a:ln w="9525">
              <a:solidFill>
                <a:schemeClr val="accent1"/>
              </a:solid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6">
                      <a:lumMod val="50000"/>
                    </a:schemeClr>
                  </a:solidFill>
                  <a:latin typeface="Georgia" panose="020405020504050203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75000"/>
              </a:schemeClr>
            </a:solidFill>
            <a:round/>
          </a:ln>
          <a:effectLst/>
        </c:spPr>
        <c:marker>
          <c:symbol val="circle"/>
          <c:size val="5"/>
          <c:spPr>
            <a:solidFill>
              <a:schemeClr val="bg1"/>
            </a:solidFill>
            <a:ln w="9525">
              <a:solidFill>
                <a:schemeClr val="accent1"/>
              </a:solidFill>
            </a:ln>
            <a:effectLst/>
          </c:spPr>
        </c:marker>
      </c:pivotFmt>
    </c:pivotFmts>
    <c:plotArea>
      <c:layout>
        <c:manualLayout>
          <c:layoutTarget val="inner"/>
          <c:xMode val="edge"/>
          <c:yMode val="edge"/>
          <c:x val="0.1247470935939102"/>
          <c:y val="0.3487997173430244"/>
          <c:w val="0.85790726159230091"/>
          <c:h val="0.45263026237243809"/>
        </c:manualLayout>
      </c:layout>
      <c:lineChart>
        <c:grouping val="stacked"/>
        <c:varyColors val="0"/>
        <c:ser>
          <c:idx val="0"/>
          <c:order val="0"/>
          <c:tx>
            <c:strRef>
              <c:f>'pivot tables'!$E$10</c:f>
              <c:strCache>
                <c:ptCount val="1"/>
                <c:pt idx="0">
                  <c:v>Total</c:v>
                </c:pt>
              </c:strCache>
            </c:strRef>
          </c:tx>
          <c:spPr>
            <a:ln w="28575" cap="rnd">
              <a:solidFill>
                <a:schemeClr val="accent6">
                  <a:lumMod val="75000"/>
                </a:schemeClr>
              </a:solidFill>
              <a:round/>
            </a:ln>
            <a:effectLst/>
          </c:spPr>
          <c:marker>
            <c:symbol val="circle"/>
            <c:size val="5"/>
            <c:spPr>
              <a:solidFill>
                <a:schemeClr val="bg1"/>
              </a:solidFill>
              <a:ln w="9525">
                <a:solidFill>
                  <a:schemeClr val="accent1"/>
                </a:solidFill>
              </a:ln>
              <a:effectLst/>
            </c:spPr>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6">
                        <a:lumMod val="50000"/>
                      </a:schemeClr>
                    </a:solidFill>
                    <a:latin typeface="Georgia" panose="02040502050405020303"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tables'!$D$11:$D$18</c:f>
              <c:strCache>
                <c:ptCount val="7"/>
                <c:pt idx="0">
                  <c:v>Mon</c:v>
                </c:pt>
                <c:pt idx="1">
                  <c:v>Sat</c:v>
                </c:pt>
                <c:pt idx="2">
                  <c:v>Sun</c:v>
                </c:pt>
                <c:pt idx="3">
                  <c:v>Fri</c:v>
                </c:pt>
                <c:pt idx="4">
                  <c:v>Tue</c:v>
                </c:pt>
                <c:pt idx="5">
                  <c:v>Thu</c:v>
                </c:pt>
                <c:pt idx="6">
                  <c:v>Wed</c:v>
                </c:pt>
              </c:strCache>
            </c:strRef>
          </c:cat>
          <c:val>
            <c:numRef>
              <c:f>'pivot tables'!$E$11:$E$18</c:f>
              <c:numCache>
                <c:formatCode>General</c:formatCode>
                <c:ptCount val="7"/>
                <c:pt idx="0">
                  <c:v>188</c:v>
                </c:pt>
                <c:pt idx="1">
                  <c:v>170</c:v>
                </c:pt>
                <c:pt idx="2">
                  <c:v>157</c:v>
                </c:pt>
                <c:pt idx="3">
                  <c:v>152</c:v>
                </c:pt>
                <c:pt idx="4">
                  <c:v>150</c:v>
                </c:pt>
                <c:pt idx="5">
                  <c:v>138</c:v>
                </c:pt>
                <c:pt idx="6">
                  <c:v>124</c:v>
                </c:pt>
              </c:numCache>
            </c:numRef>
          </c:val>
          <c:smooth val="0"/>
          <c:extLst>
            <c:ext xmlns:c16="http://schemas.microsoft.com/office/drawing/2014/chart" uri="{C3380CC4-5D6E-409C-BE32-E72D297353CC}">
              <c16:uniqueId val="{00000000-D38F-4BD9-A9D0-63CFBA95F4F2}"/>
            </c:ext>
          </c:extLst>
        </c:ser>
        <c:dLbls>
          <c:dLblPos val="t"/>
          <c:showLegendKey val="0"/>
          <c:showVal val="1"/>
          <c:showCatName val="0"/>
          <c:showSerName val="0"/>
          <c:showPercent val="0"/>
          <c:showBubbleSize val="0"/>
        </c:dLbls>
        <c:marker val="1"/>
        <c:smooth val="0"/>
        <c:axId val="1529738544"/>
        <c:axId val="1529756784"/>
      </c:lineChart>
      <c:catAx>
        <c:axId val="152973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accent6">
                    <a:lumMod val="50000"/>
                  </a:schemeClr>
                </a:solidFill>
                <a:latin typeface="Georgia" panose="02040502050405020303" pitchFamily="18" charset="0"/>
                <a:ea typeface="+mn-ea"/>
                <a:cs typeface="+mn-cs"/>
              </a:defRPr>
            </a:pPr>
            <a:endParaRPr lang="en-US"/>
          </a:p>
        </c:txPr>
        <c:crossAx val="1529756784"/>
        <c:crosses val="autoZero"/>
        <c:auto val="1"/>
        <c:lblAlgn val="ctr"/>
        <c:lblOffset val="100"/>
        <c:noMultiLvlLbl val="0"/>
      </c:catAx>
      <c:valAx>
        <c:axId val="1529756784"/>
        <c:scaling>
          <c:orientation val="minMax"/>
        </c:scaling>
        <c:delete val="1"/>
        <c:axPos val="l"/>
        <c:numFmt formatCode="General" sourceLinked="1"/>
        <c:majorTickMark val="none"/>
        <c:minorTickMark val="none"/>
        <c:tickLblPos val="nextTo"/>
        <c:crossAx val="152973854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[BrightCart.xlsx]pivot tables!PivotTable15</c:name>
    <c:fmtId val="3"/>
  </c:pivotSource>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Georgia" panose="02040502050405020303" pitchFamily="18" charset="0"/>
                <a:ea typeface="+mn-ea"/>
                <a:cs typeface="+mn-cs"/>
              </a:defRPr>
            </a:pPr>
            <a:r>
              <a:rPr lang="en-US" sz="800" b="1">
                <a:solidFill>
                  <a:schemeClr val="accent6">
                    <a:lumMod val="50000"/>
                  </a:schemeClr>
                </a:solidFill>
                <a:latin typeface="Georgia" panose="02040502050405020303" pitchFamily="18" charset="0"/>
              </a:rPr>
              <a:t>Sessions by User Type</a:t>
            </a:r>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7222222222222224E-2"/>
              <c:y val="-0.134259259259259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1666666666666688E-2"/>
              <c:y val="-0.180555555555555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9.7222222222222224E-2"/>
              <c:y val="-0.134259259259259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1666666666666688E-2"/>
              <c:y val="-0.180555555555555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6">
                      <a:lumMod val="50000"/>
                    </a:schemeClr>
                  </a:solidFill>
                  <a:latin typeface="Georgia" panose="02040502050405020303"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41362312587638872"/>
              <c:y val="-0.2401789993642099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accent6">
                      <a:lumMod val="50000"/>
                    </a:schemeClr>
                  </a:solidFill>
                  <a:latin typeface="Georgia" panose="02040502050405020303"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3597524479181801"/>
                  <c:h val="0.54193328848969258"/>
                </c:manualLayout>
              </c15:layout>
            </c:ext>
          </c:extLst>
        </c:dLbl>
      </c:pivotFmt>
      <c:pivotFmt>
        <c:idx val="8"/>
        <c:spPr>
          <a:solidFill>
            <a:srgbClr val="C89FFF"/>
          </a:solidFill>
          <a:ln w="19050">
            <a:solidFill>
              <a:schemeClr val="lt1"/>
            </a:solidFill>
          </a:ln>
          <a:effectLst/>
        </c:spPr>
        <c:dLbl>
          <c:idx val="0"/>
          <c:layout>
            <c:manualLayout>
              <c:x val="-0.4037096861180024"/>
              <c:y val="-0.15409888981268646"/>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accent6">
                      <a:lumMod val="50000"/>
                    </a:schemeClr>
                  </a:solidFill>
                  <a:latin typeface="Georgia" panose="02040502050405020303"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0677727784027"/>
                  <c:h val="0.38868420170882895"/>
                </c:manualLayout>
              </c15:layout>
            </c:ext>
          </c:extLst>
        </c:dLbl>
      </c:pivotFmt>
    </c:pivotFmts>
    <c:plotArea>
      <c:layout>
        <c:manualLayout>
          <c:layoutTarget val="inner"/>
          <c:xMode val="edge"/>
          <c:yMode val="edge"/>
          <c:x val="0.29350609427246249"/>
          <c:y val="0.2574350619965608"/>
          <c:w val="0.41983766583971532"/>
          <c:h val="0.70455516336320034"/>
        </c:manualLayout>
      </c:layout>
      <c:doughnutChart>
        <c:varyColors val="1"/>
        <c:ser>
          <c:idx val="0"/>
          <c:order val="0"/>
          <c:tx>
            <c:strRef>
              <c:f>'pivot tables'!$H$10</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296F-4394-8A6F-D76C820F168C}"/>
              </c:ext>
            </c:extLst>
          </c:dPt>
          <c:dPt>
            <c:idx val="1"/>
            <c:bubble3D val="0"/>
            <c:spPr>
              <a:solidFill>
                <a:srgbClr val="C89FFF"/>
              </a:solidFill>
              <a:ln w="19050">
                <a:solidFill>
                  <a:schemeClr val="lt1"/>
                </a:solidFill>
              </a:ln>
              <a:effectLst/>
            </c:spPr>
            <c:extLst>
              <c:ext xmlns:c16="http://schemas.microsoft.com/office/drawing/2014/chart" uri="{C3380CC4-5D6E-409C-BE32-E72D297353CC}">
                <c16:uniqueId val="{00000003-296F-4394-8A6F-D76C820F168C}"/>
              </c:ext>
            </c:extLst>
          </c:dPt>
          <c:dLbls>
            <c:dLbl>
              <c:idx val="0"/>
              <c:layout>
                <c:manualLayout>
                  <c:x val="0.41362312587638872"/>
                  <c:y val="-0.2401789993642099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accent6">
                          <a:lumMod val="50000"/>
                        </a:schemeClr>
                      </a:solidFill>
                      <a:latin typeface="Georgia" panose="02040502050405020303"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3597524479181801"/>
                      <c:h val="0.54193328848969258"/>
                    </c:manualLayout>
                  </c15:layout>
                </c:ext>
                <c:ext xmlns:c16="http://schemas.microsoft.com/office/drawing/2014/chart" uri="{C3380CC4-5D6E-409C-BE32-E72D297353CC}">
                  <c16:uniqueId val="{00000001-296F-4394-8A6F-D76C820F168C}"/>
                </c:ext>
              </c:extLst>
            </c:dLbl>
            <c:dLbl>
              <c:idx val="1"/>
              <c:layout>
                <c:manualLayout>
                  <c:x val="-0.4037096861180024"/>
                  <c:y val="-0.15409888981268646"/>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accent6">
                          <a:lumMod val="50000"/>
                        </a:schemeClr>
                      </a:solidFill>
                      <a:latin typeface="Georgia" panose="02040502050405020303"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0677727784027"/>
                      <c:h val="0.38868420170882895"/>
                    </c:manualLayout>
                  </c15:layout>
                </c:ext>
                <c:ext xmlns:c16="http://schemas.microsoft.com/office/drawing/2014/chart" uri="{C3380CC4-5D6E-409C-BE32-E72D297353CC}">
                  <c16:uniqueId val="{00000003-296F-4394-8A6F-D76C820F168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6">
                        <a:lumMod val="50000"/>
                      </a:schemeClr>
                    </a:solidFill>
                    <a:latin typeface="Georgia" panose="02040502050405020303" pitchFamily="18" charset="0"/>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'pivot tables'!$G$11:$G$13</c:f>
              <c:strCache>
                <c:ptCount val="2"/>
                <c:pt idx="0">
                  <c:v>Returning</c:v>
                </c:pt>
                <c:pt idx="1">
                  <c:v>New</c:v>
                </c:pt>
              </c:strCache>
            </c:strRef>
          </c:cat>
          <c:val>
            <c:numRef>
              <c:f>'pivot tables'!$H$11:$H$13</c:f>
              <c:numCache>
                <c:formatCode>0%</c:formatCode>
                <c:ptCount val="2"/>
                <c:pt idx="0">
                  <c:v>0.53660797034291008</c:v>
                </c:pt>
                <c:pt idx="1">
                  <c:v>0.46339202965708992</c:v>
                </c:pt>
              </c:numCache>
            </c:numRef>
          </c:val>
          <c:extLst>
            <c:ext xmlns:c16="http://schemas.microsoft.com/office/drawing/2014/chart" uri="{C3380CC4-5D6E-409C-BE32-E72D297353CC}">
              <c16:uniqueId val="{00000004-296F-4394-8A6F-D76C820F168C}"/>
            </c:ext>
          </c:extLst>
        </c:ser>
        <c:dLbls>
          <c:showLegendKey val="0"/>
          <c:showVal val="1"/>
          <c:showCatName val="0"/>
          <c:showSerName val="0"/>
          <c:showPercent val="0"/>
          <c:showBubbleSize val="0"/>
          <c:showLeaderLines val="0"/>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[BrightCart.xlsx]pivot tables!PivotTable16</c:name>
    <c:fmtId val="4"/>
  </c:pivotSource>
  <c:chart>
    <c:title>
      <c:tx>
        <c:rich>
          <a:bodyPr rot="0" spcFirstLastPara="1" vertOverflow="ellipsis" vert="horz" wrap="square" anchor="ctr" anchorCtr="1"/>
          <a:lstStyle/>
          <a:p>
            <a:pPr>
              <a:defRPr lang="en-US" sz="900" b="0" i="0" u="none" strike="noStrike" kern="1200" spc="0" baseline="0">
                <a:solidFill>
                  <a:schemeClr val="tx1"/>
                </a:solidFill>
                <a:latin typeface="Georgia" panose="02040502050405020303" pitchFamily="18" charset="0"/>
                <a:ea typeface="+mn-ea"/>
                <a:cs typeface="+mn-cs"/>
              </a:defRPr>
            </a:pPr>
            <a:r>
              <a:rPr lang="en-US" sz="800" b="1" i="0" u="none" strike="noStrike" kern="1200" baseline="0">
                <a:solidFill>
                  <a:schemeClr val="accent6">
                    <a:lumMod val="50000"/>
                  </a:schemeClr>
                </a:solidFill>
                <a:latin typeface="Georgia" panose="02040502050405020303" pitchFamily="18" charset="0"/>
                <a:ea typeface="+mn-ea"/>
                <a:cs typeface="+mn-cs"/>
              </a:rPr>
              <a:t>Device Type Distribution</a:t>
            </a:r>
          </a:p>
        </c:rich>
      </c:tx>
      <c:layout>
        <c:manualLayout>
          <c:xMode val="edge"/>
          <c:yMode val="edge"/>
          <c:x val="0.11404109589041095"/>
          <c:y val="0"/>
        </c:manualLayout>
      </c:layout>
      <c:overlay val="0"/>
      <c:spPr>
        <a:noFill/>
        <a:ln>
          <a:noFill/>
        </a:ln>
        <a:effectLst/>
      </c:spPr>
      <c:txPr>
        <a:bodyPr rot="0" spcFirstLastPara="1" vertOverflow="ellipsis" vert="horz" wrap="square" anchor="ctr" anchorCtr="1"/>
        <a:lstStyle/>
        <a:p>
          <a:pPr>
            <a:defRPr lang="en-US" sz="900" b="0" i="0" u="none" strike="noStrike" kern="1200" spc="0" baseline="0">
              <a:solidFill>
                <a:schemeClr val="tx1"/>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6">
                      <a:lumMod val="50000"/>
                    </a:schemeClr>
                  </a:solidFill>
                  <a:latin typeface="Georgia" panose="02040502050405020303"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7348479128465109"/>
              <c:y val="-0.13095208373343575"/>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6">
                      <a:lumMod val="50000"/>
                    </a:schemeClr>
                  </a:solidFill>
                  <a:latin typeface="Georgia" panose="02040502050405020303"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4247484318697452"/>
                  <c:h val="0.28202380952380951"/>
                </c:manualLayout>
              </c15:layout>
            </c:ext>
          </c:extLst>
        </c:dLbl>
      </c:pivotFmt>
      <c:pivotFmt>
        <c:idx val="4"/>
        <c:spPr>
          <a:solidFill>
            <a:schemeClr val="accent6">
              <a:lumMod val="60000"/>
              <a:lumOff val="40000"/>
            </a:schemeClr>
          </a:solidFill>
          <a:ln>
            <a:noFill/>
          </a:ln>
          <a:effectLst/>
        </c:spPr>
        <c:dLbl>
          <c:idx val="0"/>
          <c:layout>
            <c:manualLayout>
              <c:x val="-0.20066176924947302"/>
              <c:y val="0.16579582658874945"/>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6">
                      <a:lumMod val="50000"/>
                    </a:schemeClr>
                  </a:solidFill>
                  <a:latin typeface="Georgia" panose="02040502050405020303"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854762161579118"/>
                  <c:h val="0.40517860572306502"/>
                </c:manualLayout>
              </c15:layout>
            </c:ext>
          </c:extLst>
        </c:dLbl>
      </c:pivotFmt>
      <c:pivotFmt>
        <c:idx val="5"/>
        <c:spPr>
          <a:solidFill>
            <a:schemeClr val="accent6">
              <a:lumMod val="75000"/>
            </a:schemeClr>
          </a:solidFill>
          <a:ln>
            <a:noFill/>
          </a:ln>
          <a:effectLst/>
        </c:spPr>
        <c:dLbl>
          <c:idx val="0"/>
          <c:layout>
            <c:manualLayout>
              <c:x val="0.22089607743482947"/>
              <c:y val="0.1326942325806835"/>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6">
                      <a:lumMod val="50000"/>
                    </a:schemeClr>
                  </a:solidFill>
                  <a:latin typeface="Georgia" panose="02040502050405020303" pitchFamily="18"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0214647826555929"/>
                  <c:h val="0.40517860572306502"/>
                </c:manualLayout>
              </c15:layout>
            </c:ext>
          </c:extLst>
        </c:dLbl>
      </c:pivotFmt>
    </c:pivotFmts>
    <c:plotArea>
      <c:layout>
        <c:manualLayout>
          <c:layoutTarget val="inner"/>
          <c:xMode val="edge"/>
          <c:yMode val="edge"/>
          <c:x val="0.35686225865602417"/>
          <c:y val="0.3697456087219867"/>
          <c:w val="0.38901574803149613"/>
          <c:h val="0.62413515618240034"/>
        </c:manualLayout>
      </c:layout>
      <c:doughnutChart>
        <c:varyColors val="1"/>
        <c:ser>
          <c:idx val="0"/>
          <c:order val="0"/>
          <c:tx>
            <c:strRef>
              <c:f>'pivot tables'!$K$10</c:f>
              <c:strCache>
                <c:ptCount val="1"/>
                <c:pt idx="0">
                  <c:v>Total</c:v>
                </c:pt>
              </c:strCache>
            </c:strRef>
          </c:tx>
          <c:dPt>
            <c:idx val="0"/>
            <c:bubble3D val="0"/>
            <c:spPr>
              <a:solidFill>
                <a:schemeClr val="accent6">
                  <a:lumMod val="75000"/>
                </a:schemeClr>
              </a:solidFill>
              <a:ln>
                <a:noFill/>
              </a:ln>
              <a:effectLst/>
            </c:spPr>
            <c:extLst>
              <c:ext xmlns:c16="http://schemas.microsoft.com/office/drawing/2014/chart" uri="{C3380CC4-5D6E-409C-BE32-E72D297353CC}">
                <c16:uniqueId val="{00000002-81F6-4BDB-B3C4-C8A6E55C0FC1}"/>
              </c:ext>
            </c:extLst>
          </c:dPt>
          <c:dPt>
            <c:idx val="1"/>
            <c:bubble3D val="0"/>
            <c:spPr>
              <a:solidFill>
                <a:schemeClr val="accent6">
                  <a:lumMod val="60000"/>
                  <a:lumOff val="40000"/>
                </a:schemeClr>
              </a:solidFill>
              <a:ln>
                <a:noFill/>
              </a:ln>
              <a:effectLst/>
            </c:spPr>
            <c:extLst>
              <c:ext xmlns:c16="http://schemas.microsoft.com/office/drawing/2014/chart" uri="{C3380CC4-5D6E-409C-BE32-E72D297353CC}">
                <c16:uniqueId val="{00000001-81F6-4BDB-B3C4-C8A6E55C0FC1}"/>
              </c:ext>
            </c:extLst>
          </c:dPt>
          <c:dPt>
            <c:idx val="2"/>
            <c:bubble3D val="0"/>
            <c:spPr>
              <a:solidFill>
                <a:schemeClr val="accent3"/>
              </a:solidFill>
              <a:ln>
                <a:noFill/>
              </a:ln>
              <a:effectLst/>
            </c:spPr>
            <c:extLst>
              <c:ext xmlns:c16="http://schemas.microsoft.com/office/drawing/2014/chart" uri="{C3380CC4-5D6E-409C-BE32-E72D297353CC}">
                <c16:uniqueId val="{00000000-81F6-4BDB-B3C4-C8A6E55C0FC1}"/>
              </c:ext>
            </c:extLst>
          </c:dPt>
          <c:dLbls>
            <c:dLbl>
              <c:idx val="0"/>
              <c:layout>
                <c:manualLayout>
                  <c:x val="0.22089607743482947"/>
                  <c:y val="0.1326942325806835"/>
                </c:manualLayout>
              </c:layout>
              <c:showLegendKey val="0"/>
              <c:showVal val="1"/>
              <c:showCatName val="1"/>
              <c:showSerName val="0"/>
              <c:showPercent val="0"/>
              <c:showBubbleSize val="0"/>
              <c:extLst>
                <c:ext xmlns:c15="http://schemas.microsoft.com/office/drawing/2012/chart" uri="{CE6537A1-D6FC-4f65-9D91-7224C49458BB}">
                  <c15:layout>
                    <c:manualLayout>
                      <c:w val="0.30214647826555929"/>
                      <c:h val="0.40517860572306502"/>
                    </c:manualLayout>
                  </c15:layout>
                </c:ext>
                <c:ext xmlns:c16="http://schemas.microsoft.com/office/drawing/2014/chart" uri="{C3380CC4-5D6E-409C-BE32-E72D297353CC}">
                  <c16:uniqueId val="{00000002-81F6-4BDB-B3C4-C8A6E55C0FC1}"/>
                </c:ext>
              </c:extLst>
            </c:dLbl>
            <c:dLbl>
              <c:idx val="1"/>
              <c:layout>
                <c:manualLayout>
                  <c:x val="-0.20066176924947302"/>
                  <c:y val="0.16579582658874945"/>
                </c:manualLayout>
              </c:layout>
              <c:showLegendKey val="0"/>
              <c:showVal val="1"/>
              <c:showCatName val="1"/>
              <c:showSerName val="0"/>
              <c:showPercent val="0"/>
              <c:showBubbleSize val="0"/>
              <c:extLst>
                <c:ext xmlns:c15="http://schemas.microsoft.com/office/drawing/2012/chart" uri="{CE6537A1-D6FC-4f65-9D91-7224C49458BB}">
                  <c15:layout>
                    <c:manualLayout>
                      <c:w val="0.29854762161579118"/>
                      <c:h val="0.40517860572306502"/>
                    </c:manualLayout>
                  </c15:layout>
                </c:ext>
                <c:ext xmlns:c16="http://schemas.microsoft.com/office/drawing/2014/chart" uri="{C3380CC4-5D6E-409C-BE32-E72D297353CC}">
                  <c16:uniqueId val="{00000001-81F6-4BDB-B3C4-C8A6E55C0FC1}"/>
                </c:ext>
              </c:extLst>
            </c:dLbl>
            <c:dLbl>
              <c:idx val="2"/>
              <c:layout>
                <c:manualLayout>
                  <c:x val="0.27348479128465109"/>
                  <c:y val="-0.13095208373343575"/>
                </c:manualLayout>
              </c:layout>
              <c:showLegendKey val="0"/>
              <c:showVal val="1"/>
              <c:showCatName val="1"/>
              <c:showSerName val="0"/>
              <c:showPercent val="0"/>
              <c:showBubbleSize val="0"/>
              <c:extLst>
                <c:ext xmlns:c15="http://schemas.microsoft.com/office/drawing/2012/chart" uri="{CE6537A1-D6FC-4f65-9D91-7224C49458BB}">
                  <c15:layout>
                    <c:manualLayout>
                      <c:w val="0.34247484318697452"/>
                      <c:h val="0.28202380952380951"/>
                    </c:manualLayout>
                  </c15:layout>
                </c:ext>
                <c:ext xmlns:c16="http://schemas.microsoft.com/office/drawing/2014/chart" uri="{C3380CC4-5D6E-409C-BE32-E72D297353CC}">
                  <c16:uniqueId val="{00000000-81F6-4BDB-B3C4-C8A6E55C0FC1}"/>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6">
                        <a:lumMod val="50000"/>
                      </a:schemeClr>
                    </a:solidFill>
                    <a:latin typeface="Georgia" panose="02040502050405020303" pitchFamily="18" charset="0"/>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tables'!$J$11:$J$14</c:f>
              <c:strCache>
                <c:ptCount val="3"/>
                <c:pt idx="0">
                  <c:v>Mobile</c:v>
                </c:pt>
                <c:pt idx="1">
                  <c:v>Desktop</c:v>
                </c:pt>
                <c:pt idx="2">
                  <c:v>Tablet</c:v>
                </c:pt>
              </c:strCache>
            </c:strRef>
          </c:cat>
          <c:val>
            <c:numRef>
              <c:f>'pivot tables'!$K$11:$K$14</c:f>
              <c:numCache>
                <c:formatCode>General</c:formatCode>
                <c:ptCount val="3"/>
                <c:pt idx="0">
                  <c:v>627</c:v>
                </c:pt>
                <c:pt idx="1">
                  <c:v>409</c:v>
                </c:pt>
                <c:pt idx="2">
                  <c:v>43</c:v>
                </c:pt>
              </c:numCache>
            </c:numRef>
          </c:val>
          <c:extLst>
            <c:ext xmlns:c16="http://schemas.microsoft.com/office/drawing/2014/chart" uri="{C3380CC4-5D6E-409C-BE32-E72D297353CC}">
              <c16:uniqueId val="{00000000-CC85-450F-BC00-5C3ACA114A7D}"/>
            </c:ext>
          </c:extLst>
        </c:ser>
        <c:dLbls>
          <c:showLegendKey val="0"/>
          <c:showVal val="1"/>
          <c:showCatName val="0"/>
          <c:showSerName val="0"/>
          <c:showPercent val="0"/>
          <c:showBubbleSize val="0"/>
          <c:showLeaderLines val="1"/>
        </c:dLbls>
        <c:firstSliceAng val="0"/>
        <c:holeSize val="7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[BrightCart.xlsx]pivot tables!PivotTable17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r>
              <a:rPr lang="en-US" sz="800" b="1">
                <a:solidFill>
                  <a:schemeClr val="accent6">
                    <a:lumMod val="50000"/>
                  </a:schemeClr>
                </a:solidFill>
                <a:latin typeface="Georgia" panose="02040502050405020303" pitchFamily="18" charset="0"/>
              </a:rPr>
              <a:t>Traffic</a:t>
            </a:r>
            <a:r>
              <a:rPr lang="en-US" sz="800" b="1" baseline="0">
                <a:solidFill>
                  <a:schemeClr val="accent6">
                    <a:lumMod val="50000"/>
                  </a:schemeClr>
                </a:solidFill>
                <a:latin typeface="Georgia" panose="02040502050405020303" pitchFamily="18" charset="0"/>
              </a:rPr>
              <a:t> by Country</a:t>
            </a:r>
            <a:endParaRPr lang="en-US" sz="800" b="1">
              <a:solidFill>
                <a:schemeClr val="accent6">
                  <a:lumMod val="50000"/>
                </a:schemeClr>
              </a:solidFill>
              <a:latin typeface="Georgia" panose="02040502050405020303" pitchFamily="18" charset="0"/>
            </a:endParaRPr>
          </a:p>
        </c:rich>
      </c:tx>
      <c:layout>
        <c:manualLayout>
          <c:xMode val="edge"/>
          <c:yMode val="edge"/>
          <c:x val="0.25330634143918129"/>
          <c:y val="0.1497292106779335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6">
                      <a:lumMod val="50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tables'!$N$10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6">
                        <a:lumMod val="50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tables'!$M$11:$M$14</c:f>
              <c:strCache>
                <c:ptCount val="3"/>
                <c:pt idx="0">
                  <c:v>Canada</c:v>
                </c:pt>
                <c:pt idx="1">
                  <c:v>USA</c:v>
                </c:pt>
                <c:pt idx="2">
                  <c:v>UK</c:v>
                </c:pt>
              </c:strCache>
            </c:strRef>
          </c:cat>
          <c:val>
            <c:numRef>
              <c:f>'pivot tables'!$N$11:$N$14</c:f>
              <c:numCache>
                <c:formatCode>General</c:formatCode>
                <c:ptCount val="3"/>
                <c:pt idx="0">
                  <c:v>406</c:v>
                </c:pt>
                <c:pt idx="1">
                  <c:v>341</c:v>
                </c:pt>
                <c:pt idx="2">
                  <c:v>332</c:v>
                </c:pt>
              </c:numCache>
            </c:numRef>
          </c:val>
          <c:extLst>
            <c:ext xmlns:c16="http://schemas.microsoft.com/office/drawing/2014/chart" uri="{C3380CC4-5D6E-409C-BE32-E72D297353CC}">
              <c16:uniqueId val="{00000000-03DA-4E5E-802D-358EA5644A9D}"/>
            </c:ext>
          </c:extLst>
        </c:ser>
        <c:dLbls>
          <c:dLblPos val="outEnd"/>
          <c:showLegendKey val="0"/>
          <c:showVal val="1"/>
          <c:showCatName val="0"/>
          <c:showSerName val="0"/>
          <c:showPercent val="0"/>
          <c:showBubbleSize val="0"/>
        </c:dLbls>
        <c:gapWidth val="110"/>
        <c:axId val="1537295168"/>
        <c:axId val="1537313888"/>
      </c:barChart>
      <c:catAx>
        <c:axId val="1537295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1537313888"/>
        <c:crosses val="autoZero"/>
        <c:auto val="1"/>
        <c:lblAlgn val="ctr"/>
        <c:lblOffset val="100"/>
        <c:noMultiLvlLbl val="0"/>
      </c:catAx>
      <c:valAx>
        <c:axId val="1537313888"/>
        <c:scaling>
          <c:orientation val="minMax"/>
        </c:scaling>
        <c:delete val="1"/>
        <c:axPos val="b"/>
        <c:numFmt formatCode="General" sourceLinked="1"/>
        <c:majorTickMark val="none"/>
        <c:minorTickMark val="none"/>
        <c:tickLblPos val="nextTo"/>
        <c:crossAx val="153729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[BrightCart.xlsx]pivot tables!PivotTable9</c:name>
    <c:fmtId val="13"/>
  </c:pivotSource>
  <c:chart>
    <c:title>
      <c:tx>
        <c:rich>
          <a:bodyPr rot="0" spcFirstLastPara="1" vertOverflow="ellipsis" vert="horz" wrap="square" anchor="ctr" anchorCtr="1"/>
          <a:lstStyle/>
          <a:p>
            <a:pPr>
              <a:defRPr sz="1050" b="1" i="0" u="none" strike="noStrike" kern="1200" spc="0" baseline="0">
                <a:solidFill>
                  <a:schemeClr val="accent6">
                    <a:lumMod val="50000"/>
                  </a:schemeClr>
                </a:solidFill>
                <a:latin typeface="+mn-lt"/>
                <a:ea typeface="+mn-ea"/>
                <a:cs typeface="+mn-cs"/>
              </a:defRPr>
            </a:pPr>
            <a:r>
              <a:rPr lang="en-US" sz="1050" b="1" baseline="12000">
                <a:solidFill>
                  <a:schemeClr val="accent6">
                    <a:lumMod val="50000"/>
                  </a:schemeClr>
                </a:solidFill>
              </a:rPr>
              <a:t>Sessions by Time of Day</a:t>
            </a:r>
          </a:p>
        </c:rich>
      </c:tx>
      <c:layout>
        <c:manualLayout>
          <c:xMode val="edge"/>
          <c:yMode val="edge"/>
          <c:x val="0.21290865281184115"/>
          <c:y val="8.6614251171429624E-3"/>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89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6">
                      <a:lumMod val="50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6">
                      <a:lumMod val="50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E-2"/>
          <c:y val="0.18114583333333334"/>
          <c:w val="0.89867776773804908"/>
          <c:h val="0.60779527559055113"/>
        </c:manualLayout>
      </c:layout>
      <c:barChart>
        <c:barDir val="col"/>
        <c:grouping val="clustered"/>
        <c:varyColors val="0"/>
        <c:ser>
          <c:idx val="0"/>
          <c:order val="0"/>
          <c:tx>
            <c:strRef>
              <c:f>'pivot tables'!$Q$10:$Q$11</c:f>
              <c:strCache>
                <c:ptCount val="1"/>
                <c:pt idx="0">
                  <c:v>New</c:v>
                </c:pt>
              </c:strCache>
            </c:strRef>
          </c:tx>
          <c:spPr>
            <a:solidFill>
              <a:srgbClr val="C89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6">
                        <a:lumMod val="50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tables'!$P$12:$P$16</c:f>
              <c:strCache>
                <c:ptCount val="4"/>
                <c:pt idx="0">
                  <c:v>Night</c:v>
                </c:pt>
                <c:pt idx="1">
                  <c:v>Morning</c:v>
                </c:pt>
                <c:pt idx="2">
                  <c:v>Afternoon</c:v>
                </c:pt>
                <c:pt idx="3">
                  <c:v>Evening</c:v>
                </c:pt>
              </c:strCache>
            </c:strRef>
          </c:cat>
          <c:val>
            <c:numRef>
              <c:f>'pivot tables'!$Q$12:$Q$16</c:f>
              <c:numCache>
                <c:formatCode>General</c:formatCode>
                <c:ptCount val="4"/>
                <c:pt idx="0">
                  <c:v>196</c:v>
                </c:pt>
                <c:pt idx="1">
                  <c:v>118</c:v>
                </c:pt>
                <c:pt idx="2">
                  <c:v>102</c:v>
                </c:pt>
                <c:pt idx="3">
                  <c:v>84</c:v>
                </c:pt>
              </c:numCache>
            </c:numRef>
          </c:val>
          <c:extLst>
            <c:ext xmlns:c16="http://schemas.microsoft.com/office/drawing/2014/chart" uri="{C3380CC4-5D6E-409C-BE32-E72D297353CC}">
              <c16:uniqueId val="{00000000-D109-4ACC-8E6C-D18CBDBDD0AF}"/>
            </c:ext>
          </c:extLst>
        </c:ser>
        <c:ser>
          <c:idx val="1"/>
          <c:order val="1"/>
          <c:tx>
            <c:strRef>
              <c:f>'pivot tables'!$R$10:$R$11</c:f>
              <c:strCache>
                <c:ptCount val="1"/>
                <c:pt idx="0">
                  <c:v>Returning</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6">
                        <a:lumMod val="50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tables'!$P$12:$P$16</c:f>
              <c:strCache>
                <c:ptCount val="4"/>
                <c:pt idx="0">
                  <c:v>Night</c:v>
                </c:pt>
                <c:pt idx="1">
                  <c:v>Morning</c:v>
                </c:pt>
                <c:pt idx="2">
                  <c:v>Afternoon</c:v>
                </c:pt>
                <c:pt idx="3">
                  <c:v>Evening</c:v>
                </c:pt>
              </c:strCache>
            </c:strRef>
          </c:cat>
          <c:val>
            <c:numRef>
              <c:f>'pivot tables'!$R$12:$R$16</c:f>
              <c:numCache>
                <c:formatCode>General</c:formatCode>
                <c:ptCount val="4"/>
                <c:pt idx="0">
                  <c:v>209</c:v>
                </c:pt>
                <c:pt idx="1">
                  <c:v>152</c:v>
                </c:pt>
                <c:pt idx="2">
                  <c:v>122</c:v>
                </c:pt>
                <c:pt idx="3">
                  <c:v>96</c:v>
                </c:pt>
              </c:numCache>
            </c:numRef>
          </c:val>
          <c:extLst>
            <c:ext xmlns:c16="http://schemas.microsoft.com/office/drawing/2014/chart" uri="{C3380CC4-5D6E-409C-BE32-E72D297353CC}">
              <c16:uniqueId val="{00000001-D109-4ACC-8E6C-D18CBDBDD0AF}"/>
            </c:ext>
          </c:extLst>
        </c:ser>
        <c:dLbls>
          <c:dLblPos val="outEnd"/>
          <c:showLegendKey val="0"/>
          <c:showVal val="1"/>
          <c:showCatName val="0"/>
          <c:showSerName val="0"/>
          <c:showPercent val="0"/>
          <c:showBubbleSize val="0"/>
        </c:dLbls>
        <c:gapWidth val="92"/>
        <c:overlap val="-27"/>
        <c:axId val="1230177232"/>
        <c:axId val="1230177712"/>
      </c:barChart>
      <c:catAx>
        <c:axId val="123017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accent6">
                    <a:lumMod val="50000"/>
                  </a:schemeClr>
                </a:solidFill>
                <a:latin typeface="+mn-lt"/>
                <a:ea typeface="+mn-ea"/>
                <a:cs typeface="+mn-cs"/>
              </a:defRPr>
            </a:pPr>
            <a:endParaRPr lang="en-US"/>
          </a:p>
        </c:txPr>
        <c:crossAx val="1230177712"/>
        <c:crosses val="autoZero"/>
        <c:auto val="1"/>
        <c:lblAlgn val="ctr"/>
        <c:lblOffset val="100"/>
        <c:noMultiLvlLbl val="0"/>
      </c:catAx>
      <c:valAx>
        <c:axId val="1230177712"/>
        <c:scaling>
          <c:orientation val="minMax"/>
        </c:scaling>
        <c:delete val="1"/>
        <c:axPos val="l"/>
        <c:numFmt formatCode="General" sourceLinked="1"/>
        <c:majorTickMark val="none"/>
        <c:minorTickMark val="none"/>
        <c:tickLblPos val="nextTo"/>
        <c:crossAx val="1230177232"/>
        <c:crosses val="autoZero"/>
        <c:crossBetween val="between"/>
      </c:valAx>
      <c:spPr>
        <a:noFill/>
        <a:ln>
          <a:noFill/>
        </a:ln>
        <a:effectLst/>
      </c:spPr>
    </c:plotArea>
    <c:legend>
      <c:legendPos val="r"/>
      <c:layout>
        <c:manualLayout>
          <c:xMode val="edge"/>
          <c:yMode val="edge"/>
          <c:x val="0.70259627382642742"/>
          <c:y val="0.12160910830965878"/>
          <c:w val="0.24184798775153105"/>
          <c:h val="0.16619932925051037"/>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[BrightCart.xlsx]pivot tables!PivotTable4</c:name>
    <c:fmtId val="4"/>
  </c:pivotSource>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US" sz="800" b="1">
                <a:solidFill>
                  <a:schemeClr val="accent6">
                    <a:lumMod val="50000"/>
                  </a:schemeClr>
                </a:solidFill>
                <a:latin typeface="Georgia" panose="02040502050405020303" pitchFamily="18" charset="0"/>
              </a:rPr>
              <a:t>Conversion</a:t>
            </a:r>
            <a:r>
              <a:rPr lang="en-US" sz="800" b="1" baseline="0">
                <a:solidFill>
                  <a:schemeClr val="accent6">
                    <a:lumMod val="50000"/>
                  </a:schemeClr>
                </a:solidFill>
                <a:latin typeface="Georgia" panose="02040502050405020303" pitchFamily="18" charset="0"/>
              </a:rPr>
              <a:t> Rate by Traffic Source</a:t>
            </a:r>
            <a:endParaRPr lang="en-US" sz="800" b="1">
              <a:solidFill>
                <a:schemeClr val="accent6">
                  <a:lumMod val="50000"/>
                </a:schemeClr>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6">
                      <a:lumMod val="50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218390804597707E-2"/>
          <c:y val="0.28607843137254901"/>
          <c:w val="0.87356321839080464"/>
          <c:h val="0.42401883588080902"/>
        </c:manualLayout>
      </c:layout>
      <c:barChart>
        <c:barDir val="col"/>
        <c:grouping val="clustered"/>
        <c:varyColors val="0"/>
        <c:ser>
          <c:idx val="0"/>
          <c:order val="0"/>
          <c:tx>
            <c:strRef>
              <c:f>'pivot tables'!$U$10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6">
                        <a:lumMod val="50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tables'!$T$11:$T$16</c:f>
              <c:strCache>
                <c:ptCount val="5"/>
                <c:pt idx="0">
                  <c:v>Organic Search</c:v>
                </c:pt>
                <c:pt idx="1">
                  <c:v>Direct</c:v>
                </c:pt>
                <c:pt idx="2">
                  <c:v>Referral</c:v>
                </c:pt>
                <c:pt idx="3">
                  <c:v>Paid Ads</c:v>
                </c:pt>
                <c:pt idx="4">
                  <c:v>Social Media</c:v>
                </c:pt>
              </c:strCache>
            </c:strRef>
          </c:cat>
          <c:val>
            <c:numRef>
              <c:f>'pivot tables'!$U$11:$U$16</c:f>
              <c:numCache>
                <c:formatCode>0.0%</c:formatCode>
                <c:ptCount val="5"/>
                <c:pt idx="0">
                  <c:v>0.43169398907103823</c:v>
                </c:pt>
                <c:pt idx="1">
                  <c:v>0.4289855072463768</c:v>
                </c:pt>
                <c:pt idx="2">
                  <c:v>0.41176470588235292</c:v>
                </c:pt>
                <c:pt idx="3">
                  <c:v>0.37272727272727274</c:v>
                </c:pt>
                <c:pt idx="4">
                  <c:v>0.36065573770491804</c:v>
                </c:pt>
              </c:numCache>
            </c:numRef>
          </c:val>
          <c:extLst>
            <c:ext xmlns:c16="http://schemas.microsoft.com/office/drawing/2014/chart" uri="{C3380CC4-5D6E-409C-BE32-E72D297353CC}">
              <c16:uniqueId val="{00000000-0285-4481-9243-E6ACD762C48B}"/>
            </c:ext>
          </c:extLst>
        </c:ser>
        <c:dLbls>
          <c:dLblPos val="outEnd"/>
          <c:showLegendKey val="0"/>
          <c:showVal val="1"/>
          <c:showCatName val="0"/>
          <c:showSerName val="0"/>
          <c:showPercent val="0"/>
          <c:showBubbleSize val="0"/>
        </c:dLbls>
        <c:gapWidth val="59"/>
        <c:overlap val="-27"/>
        <c:axId val="651635167"/>
        <c:axId val="1258472015"/>
      </c:barChart>
      <c:catAx>
        <c:axId val="65163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accent6">
                    <a:lumMod val="50000"/>
                  </a:schemeClr>
                </a:solidFill>
                <a:latin typeface="Georgia" panose="02040502050405020303" pitchFamily="18" charset="0"/>
                <a:ea typeface="+mn-ea"/>
                <a:cs typeface="+mn-cs"/>
              </a:defRPr>
            </a:pPr>
            <a:endParaRPr lang="en-US"/>
          </a:p>
        </c:txPr>
        <c:crossAx val="1258472015"/>
        <c:crosses val="autoZero"/>
        <c:auto val="1"/>
        <c:lblAlgn val="ctr"/>
        <c:lblOffset val="100"/>
        <c:noMultiLvlLbl val="0"/>
      </c:catAx>
      <c:valAx>
        <c:axId val="1258472015"/>
        <c:scaling>
          <c:orientation val="minMax"/>
        </c:scaling>
        <c:delete val="1"/>
        <c:axPos val="l"/>
        <c:numFmt formatCode="0.0%" sourceLinked="1"/>
        <c:majorTickMark val="none"/>
        <c:minorTickMark val="none"/>
        <c:tickLblPos val="nextTo"/>
        <c:crossAx val="65163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[BrightCart.xlsx]pivot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a:solidFill>
                  <a:schemeClr val="accent6">
                    <a:lumMod val="50000"/>
                  </a:schemeClr>
                </a:solidFill>
                <a:latin typeface="Georgia" panose="02040502050405020303" pitchFamily="18" charset="0"/>
              </a:rPr>
              <a:t>Conversion rate by Time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6">
                      <a:lumMod val="50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tables'!$X$10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6">
                        <a:lumMod val="50000"/>
                      </a:schemeClr>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tables'!$W$11:$W$15</c:f>
              <c:strCache>
                <c:ptCount val="4"/>
                <c:pt idx="0">
                  <c:v>Morning</c:v>
                </c:pt>
                <c:pt idx="1">
                  <c:v>Night</c:v>
                </c:pt>
                <c:pt idx="2">
                  <c:v>Afternoon</c:v>
                </c:pt>
                <c:pt idx="3">
                  <c:v>Evening</c:v>
                </c:pt>
              </c:strCache>
            </c:strRef>
          </c:cat>
          <c:val>
            <c:numRef>
              <c:f>'pivot tables'!$X$11:$X$15</c:f>
              <c:numCache>
                <c:formatCode>0.0%</c:formatCode>
                <c:ptCount val="4"/>
                <c:pt idx="0">
                  <c:v>0.42592592592592593</c:v>
                </c:pt>
                <c:pt idx="1">
                  <c:v>0.4148148148148148</c:v>
                </c:pt>
                <c:pt idx="2">
                  <c:v>0.4107142857142857</c:v>
                </c:pt>
                <c:pt idx="3">
                  <c:v>0.4</c:v>
                </c:pt>
              </c:numCache>
            </c:numRef>
          </c:val>
          <c:extLst>
            <c:ext xmlns:c16="http://schemas.microsoft.com/office/drawing/2014/chart" uri="{C3380CC4-5D6E-409C-BE32-E72D297353CC}">
              <c16:uniqueId val="{00000000-0D2A-4AAF-9BED-94A9985591AE}"/>
            </c:ext>
          </c:extLst>
        </c:ser>
        <c:dLbls>
          <c:dLblPos val="outEnd"/>
          <c:showLegendKey val="0"/>
          <c:showVal val="1"/>
          <c:showCatName val="0"/>
          <c:showSerName val="0"/>
          <c:showPercent val="0"/>
          <c:showBubbleSize val="0"/>
        </c:dLbls>
        <c:gapWidth val="59"/>
        <c:overlap val="-27"/>
        <c:axId val="119743279"/>
        <c:axId val="119745199"/>
      </c:barChart>
      <c:catAx>
        <c:axId val="11974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accent6">
                    <a:lumMod val="50000"/>
                  </a:schemeClr>
                </a:solidFill>
                <a:latin typeface="Georgia" panose="02040502050405020303" pitchFamily="18" charset="0"/>
                <a:ea typeface="+mn-ea"/>
                <a:cs typeface="+mn-cs"/>
              </a:defRPr>
            </a:pPr>
            <a:endParaRPr lang="en-US"/>
          </a:p>
        </c:txPr>
        <c:crossAx val="119745199"/>
        <c:crosses val="autoZero"/>
        <c:auto val="1"/>
        <c:lblAlgn val="ctr"/>
        <c:lblOffset val="100"/>
        <c:noMultiLvlLbl val="0"/>
      </c:catAx>
      <c:valAx>
        <c:axId val="119745199"/>
        <c:scaling>
          <c:orientation val="minMax"/>
        </c:scaling>
        <c:delete val="1"/>
        <c:axPos val="l"/>
        <c:numFmt formatCode="0.0%" sourceLinked="1"/>
        <c:majorTickMark val="none"/>
        <c:minorTickMark val="none"/>
        <c:tickLblPos val="nextTo"/>
        <c:crossAx val="11974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247650</xdr:colOff>
      <xdr:row>0</xdr:row>
      <xdr:rowOff>31750</xdr:rowOff>
    </xdr:from>
    <xdr:to>
      <xdr:col>16</xdr:col>
      <xdr:colOff>139700</xdr:colOff>
      <xdr:row>23</xdr:row>
      <xdr:rowOff>139700</xdr:rowOff>
    </xdr:to>
    <xdr:sp macro="" textlink="">
      <xdr:nvSpPr>
        <xdr:cNvPr id="59" name="Rectangle 58">
          <a:extLst>
            <a:ext uri="{FF2B5EF4-FFF2-40B4-BE49-F238E27FC236}">
              <a16:creationId xmlns:a16="http://schemas.microsoft.com/office/drawing/2014/main" id="{95311903-A48A-A49E-FD87-3F592B080FA4}"/>
            </a:ext>
          </a:extLst>
        </xdr:cNvPr>
        <xdr:cNvSpPr/>
      </xdr:nvSpPr>
      <xdr:spPr>
        <a:xfrm>
          <a:off x="857250" y="31750"/>
          <a:ext cx="9036050" cy="3759200"/>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387350</xdr:colOff>
      <xdr:row>0</xdr:row>
      <xdr:rowOff>139700</xdr:rowOff>
    </xdr:from>
    <xdr:to>
      <xdr:col>15</xdr:col>
      <xdr:colOff>596900</xdr:colOff>
      <xdr:row>23</xdr:row>
      <xdr:rowOff>82550</xdr:rowOff>
    </xdr:to>
    <xdr:sp macro="" textlink="">
      <xdr:nvSpPr>
        <xdr:cNvPr id="17" name="Rectangle: Diagonal Corners Rounded 16">
          <a:extLst>
            <a:ext uri="{FF2B5EF4-FFF2-40B4-BE49-F238E27FC236}">
              <a16:creationId xmlns:a16="http://schemas.microsoft.com/office/drawing/2014/main" id="{6D2570F7-C07D-AB28-0E7B-F764F98146F3}"/>
            </a:ext>
          </a:extLst>
        </xdr:cNvPr>
        <xdr:cNvSpPr/>
      </xdr:nvSpPr>
      <xdr:spPr>
        <a:xfrm>
          <a:off x="996950" y="139700"/>
          <a:ext cx="8743950" cy="3594100"/>
        </a:xfrm>
        <a:prstGeom prst="round2DiagRect">
          <a:avLst>
            <a:gd name="adj1" fmla="val 2739"/>
            <a:gd name="adj2" fmla="val 505"/>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800"/>
        </a:p>
      </xdr:txBody>
    </xdr:sp>
    <xdr:clientData/>
  </xdr:twoCellAnchor>
  <xdr:twoCellAnchor editAs="oneCell">
    <xdr:from>
      <xdr:col>7</xdr:col>
      <xdr:colOff>406400</xdr:colOff>
      <xdr:row>0</xdr:row>
      <xdr:rowOff>145228</xdr:rowOff>
    </xdr:from>
    <xdr:to>
      <xdr:col>15</xdr:col>
      <xdr:colOff>565150</xdr:colOff>
      <xdr:row>3</xdr:row>
      <xdr:rowOff>50800</xdr:rowOff>
    </xdr:to>
    <mc:AlternateContent xmlns:mc="http://schemas.openxmlformats.org/markup-compatibility/2006" xmlns:a14="http://schemas.microsoft.com/office/drawing/2010/main">
      <mc:Choice Requires="a14">
        <xdr:graphicFrame macro="">
          <xdr:nvGraphicFramePr>
            <xdr:cNvPr id="20" name="Traffic Source">
              <a:extLst>
                <a:ext uri="{FF2B5EF4-FFF2-40B4-BE49-F238E27FC236}">
                  <a16:creationId xmlns:a16="http://schemas.microsoft.com/office/drawing/2014/main" id="{C0DC01B8-9794-7630-0BC8-602469883CEE}"/>
                </a:ext>
              </a:extLst>
            </xdr:cNvPr>
            <xdr:cNvGraphicFramePr/>
          </xdr:nvGraphicFramePr>
          <xdr:xfrm>
            <a:off x="0" y="0"/>
            <a:ext cx="0" cy="0"/>
          </xdr:xfrm>
          <a:graphic>
            <a:graphicData uri="http://schemas.microsoft.com/office/drawing/2010/slicer">
              <sle:slicer xmlns:sle="http://schemas.microsoft.com/office/drawing/2010/slicer" name="Traffic Source"/>
            </a:graphicData>
          </a:graphic>
        </xdr:graphicFrame>
      </mc:Choice>
      <mc:Fallback xmlns="">
        <xdr:sp macro="" textlink="">
          <xdr:nvSpPr>
            <xdr:cNvPr id="0" name=""/>
            <xdr:cNvSpPr>
              <a:spLocks noTextEdit="1"/>
            </xdr:cNvSpPr>
          </xdr:nvSpPr>
          <xdr:spPr>
            <a:xfrm>
              <a:off x="4673600" y="145228"/>
              <a:ext cx="5035550" cy="3818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215900</xdr:colOff>
      <xdr:row>0</xdr:row>
      <xdr:rowOff>152898</xdr:rowOff>
    </xdr:from>
    <xdr:to>
      <xdr:col>7</xdr:col>
      <xdr:colOff>450850</xdr:colOff>
      <xdr:row>3</xdr:row>
      <xdr:rowOff>69849</xdr:rowOff>
    </xdr:to>
    <mc:AlternateContent xmlns:mc="http://schemas.openxmlformats.org/markup-compatibility/2006" xmlns:a14="http://schemas.microsoft.com/office/drawing/2010/main">
      <mc:Choice Requires="a14">
        <xdr:graphicFrame macro="">
          <xdr:nvGraphicFramePr>
            <xdr:cNvPr id="21" name="Device Type">
              <a:extLst>
                <a:ext uri="{FF2B5EF4-FFF2-40B4-BE49-F238E27FC236}">
                  <a16:creationId xmlns:a16="http://schemas.microsoft.com/office/drawing/2014/main" id="{9148B502-9093-1713-8E83-FECFCE84BB6E}"/>
                </a:ext>
              </a:extLst>
            </xdr:cNvPr>
            <xdr:cNvGraphicFramePr/>
          </xdr:nvGraphicFramePr>
          <xdr:xfrm>
            <a:off x="0" y="0"/>
            <a:ext cx="0" cy="0"/>
          </xdr:xfrm>
          <a:graphic>
            <a:graphicData uri="http://schemas.microsoft.com/office/drawing/2010/slicer">
              <sle:slicer xmlns:sle="http://schemas.microsoft.com/office/drawing/2010/slicer" name="Device Type"/>
            </a:graphicData>
          </a:graphic>
        </xdr:graphicFrame>
      </mc:Choice>
      <mc:Fallback xmlns="">
        <xdr:sp macro="" textlink="">
          <xdr:nvSpPr>
            <xdr:cNvPr id="0" name=""/>
            <xdr:cNvSpPr>
              <a:spLocks noTextEdit="1"/>
            </xdr:cNvSpPr>
          </xdr:nvSpPr>
          <xdr:spPr>
            <a:xfrm>
              <a:off x="2654300" y="152898"/>
              <a:ext cx="2063750" cy="393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514351</xdr:colOff>
      <xdr:row>5</xdr:row>
      <xdr:rowOff>86663</xdr:rowOff>
    </xdr:from>
    <xdr:to>
      <xdr:col>7</xdr:col>
      <xdr:colOff>546100</xdr:colOff>
      <xdr:row>22</xdr:row>
      <xdr:rowOff>158749</xdr:rowOff>
    </xdr:to>
    <xdr:sp macro="" textlink="">
      <xdr:nvSpPr>
        <xdr:cNvPr id="49" name="Rectangle: Rounded Corners 48">
          <a:extLst>
            <a:ext uri="{FF2B5EF4-FFF2-40B4-BE49-F238E27FC236}">
              <a16:creationId xmlns:a16="http://schemas.microsoft.com/office/drawing/2014/main" id="{1DDE4B80-966D-4B05-8407-A3D2D50666B6}"/>
            </a:ext>
          </a:extLst>
        </xdr:cNvPr>
        <xdr:cNvSpPr/>
      </xdr:nvSpPr>
      <xdr:spPr>
        <a:xfrm>
          <a:off x="2343151" y="880413"/>
          <a:ext cx="2470149" cy="2770836"/>
        </a:xfrm>
        <a:prstGeom prst="roundRect">
          <a:avLst>
            <a:gd name="adj" fmla="val 90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12700</xdr:colOff>
      <xdr:row>5</xdr:row>
      <xdr:rowOff>119509</xdr:rowOff>
    </xdr:from>
    <xdr:to>
      <xdr:col>7</xdr:col>
      <xdr:colOff>323850</xdr:colOff>
      <xdr:row>13</xdr:row>
      <xdr:rowOff>139699</xdr:rowOff>
    </xdr:to>
    <xdr:graphicFrame macro="">
      <xdr:nvGraphicFramePr>
        <xdr:cNvPr id="3" name="Chart 2">
          <a:extLst>
            <a:ext uri="{FF2B5EF4-FFF2-40B4-BE49-F238E27FC236}">
              <a16:creationId xmlns:a16="http://schemas.microsoft.com/office/drawing/2014/main" id="{125E8E2E-C3F0-49E5-B45A-25A4123DF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xdr:colOff>
      <xdr:row>14</xdr:row>
      <xdr:rowOff>49866</xdr:rowOff>
    </xdr:from>
    <xdr:to>
      <xdr:col>7</xdr:col>
      <xdr:colOff>330200</xdr:colOff>
      <xdr:row>22</xdr:row>
      <xdr:rowOff>76200</xdr:rowOff>
    </xdr:to>
    <xdr:graphicFrame macro="">
      <xdr:nvGraphicFramePr>
        <xdr:cNvPr id="6" name="Chart 5">
          <a:extLst>
            <a:ext uri="{FF2B5EF4-FFF2-40B4-BE49-F238E27FC236}">
              <a16:creationId xmlns:a16="http://schemas.microsoft.com/office/drawing/2014/main" id="{93DC0F51-F55D-4533-A516-004B03B1E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571499</xdr:colOff>
      <xdr:row>5</xdr:row>
      <xdr:rowOff>74582</xdr:rowOff>
    </xdr:from>
    <xdr:to>
      <xdr:col>3</xdr:col>
      <xdr:colOff>419100</xdr:colOff>
      <xdr:row>23</xdr:row>
      <xdr:rowOff>6350</xdr:rowOff>
    </xdr:to>
    <xdr:sp macro="" textlink="">
      <xdr:nvSpPr>
        <xdr:cNvPr id="52" name="Rectangle: Rounded Corners 51">
          <a:extLst>
            <a:ext uri="{FF2B5EF4-FFF2-40B4-BE49-F238E27FC236}">
              <a16:creationId xmlns:a16="http://schemas.microsoft.com/office/drawing/2014/main" id="{3B7BFC6F-7758-4066-A183-33CC3BBAE809}"/>
            </a:ext>
          </a:extLst>
        </xdr:cNvPr>
        <xdr:cNvSpPr/>
      </xdr:nvSpPr>
      <xdr:spPr>
        <a:xfrm>
          <a:off x="1181099" y="868332"/>
          <a:ext cx="1066801" cy="2789268"/>
        </a:xfrm>
        <a:prstGeom prst="roundRect">
          <a:avLst>
            <a:gd name="adj" fmla="val 90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562973</xdr:colOff>
      <xdr:row>9</xdr:row>
      <xdr:rowOff>153670</xdr:rowOff>
    </xdr:from>
    <xdr:to>
      <xdr:col>3</xdr:col>
      <xdr:colOff>215900</xdr:colOff>
      <xdr:row>12</xdr:row>
      <xdr:rowOff>95249</xdr:rowOff>
    </xdr:to>
    <xdr:sp macro="" textlink="ASD_MIN">
      <xdr:nvSpPr>
        <xdr:cNvPr id="10" name="Rectangle 9">
          <a:extLst>
            <a:ext uri="{FF2B5EF4-FFF2-40B4-BE49-F238E27FC236}">
              <a16:creationId xmlns:a16="http://schemas.microsoft.com/office/drawing/2014/main" id="{9D3C647B-427F-4FA8-A3EC-6B2D82DE8B4C}"/>
            </a:ext>
          </a:extLst>
        </xdr:cNvPr>
        <xdr:cNvSpPr/>
      </xdr:nvSpPr>
      <xdr:spPr>
        <a:xfrm>
          <a:off x="1172573" y="1582420"/>
          <a:ext cx="872127" cy="4178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8439619E-A15C-49CD-BE11-05358FA802B9}" type="TxLink">
            <a:rPr lang="en-US" sz="1200" b="1" i="0" u="none" strike="noStrike">
              <a:solidFill>
                <a:schemeClr val="accent6">
                  <a:lumMod val="50000"/>
                </a:schemeClr>
              </a:solidFill>
              <a:latin typeface="Georgia" panose="02040502050405020303" pitchFamily="18" charset="0"/>
              <a:ea typeface="+mn-ea"/>
              <a:cs typeface="Arial"/>
            </a:rPr>
            <a:pPr marL="0" indent="0" algn="ctr"/>
            <a:t>3.2</a:t>
          </a:fld>
          <a:endParaRPr lang="en-US" sz="1200" b="1" i="0" u="none" strike="noStrike">
            <a:solidFill>
              <a:schemeClr val="accent6">
                <a:lumMod val="50000"/>
              </a:schemeClr>
            </a:solidFill>
            <a:latin typeface="Georgia" panose="02040502050405020303" pitchFamily="18" charset="0"/>
            <a:ea typeface="+mn-ea"/>
            <a:cs typeface="Arial"/>
          </a:endParaRPr>
        </a:p>
      </xdr:txBody>
    </xdr:sp>
    <xdr:clientData/>
  </xdr:twoCellAnchor>
  <xdr:twoCellAnchor>
    <xdr:from>
      <xdr:col>1</xdr:col>
      <xdr:colOff>482600</xdr:colOff>
      <xdr:row>9</xdr:row>
      <xdr:rowOff>80888</xdr:rowOff>
    </xdr:from>
    <xdr:to>
      <xdr:col>3</xdr:col>
      <xdr:colOff>444500</xdr:colOff>
      <xdr:row>11</xdr:row>
      <xdr:rowOff>139699</xdr:rowOff>
    </xdr:to>
    <xdr:sp macro="" textlink="">
      <xdr:nvSpPr>
        <xdr:cNvPr id="11" name="TextBox 10">
          <a:extLst>
            <a:ext uri="{FF2B5EF4-FFF2-40B4-BE49-F238E27FC236}">
              <a16:creationId xmlns:a16="http://schemas.microsoft.com/office/drawing/2014/main" id="{5FABC28B-40D1-60DA-61A6-9EA948241E1C}"/>
            </a:ext>
          </a:extLst>
        </xdr:cNvPr>
        <xdr:cNvSpPr txBox="1"/>
      </xdr:nvSpPr>
      <xdr:spPr>
        <a:xfrm>
          <a:off x="1092200" y="1509638"/>
          <a:ext cx="1181100" cy="376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0">
              <a:solidFill>
                <a:schemeClr val="accent6">
                  <a:lumMod val="50000"/>
                </a:schemeClr>
              </a:solidFill>
              <a:latin typeface="Georgia" panose="02040502050405020303" pitchFamily="18" charset="0"/>
            </a:rPr>
            <a:t>Avg</a:t>
          </a:r>
          <a:r>
            <a:rPr lang="en-US" sz="800" b="0" baseline="0">
              <a:solidFill>
                <a:schemeClr val="accent6">
                  <a:lumMod val="50000"/>
                </a:schemeClr>
              </a:solidFill>
              <a:latin typeface="Georgia" panose="02040502050405020303" pitchFamily="18" charset="0"/>
            </a:rPr>
            <a:t> Session Duration(mins)</a:t>
          </a:r>
          <a:endParaRPr lang="en-US" sz="800" b="0">
            <a:solidFill>
              <a:schemeClr val="accent6">
                <a:lumMod val="50000"/>
              </a:schemeClr>
            </a:solidFill>
            <a:latin typeface="Georgia" panose="02040502050405020303" pitchFamily="18" charset="0"/>
          </a:endParaRPr>
        </a:p>
      </xdr:txBody>
    </xdr:sp>
    <xdr:clientData/>
  </xdr:twoCellAnchor>
  <xdr:twoCellAnchor>
    <xdr:from>
      <xdr:col>1</xdr:col>
      <xdr:colOff>538412</xdr:colOff>
      <xdr:row>5</xdr:row>
      <xdr:rowOff>122790</xdr:rowOff>
    </xdr:from>
    <xdr:to>
      <xdr:col>3</xdr:col>
      <xdr:colOff>266699</xdr:colOff>
      <xdr:row>8</xdr:row>
      <xdr:rowOff>45100</xdr:rowOff>
    </xdr:to>
    <xdr:sp macro="" textlink="">
      <xdr:nvSpPr>
        <xdr:cNvPr id="8" name="TextBox 7">
          <a:extLst>
            <a:ext uri="{FF2B5EF4-FFF2-40B4-BE49-F238E27FC236}">
              <a16:creationId xmlns:a16="http://schemas.microsoft.com/office/drawing/2014/main" id="{B762A7B8-41CA-21F3-BE7A-E6186E4ECD66}"/>
            </a:ext>
          </a:extLst>
        </xdr:cNvPr>
        <xdr:cNvSpPr txBox="1"/>
      </xdr:nvSpPr>
      <xdr:spPr>
        <a:xfrm>
          <a:off x="1148012" y="916540"/>
          <a:ext cx="947487" cy="398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0">
              <a:solidFill>
                <a:schemeClr val="accent6">
                  <a:lumMod val="50000"/>
                </a:schemeClr>
              </a:solidFill>
              <a:latin typeface="Georgia" panose="02040502050405020303" pitchFamily="18" charset="0"/>
            </a:rPr>
            <a:t>Total Sessions</a:t>
          </a:r>
        </a:p>
      </xdr:txBody>
    </xdr:sp>
    <xdr:clientData/>
  </xdr:twoCellAnchor>
  <xdr:twoCellAnchor>
    <xdr:from>
      <xdr:col>2</xdr:col>
      <xdr:colOff>82551</xdr:colOff>
      <xdr:row>6</xdr:row>
      <xdr:rowOff>67415</xdr:rowOff>
    </xdr:from>
    <xdr:to>
      <xdr:col>3</xdr:col>
      <xdr:colOff>57150</xdr:colOff>
      <xdr:row>8</xdr:row>
      <xdr:rowOff>107949</xdr:rowOff>
    </xdr:to>
    <xdr:sp macro="" textlink="TS">
      <xdr:nvSpPr>
        <xdr:cNvPr id="7" name="Rectangle 6">
          <a:extLst>
            <a:ext uri="{FF2B5EF4-FFF2-40B4-BE49-F238E27FC236}">
              <a16:creationId xmlns:a16="http://schemas.microsoft.com/office/drawing/2014/main" id="{3EC8F83D-1D83-A3B3-881B-37C365375B87}"/>
            </a:ext>
          </a:extLst>
        </xdr:cNvPr>
        <xdr:cNvSpPr/>
      </xdr:nvSpPr>
      <xdr:spPr>
        <a:xfrm>
          <a:off x="1301751" y="1019915"/>
          <a:ext cx="584199" cy="35803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4EB7322-2E72-49C4-B511-93E9E64C9BEE}" type="TxLink">
            <a:rPr lang="en-US" sz="1200" b="1" i="0" u="none" strike="noStrike">
              <a:solidFill>
                <a:schemeClr val="accent6">
                  <a:lumMod val="50000"/>
                </a:schemeClr>
              </a:solidFill>
              <a:latin typeface="Georgia" panose="02040502050405020303" pitchFamily="18" charset="0"/>
              <a:cs typeface="Arial"/>
            </a:rPr>
            <a:pPr algn="ctr"/>
            <a:t>1079</a:t>
          </a:fld>
          <a:endParaRPr lang="en-US" sz="1200" b="1">
            <a:solidFill>
              <a:schemeClr val="accent6">
                <a:lumMod val="50000"/>
              </a:schemeClr>
            </a:solidFill>
            <a:latin typeface="Georgia" panose="02040502050405020303" pitchFamily="18" charset="0"/>
          </a:endParaRPr>
        </a:p>
      </xdr:txBody>
    </xdr:sp>
    <xdr:clientData/>
  </xdr:twoCellAnchor>
  <xdr:twoCellAnchor>
    <xdr:from>
      <xdr:col>1</xdr:col>
      <xdr:colOff>584201</xdr:colOff>
      <xdr:row>12</xdr:row>
      <xdr:rowOff>150782</xdr:rowOff>
    </xdr:from>
    <xdr:to>
      <xdr:col>3</xdr:col>
      <xdr:colOff>320367</xdr:colOff>
      <xdr:row>15</xdr:row>
      <xdr:rowOff>101599</xdr:rowOff>
    </xdr:to>
    <xdr:sp macro="" textlink="CRate">
      <xdr:nvSpPr>
        <xdr:cNvPr id="15" name="TextBox 14">
          <a:extLst>
            <a:ext uri="{FF2B5EF4-FFF2-40B4-BE49-F238E27FC236}">
              <a16:creationId xmlns:a16="http://schemas.microsoft.com/office/drawing/2014/main" id="{BE6B47D3-FADE-C6F0-D8E8-8C8355375A20}"/>
            </a:ext>
          </a:extLst>
        </xdr:cNvPr>
        <xdr:cNvSpPr txBox="1"/>
      </xdr:nvSpPr>
      <xdr:spPr>
        <a:xfrm>
          <a:off x="1193801" y="2055782"/>
          <a:ext cx="955366" cy="4270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5075A0AC-CAE6-4E1D-97ED-90A07E954D2E}" type="TxLink">
            <a:rPr lang="en-US" sz="1200" b="1" i="0" u="none" strike="noStrike">
              <a:solidFill>
                <a:schemeClr val="accent6">
                  <a:lumMod val="50000"/>
                </a:schemeClr>
              </a:solidFill>
              <a:latin typeface="Georgia" panose="02040502050405020303" pitchFamily="18" charset="0"/>
              <a:ea typeface="+mn-ea"/>
              <a:cs typeface="Arial"/>
            </a:rPr>
            <a:pPr marL="0" indent="0" algn="ctr"/>
            <a:t>41.4%</a:t>
          </a:fld>
          <a:endParaRPr lang="en-US" sz="1200" b="1" i="0" u="none" strike="noStrike">
            <a:solidFill>
              <a:schemeClr val="accent6">
                <a:lumMod val="50000"/>
              </a:schemeClr>
            </a:solidFill>
            <a:latin typeface="Georgia" panose="02040502050405020303" pitchFamily="18" charset="0"/>
            <a:ea typeface="+mn-ea"/>
            <a:cs typeface="Arial"/>
          </a:endParaRPr>
        </a:p>
      </xdr:txBody>
    </xdr:sp>
    <xdr:clientData/>
  </xdr:twoCellAnchor>
  <xdr:twoCellAnchor>
    <xdr:from>
      <xdr:col>2</xdr:col>
      <xdr:colOff>30377</xdr:colOff>
      <xdr:row>13</xdr:row>
      <xdr:rowOff>44340</xdr:rowOff>
    </xdr:from>
    <xdr:to>
      <xdr:col>3</xdr:col>
      <xdr:colOff>157300</xdr:colOff>
      <xdr:row>16</xdr:row>
      <xdr:rowOff>69849</xdr:rowOff>
    </xdr:to>
    <xdr:sp macro="" textlink="CR">
      <xdr:nvSpPr>
        <xdr:cNvPr id="12" name="Rectangle 11">
          <a:extLst>
            <a:ext uri="{FF2B5EF4-FFF2-40B4-BE49-F238E27FC236}">
              <a16:creationId xmlns:a16="http://schemas.microsoft.com/office/drawing/2014/main" id="{C76D7F6E-2CCF-4ACB-B067-33C5C1DD7E33}"/>
            </a:ext>
          </a:extLst>
        </xdr:cNvPr>
        <xdr:cNvSpPr/>
      </xdr:nvSpPr>
      <xdr:spPr>
        <a:xfrm>
          <a:off x="1249577" y="2108090"/>
          <a:ext cx="736523" cy="5017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A9C14B9-C0FF-46F9-AABC-575DE2B02506}" type="TxLink">
            <a:rPr lang="en-US" sz="1200" b="1" i="0" u="none" strike="noStrike">
              <a:solidFill>
                <a:schemeClr val="accent6">
                  <a:lumMod val="50000"/>
                </a:schemeClr>
              </a:solidFill>
              <a:latin typeface="Georgia" panose="02040502050405020303" pitchFamily="18" charset="0"/>
              <a:cs typeface="Arial"/>
            </a:rPr>
            <a:pPr algn="ctr"/>
            <a:t> </a:t>
          </a:fld>
          <a:endParaRPr lang="en-US" sz="1200" b="1">
            <a:solidFill>
              <a:schemeClr val="accent6">
                <a:lumMod val="50000"/>
              </a:schemeClr>
            </a:solidFill>
            <a:latin typeface="Georgia" panose="02040502050405020303" pitchFamily="18" charset="0"/>
          </a:endParaRPr>
        </a:p>
      </xdr:txBody>
    </xdr:sp>
    <xdr:clientData/>
  </xdr:twoCellAnchor>
  <xdr:twoCellAnchor>
    <xdr:from>
      <xdr:col>1</xdr:col>
      <xdr:colOff>514351</xdr:colOff>
      <xdr:row>15</xdr:row>
      <xdr:rowOff>101600</xdr:rowOff>
    </xdr:from>
    <xdr:to>
      <xdr:col>3</xdr:col>
      <xdr:colOff>270549</xdr:colOff>
      <xdr:row>19</xdr:row>
      <xdr:rowOff>6498</xdr:rowOff>
    </xdr:to>
    <xdr:sp macro="" textlink="Return">
      <xdr:nvSpPr>
        <xdr:cNvPr id="16" name="TextBox 15">
          <a:extLst>
            <a:ext uri="{FF2B5EF4-FFF2-40B4-BE49-F238E27FC236}">
              <a16:creationId xmlns:a16="http://schemas.microsoft.com/office/drawing/2014/main" id="{50559F2B-4B27-FBC4-48C7-D22C92856F3B}"/>
            </a:ext>
          </a:extLst>
        </xdr:cNvPr>
        <xdr:cNvSpPr txBox="1"/>
      </xdr:nvSpPr>
      <xdr:spPr>
        <a:xfrm>
          <a:off x="1123951" y="2482850"/>
          <a:ext cx="975398" cy="53989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2A294505-C16B-4D7C-AAA6-2A874DAE836B}" type="TxLink">
            <a:rPr lang="en-US" sz="1200" b="1" i="0" u="none" strike="noStrike">
              <a:solidFill>
                <a:schemeClr val="accent6">
                  <a:lumMod val="50000"/>
                </a:schemeClr>
              </a:solidFill>
              <a:latin typeface="Georgia" panose="02040502050405020303" pitchFamily="18" charset="0"/>
              <a:ea typeface="+mn-ea"/>
              <a:cs typeface="Arial"/>
            </a:rPr>
            <a:pPr marL="0" indent="0" algn="ctr"/>
            <a:t>54%</a:t>
          </a:fld>
          <a:endParaRPr lang="en-US" sz="1200" b="1" i="0" u="none" strike="noStrike">
            <a:solidFill>
              <a:schemeClr val="accent6">
                <a:lumMod val="50000"/>
              </a:schemeClr>
            </a:solidFill>
            <a:latin typeface="Georgia" panose="02040502050405020303" pitchFamily="18" charset="0"/>
            <a:ea typeface="+mn-ea"/>
            <a:cs typeface="Arial"/>
          </a:endParaRPr>
        </a:p>
      </xdr:txBody>
    </xdr:sp>
    <xdr:clientData/>
  </xdr:twoCellAnchor>
  <xdr:twoCellAnchor>
    <xdr:from>
      <xdr:col>2</xdr:col>
      <xdr:colOff>75501</xdr:colOff>
      <xdr:row>15</xdr:row>
      <xdr:rowOff>13776</xdr:rowOff>
    </xdr:from>
    <xdr:to>
      <xdr:col>3</xdr:col>
      <xdr:colOff>202424</xdr:colOff>
      <xdr:row>19</xdr:row>
      <xdr:rowOff>70991</xdr:rowOff>
    </xdr:to>
    <xdr:sp macro="" textlink="Returning">
      <xdr:nvSpPr>
        <xdr:cNvPr id="13" name="Rectangle 12">
          <a:extLst>
            <a:ext uri="{FF2B5EF4-FFF2-40B4-BE49-F238E27FC236}">
              <a16:creationId xmlns:a16="http://schemas.microsoft.com/office/drawing/2014/main" id="{4EC0BDFA-5C46-4719-888D-24E1AEC57B45}"/>
            </a:ext>
          </a:extLst>
        </xdr:cNvPr>
        <xdr:cNvSpPr/>
      </xdr:nvSpPr>
      <xdr:spPr>
        <a:xfrm>
          <a:off x="1294701" y="2395026"/>
          <a:ext cx="736523" cy="6922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D6BD6D2-05E2-4A26-A735-B68A2FE37A19}" type="TxLink">
            <a:rPr lang="en-US" sz="1200" b="1" i="0" u="none" strike="noStrike">
              <a:solidFill>
                <a:schemeClr val="accent6">
                  <a:lumMod val="50000"/>
                </a:schemeClr>
              </a:solidFill>
              <a:latin typeface="Georgia" panose="02040502050405020303" pitchFamily="18" charset="0"/>
              <a:cs typeface="Arial"/>
            </a:rPr>
            <a:pPr algn="ctr"/>
            <a:t> </a:t>
          </a:fld>
          <a:endParaRPr lang="en-US" sz="1200" b="1">
            <a:solidFill>
              <a:schemeClr val="accent6">
                <a:lumMod val="50000"/>
              </a:schemeClr>
            </a:solidFill>
            <a:latin typeface="Georgia" panose="02040502050405020303" pitchFamily="18" charset="0"/>
          </a:endParaRPr>
        </a:p>
      </xdr:txBody>
    </xdr:sp>
    <xdr:clientData/>
  </xdr:twoCellAnchor>
  <xdr:twoCellAnchor>
    <xdr:from>
      <xdr:col>8</xdr:col>
      <xdr:colOff>25400</xdr:colOff>
      <xdr:row>3</xdr:row>
      <xdr:rowOff>10962</xdr:rowOff>
    </xdr:from>
    <xdr:to>
      <xdr:col>12</xdr:col>
      <xdr:colOff>101599</xdr:colOff>
      <xdr:row>22</xdr:row>
      <xdr:rowOff>158749</xdr:rowOff>
    </xdr:to>
    <xdr:sp macro="" textlink="">
      <xdr:nvSpPr>
        <xdr:cNvPr id="53" name="Rectangle: Rounded Corners 52">
          <a:extLst>
            <a:ext uri="{FF2B5EF4-FFF2-40B4-BE49-F238E27FC236}">
              <a16:creationId xmlns:a16="http://schemas.microsoft.com/office/drawing/2014/main" id="{42E3A947-2CDE-4A97-ACBA-53D417CAD25E}"/>
            </a:ext>
          </a:extLst>
        </xdr:cNvPr>
        <xdr:cNvSpPr/>
      </xdr:nvSpPr>
      <xdr:spPr>
        <a:xfrm>
          <a:off x="4902200" y="487212"/>
          <a:ext cx="2514599" cy="3164037"/>
        </a:xfrm>
        <a:prstGeom prst="roundRect">
          <a:avLst>
            <a:gd name="adj" fmla="val 90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603251</xdr:colOff>
      <xdr:row>19</xdr:row>
      <xdr:rowOff>87283</xdr:rowOff>
    </xdr:from>
    <xdr:to>
      <xdr:col>3</xdr:col>
      <xdr:colOff>141791</xdr:colOff>
      <xdr:row>21</xdr:row>
      <xdr:rowOff>124333</xdr:rowOff>
    </xdr:to>
    <xdr:sp macro="" textlink="">
      <xdr:nvSpPr>
        <xdr:cNvPr id="18" name="TextBox 17">
          <a:extLst>
            <a:ext uri="{FF2B5EF4-FFF2-40B4-BE49-F238E27FC236}">
              <a16:creationId xmlns:a16="http://schemas.microsoft.com/office/drawing/2014/main" id="{3E2B3DB6-2D8F-B713-E03C-4CEECC7B8953}"/>
            </a:ext>
          </a:extLst>
        </xdr:cNvPr>
        <xdr:cNvSpPr txBox="1"/>
      </xdr:nvSpPr>
      <xdr:spPr>
        <a:xfrm>
          <a:off x="1212851" y="3103533"/>
          <a:ext cx="757740" cy="354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0">
              <a:solidFill>
                <a:schemeClr val="accent6">
                  <a:lumMod val="50000"/>
                </a:schemeClr>
              </a:solidFill>
              <a:latin typeface="Georgia" panose="02040502050405020303" pitchFamily="18" charset="0"/>
            </a:rPr>
            <a:t>Total Users</a:t>
          </a:r>
        </a:p>
      </xdr:txBody>
    </xdr:sp>
    <xdr:clientData/>
  </xdr:twoCellAnchor>
  <xdr:twoCellAnchor>
    <xdr:from>
      <xdr:col>2</xdr:col>
      <xdr:colOff>42994</xdr:colOff>
      <xdr:row>18</xdr:row>
      <xdr:rowOff>115498</xdr:rowOff>
    </xdr:from>
    <xdr:to>
      <xdr:col>3</xdr:col>
      <xdr:colOff>133350</xdr:colOff>
      <xdr:row>22</xdr:row>
      <xdr:rowOff>12700</xdr:rowOff>
    </xdr:to>
    <xdr:sp macro="" textlink="users">
      <xdr:nvSpPr>
        <xdr:cNvPr id="14" name="Rectangle 13">
          <a:extLst>
            <a:ext uri="{FF2B5EF4-FFF2-40B4-BE49-F238E27FC236}">
              <a16:creationId xmlns:a16="http://schemas.microsoft.com/office/drawing/2014/main" id="{46055DAD-52D2-4FEF-BFD4-56D473849009}"/>
            </a:ext>
          </a:extLst>
        </xdr:cNvPr>
        <xdr:cNvSpPr/>
      </xdr:nvSpPr>
      <xdr:spPr>
        <a:xfrm>
          <a:off x="1262194" y="2972998"/>
          <a:ext cx="699956" cy="53220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299C36A-ACF0-47AD-A291-A1D6EA3FE1C7}" type="TxLink">
            <a:rPr lang="en-US" sz="1200" b="1" i="0" u="none" strike="noStrike">
              <a:solidFill>
                <a:schemeClr val="accent6">
                  <a:lumMod val="50000"/>
                </a:schemeClr>
              </a:solidFill>
              <a:latin typeface="Georgia" panose="02040502050405020303" pitchFamily="18" charset="0"/>
              <a:cs typeface="Arial"/>
            </a:rPr>
            <a:pPr algn="ctr"/>
            <a:t>500</a:t>
          </a:fld>
          <a:endParaRPr lang="en-US" sz="1200" b="1">
            <a:solidFill>
              <a:schemeClr val="accent6">
                <a:lumMod val="50000"/>
              </a:schemeClr>
            </a:solidFill>
            <a:latin typeface="Georgia" panose="02040502050405020303" pitchFamily="18" charset="0"/>
          </a:endParaRPr>
        </a:p>
      </xdr:txBody>
    </xdr:sp>
    <xdr:clientData/>
  </xdr:twoCellAnchor>
  <xdr:twoCellAnchor>
    <xdr:from>
      <xdr:col>8</xdr:col>
      <xdr:colOff>127000</xdr:colOff>
      <xdr:row>3</xdr:row>
      <xdr:rowOff>53035</xdr:rowOff>
    </xdr:from>
    <xdr:to>
      <xdr:col>11</xdr:col>
      <xdr:colOff>590550</xdr:colOff>
      <xdr:row>8</xdr:row>
      <xdr:rowOff>82549</xdr:rowOff>
    </xdr:to>
    <xdr:graphicFrame macro="">
      <xdr:nvGraphicFramePr>
        <xdr:cNvPr id="34" name="Chart 33">
          <a:extLst>
            <a:ext uri="{FF2B5EF4-FFF2-40B4-BE49-F238E27FC236}">
              <a16:creationId xmlns:a16="http://schemas.microsoft.com/office/drawing/2014/main" id="{75ADCE16-C0E4-40FE-A4FF-B9D65F51B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190501</xdr:colOff>
      <xdr:row>2</xdr:row>
      <xdr:rowOff>157012</xdr:rowOff>
    </xdr:from>
    <xdr:to>
      <xdr:col>15</xdr:col>
      <xdr:colOff>438151</xdr:colOff>
      <xdr:row>22</xdr:row>
      <xdr:rowOff>146049</xdr:rowOff>
    </xdr:to>
    <xdr:sp macro="" textlink="">
      <xdr:nvSpPr>
        <xdr:cNvPr id="54" name="Rectangle: Rounded Corners 53">
          <a:extLst>
            <a:ext uri="{FF2B5EF4-FFF2-40B4-BE49-F238E27FC236}">
              <a16:creationId xmlns:a16="http://schemas.microsoft.com/office/drawing/2014/main" id="{F5D84B94-38C5-4258-BC12-39DECC4B2A37}"/>
            </a:ext>
          </a:extLst>
        </xdr:cNvPr>
        <xdr:cNvSpPr/>
      </xdr:nvSpPr>
      <xdr:spPr>
        <a:xfrm>
          <a:off x="7505701" y="474512"/>
          <a:ext cx="2076450" cy="3164037"/>
        </a:xfrm>
        <a:prstGeom prst="roundRect">
          <a:avLst>
            <a:gd name="adj" fmla="val 90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228600</xdr:colOff>
      <xdr:row>3</xdr:row>
      <xdr:rowOff>45904</xdr:rowOff>
    </xdr:from>
    <xdr:to>
      <xdr:col>15</xdr:col>
      <xdr:colOff>254000</xdr:colOff>
      <xdr:row>9</xdr:row>
      <xdr:rowOff>82549</xdr:rowOff>
    </xdr:to>
    <xdr:graphicFrame macro="">
      <xdr:nvGraphicFramePr>
        <xdr:cNvPr id="37" name="Chart 36">
          <a:extLst>
            <a:ext uri="{FF2B5EF4-FFF2-40B4-BE49-F238E27FC236}">
              <a16:creationId xmlns:a16="http://schemas.microsoft.com/office/drawing/2014/main" id="{EBEF9197-335B-41DC-822C-0B8C514A5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241300</xdr:colOff>
      <xdr:row>9</xdr:row>
      <xdr:rowOff>69284</xdr:rowOff>
    </xdr:from>
    <xdr:to>
      <xdr:col>15</xdr:col>
      <xdr:colOff>266700</xdr:colOff>
      <xdr:row>16</xdr:row>
      <xdr:rowOff>76199</xdr:rowOff>
    </xdr:to>
    <xdr:graphicFrame macro="">
      <xdr:nvGraphicFramePr>
        <xdr:cNvPr id="38" name="Chart 37">
          <a:extLst>
            <a:ext uri="{FF2B5EF4-FFF2-40B4-BE49-F238E27FC236}">
              <a16:creationId xmlns:a16="http://schemas.microsoft.com/office/drawing/2014/main" id="{DD56100E-8E58-4772-BDD3-ABDED62D7F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241300</xdr:colOff>
      <xdr:row>16</xdr:row>
      <xdr:rowOff>119422</xdr:rowOff>
    </xdr:from>
    <xdr:to>
      <xdr:col>15</xdr:col>
      <xdr:colOff>292100</xdr:colOff>
      <xdr:row>22</xdr:row>
      <xdr:rowOff>76199</xdr:rowOff>
    </xdr:to>
    <xdr:graphicFrame macro="">
      <xdr:nvGraphicFramePr>
        <xdr:cNvPr id="46" name="Chart 45">
          <a:extLst>
            <a:ext uri="{FF2B5EF4-FFF2-40B4-BE49-F238E27FC236}">
              <a16:creationId xmlns:a16="http://schemas.microsoft.com/office/drawing/2014/main" id="{F47A57AD-2B57-4C55-AD16-53C0DE816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6350</xdr:colOff>
      <xdr:row>3</xdr:row>
      <xdr:rowOff>95250</xdr:rowOff>
    </xdr:from>
    <xdr:to>
      <xdr:col>7</xdr:col>
      <xdr:colOff>546100</xdr:colOff>
      <xdr:row>5</xdr:row>
      <xdr:rowOff>31749</xdr:rowOff>
    </xdr:to>
    <xdr:sp macro="" textlink="">
      <xdr:nvSpPr>
        <xdr:cNvPr id="56" name="Rectangle: Rounded Corners 55">
          <a:extLst>
            <a:ext uri="{FF2B5EF4-FFF2-40B4-BE49-F238E27FC236}">
              <a16:creationId xmlns:a16="http://schemas.microsoft.com/office/drawing/2014/main" id="{899FFD00-7D36-42AC-9283-A9278CB5A434}"/>
            </a:ext>
          </a:extLst>
        </xdr:cNvPr>
        <xdr:cNvSpPr/>
      </xdr:nvSpPr>
      <xdr:spPr>
        <a:xfrm>
          <a:off x="1225550" y="571500"/>
          <a:ext cx="3587750" cy="253999"/>
        </a:xfrm>
        <a:prstGeom prst="roundRect">
          <a:avLst>
            <a:gd name="adj" fmla="val 9033"/>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31750</xdr:colOff>
      <xdr:row>3</xdr:row>
      <xdr:rowOff>59874</xdr:rowOff>
    </xdr:from>
    <xdr:to>
      <xdr:col>6</xdr:col>
      <xdr:colOff>215900</xdr:colOff>
      <xdr:row>5</xdr:row>
      <xdr:rowOff>12699</xdr:rowOff>
    </xdr:to>
    <xdr:sp macro="" textlink="">
      <xdr:nvSpPr>
        <xdr:cNvPr id="57" name="TextBox 56">
          <a:extLst>
            <a:ext uri="{FF2B5EF4-FFF2-40B4-BE49-F238E27FC236}">
              <a16:creationId xmlns:a16="http://schemas.microsoft.com/office/drawing/2014/main" id="{8DA53ACD-5B37-E078-FD79-A53EE9EA1F3F}"/>
            </a:ext>
          </a:extLst>
        </xdr:cNvPr>
        <xdr:cNvSpPr txBox="1"/>
      </xdr:nvSpPr>
      <xdr:spPr>
        <a:xfrm>
          <a:off x="1250950" y="536124"/>
          <a:ext cx="2622550" cy="270325"/>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7030A0"/>
              </a:solidFill>
              <a:latin typeface="Georgia" panose="02040502050405020303" pitchFamily="18" charset="0"/>
            </a:rPr>
            <a:t>Welcome User | BrightCart Dashboard</a:t>
          </a:r>
        </a:p>
      </xdr:txBody>
    </xdr:sp>
    <xdr:clientData/>
  </xdr:twoCellAnchor>
  <xdr:twoCellAnchor>
    <xdr:from>
      <xdr:col>8</xdr:col>
      <xdr:colOff>152400</xdr:colOff>
      <xdr:row>9</xdr:row>
      <xdr:rowOff>25400</xdr:rowOff>
    </xdr:from>
    <xdr:to>
      <xdr:col>12</xdr:col>
      <xdr:colOff>38100</xdr:colOff>
      <xdr:row>16</xdr:row>
      <xdr:rowOff>25399</xdr:rowOff>
    </xdr:to>
    <xdr:graphicFrame macro="">
      <xdr:nvGraphicFramePr>
        <xdr:cNvPr id="58" name="Chart 57">
          <a:extLst>
            <a:ext uri="{FF2B5EF4-FFF2-40B4-BE49-F238E27FC236}">
              <a16:creationId xmlns:a16="http://schemas.microsoft.com/office/drawing/2014/main" id="{4D2C1DF8-0024-44F5-82FD-8005D7EB4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501650</xdr:colOff>
      <xdr:row>0</xdr:row>
      <xdr:rowOff>146050</xdr:rowOff>
    </xdr:from>
    <xdr:to>
      <xdr:col>4</xdr:col>
      <xdr:colOff>279400</xdr:colOff>
      <xdr:row>3</xdr:row>
      <xdr:rowOff>44450</xdr:rowOff>
    </xdr:to>
    <mc:AlternateContent xmlns:mc="http://schemas.openxmlformats.org/markup-compatibility/2006" xmlns:a14="http://schemas.microsoft.com/office/drawing/2010/main">
      <mc:Choice Requires="a14">
        <xdr:graphicFrame macro="">
          <xdr:nvGraphicFramePr>
            <xdr:cNvPr id="61" name="Year">
              <a:extLst>
                <a:ext uri="{FF2B5EF4-FFF2-40B4-BE49-F238E27FC236}">
                  <a16:creationId xmlns:a16="http://schemas.microsoft.com/office/drawing/2014/main" id="{4C576953-38B0-6253-A00E-2FA39BFDD9C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11250" y="146050"/>
              <a:ext cx="1606550" cy="374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596900</xdr:colOff>
      <xdr:row>16</xdr:row>
      <xdr:rowOff>76200</xdr:rowOff>
    </xdr:from>
    <xdr:to>
      <xdr:col>3</xdr:col>
      <xdr:colOff>311150</xdr:colOff>
      <xdr:row>18</xdr:row>
      <xdr:rowOff>19050</xdr:rowOff>
    </xdr:to>
    <xdr:sp macro="" textlink="">
      <xdr:nvSpPr>
        <xdr:cNvPr id="4" name="TextBox 3">
          <a:extLst>
            <a:ext uri="{FF2B5EF4-FFF2-40B4-BE49-F238E27FC236}">
              <a16:creationId xmlns:a16="http://schemas.microsoft.com/office/drawing/2014/main" id="{EE9B250E-C774-034F-335C-EF94EDD8C48E}"/>
            </a:ext>
          </a:extLst>
        </xdr:cNvPr>
        <xdr:cNvSpPr txBox="1"/>
      </xdr:nvSpPr>
      <xdr:spPr>
        <a:xfrm>
          <a:off x="1206500" y="2616200"/>
          <a:ext cx="9334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solidFill>
                <a:schemeClr val="accent6">
                  <a:lumMod val="50000"/>
                </a:schemeClr>
              </a:solidFill>
              <a:latin typeface="Georgia" panose="02040502050405020303" pitchFamily="18" charset="0"/>
              <a:ea typeface="+mn-ea"/>
              <a:cs typeface="+mn-cs"/>
            </a:rPr>
            <a:t>Returning</a:t>
          </a:r>
          <a:r>
            <a:rPr lang="en-US" sz="800" baseline="0">
              <a:solidFill>
                <a:schemeClr val="accent6">
                  <a:lumMod val="50000"/>
                </a:schemeClr>
              </a:solidFill>
              <a:latin typeface="Georgia" panose="02040502050405020303" pitchFamily="18" charset="0"/>
            </a:rPr>
            <a:t> Users</a:t>
          </a:r>
          <a:endParaRPr lang="en-US" sz="800">
            <a:solidFill>
              <a:schemeClr val="accent6">
                <a:lumMod val="50000"/>
              </a:schemeClr>
            </a:solidFill>
            <a:latin typeface="Georgia" panose="02040502050405020303" pitchFamily="18" charset="0"/>
          </a:endParaRPr>
        </a:p>
      </xdr:txBody>
    </xdr:sp>
    <xdr:clientData/>
  </xdr:twoCellAnchor>
  <xdr:twoCellAnchor>
    <xdr:from>
      <xdr:col>1</xdr:col>
      <xdr:colOff>596900</xdr:colOff>
      <xdr:row>13</xdr:row>
      <xdr:rowOff>0</xdr:rowOff>
    </xdr:from>
    <xdr:to>
      <xdr:col>3</xdr:col>
      <xdr:colOff>304800</xdr:colOff>
      <xdr:row>14</xdr:row>
      <xdr:rowOff>12700</xdr:rowOff>
    </xdr:to>
    <xdr:sp macro="" textlink="">
      <xdr:nvSpPr>
        <xdr:cNvPr id="5" name="TextBox 4">
          <a:extLst>
            <a:ext uri="{FF2B5EF4-FFF2-40B4-BE49-F238E27FC236}">
              <a16:creationId xmlns:a16="http://schemas.microsoft.com/office/drawing/2014/main" id="{BD2A5D6A-0990-5FE5-2861-EF2F0E8D8C53}"/>
            </a:ext>
          </a:extLst>
        </xdr:cNvPr>
        <xdr:cNvSpPr txBox="1"/>
      </xdr:nvSpPr>
      <xdr:spPr>
        <a:xfrm>
          <a:off x="1206500" y="2063750"/>
          <a:ext cx="9271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chemeClr val="accent6">
                  <a:lumMod val="50000"/>
                </a:schemeClr>
              </a:solidFill>
              <a:latin typeface="Georgia" panose="02040502050405020303" pitchFamily="18" charset="0"/>
            </a:rPr>
            <a:t>Conversion Rate</a:t>
          </a:r>
        </a:p>
      </xdr:txBody>
    </xdr:sp>
    <xdr:clientData/>
  </xdr:twoCellAnchor>
  <xdr:twoCellAnchor>
    <xdr:from>
      <xdr:col>4</xdr:col>
      <xdr:colOff>44450</xdr:colOff>
      <xdr:row>14</xdr:row>
      <xdr:rowOff>76200</xdr:rowOff>
    </xdr:from>
    <xdr:to>
      <xdr:col>7</xdr:col>
      <xdr:colOff>425450</xdr:colOff>
      <xdr:row>22</xdr:row>
      <xdr:rowOff>101600</xdr:rowOff>
    </xdr:to>
    <xdr:graphicFrame macro="">
      <xdr:nvGraphicFramePr>
        <xdr:cNvPr id="9" name="Chart 8">
          <a:extLst>
            <a:ext uri="{FF2B5EF4-FFF2-40B4-BE49-F238E27FC236}">
              <a16:creationId xmlns:a16="http://schemas.microsoft.com/office/drawing/2014/main" id="{9AE927F8-45A7-45ED-A925-2A4073F29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76200</xdr:colOff>
      <xdr:row>15</xdr:row>
      <xdr:rowOff>152400</xdr:rowOff>
    </xdr:from>
    <xdr:to>
      <xdr:col>11</xdr:col>
      <xdr:colOff>584200</xdr:colOff>
      <xdr:row>22</xdr:row>
      <xdr:rowOff>57150</xdr:rowOff>
    </xdr:to>
    <xdr:graphicFrame macro="">
      <xdr:nvGraphicFramePr>
        <xdr:cNvPr id="19" name="Chart 18">
          <a:extLst>
            <a:ext uri="{FF2B5EF4-FFF2-40B4-BE49-F238E27FC236}">
              <a16:creationId xmlns:a16="http://schemas.microsoft.com/office/drawing/2014/main" id="{73B80F5B-D007-47E0-986A-BB5ED656D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8.065258796298" backgroundQuery="1" createdVersion="8" refreshedVersion="8" minRefreshableVersion="3" recordCount="0" supportSubquery="1" supportAdvancedDrill="1" xr:uid="{0810C84E-910F-4C7D-A977-CD8CC7F707BE}">
  <cacheSource type="external" connectionId="1"/>
  <cacheFields count="2">
    <cacheField name="[Measures].[Count of SessionID]" caption="Count of SessionID" numFmtId="0" hierarchy="22" level="32767"/>
    <cacheField name="[session_data].[Device Type].[Device Type]" caption="Device Type" numFmtId="0" hierarchy="17" level="1">
      <sharedItems containsSemiMixedTypes="0" containsNonDate="0" containsString="0"/>
    </cacheField>
  </cacheFields>
  <cacheHierarchies count="35">
    <cacheHierarchy uniqueName="[engagement].[SessionID]" caption="SessionID" attribute="1" defaultMemberUniqueName="[engagement].[SessionID].[All]" allUniqueName="[engagement].[SessionID].[All]" dimensionUniqueName="[engagement]" displayFolder="" count="0" memberValueDatatype="130" unbalanced="0"/>
    <cacheHierarchy uniqueName="[engagement].[Session Duration]" caption="Session Duration" attribute="1" defaultMemberUniqueName="[engagement].[Session Duration].[All]" allUniqueName="[engagement].[Session Duration].[All]" dimensionUniqueName="[engagement]" displayFolder="" count="0" memberValueDatatype="20" unbalanced="0"/>
    <cacheHierarchy uniqueName="[engagement].[Page Views]" caption="Page Views" attribute="1" defaultMemberUniqueName="[engagement].[Page Views].[All]" allUniqueName="[engagement].[Page Views].[All]" dimensionUniqueName="[engagement]" displayFolder="" count="0" memberValueDatatype="20" unbalanced="0"/>
    <cacheHierarchy uniqueName="[engagement].[Unique Page Views]" caption="Unique Page Views" attribute="1" defaultMemberUniqueName="[engagement].[Unique Page Views].[All]" allUniqueName="[engagement].[Unique Page Views].[All]" dimensionUniqueName="[engagement]" displayFolder="" count="0" memberValueDatatype="20" unbalanced="0"/>
    <cacheHierarchy uniqueName="[engagement].[Conversion Flag]" caption="Conversion Flag" attribute="1" defaultMemberUniqueName="[engagement].[Conversion Flag].[All]" allUniqueName="[engagement].[Conversion Flag].[All]" dimensionUniqueName="[engagement]" displayFolder="" count="0" memberValueDatatype="20" unbalanced="0"/>
    <cacheHierarchy uniqueName="[engagement].[Page URL]" caption="Page URL" attribute="1" defaultMemberUniqueName="[engagement].[Page URL].[All]" allUniqueName="[engagement].[Page URL].[All]" dimensionUniqueName="[engagement]" displayFolder="" count="0" memberValueDatatype="130" unbalanced="0"/>
    <cacheHierarchy uniqueName="[engagement].[Traffic source]" caption="Traffic source" attribute="1" defaultMemberUniqueName="[engagement].[Traffic source].[All]" allUniqueName="[engagement].[Traffic source].[All]" dimensionUniqueName="[engagement]" displayFolder="" count="0" memberValueDatatype="130" unbalanced="0"/>
    <cacheHierarchy uniqueName="[session_data].[SessionID]" caption="SessionID" attribute="1" defaultMemberUniqueName="[session_data].[SessionID].[All]" allUniqueName="[session_data].[SessionID].[All]" dimensionUniqueName="[session_data]" displayFolder="" count="0" memberValueDatatype="130" unbalanced="0"/>
    <cacheHierarchy uniqueName="[session_data].[UserID]" caption="UserID" attribute="1" defaultMemberUniqueName="[session_data].[UserID].[All]" allUniqueName="[session_data].[UserID].[All]" dimensionUniqueName="[session_data]" displayFolder="" count="0" memberValueDatatype="130" unbalanced="0"/>
    <cacheHierarchy uniqueName="[session_data].[Timestamp]" caption="Timestamp" attribute="1" time="1" defaultMemberUniqueName="[session_data].[Timestamp].[All]" allUniqueName="[session_data].[Timestamp].[All]" dimensionUniqueName="[session_data]" displayFolder="" count="0" memberValueDatatype="7" unbalanced="0"/>
    <cacheHierarchy uniqueName="[session_data].[Date]" caption="Date" attribute="1" time="1" defaultMemberUniqueName="[session_data].[Date].[All]" allUniqueName="[session_data].[Date].[All]" dimensionUniqueName="[session_data]" displayFolder="" count="0" memberValueDatatype="7" unbalanced="0"/>
    <cacheHierarchy uniqueName="[session_data].[Time]" caption="Time" attribute="1" time="1" defaultMemberUniqueName="[session_data].[Time].[All]" allUniqueName="[session_data].[Time].[All]" dimensionUniqueName="[session_data]" displayFolder="" count="0" memberValueDatatype="7" unbalanced="0"/>
    <cacheHierarchy uniqueName="[session_data].[Time_of_Day]" caption="Time_of_Day" attribute="1" defaultMemberUniqueName="[session_data].[Time_of_Day].[All]" allUniqueName="[session_data].[Time_of_Day].[All]" dimensionUniqueName="[session_data]" displayFolder="" count="0" memberValueDatatype="130" unbalanced="0"/>
    <cacheHierarchy uniqueName="[session_data].[Year]" caption="Year" attribute="1" defaultMemberUniqueName="[session_data].[Year].[All]" allUniqueName="[session_data].[Year].[All]" dimensionUniqueName="[session_data]" displayFolder="" count="2" memberValueDatatype="20" unbalanced="0"/>
    <cacheHierarchy uniqueName="[session_data].[Month]" caption="Month" attribute="1" defaultMemberUniqueName="[session_data].[Month].[All]" allUniqueName="[session_data].[Month].[All]" dimensionUniqueName="[session_data]" displayFolder="" count="0" memberValueDatatype="130" unbalanced="0"/>
    <cacheHierarchy uniqueName="[session_data].[Day]" caption="Day" attribute="1" defaultMemberUniqueName="[session_data].[Day].[All]" allUniqueName="[session_data].[Day].[All]" dimensionUniqueName="[session_data]" displayFolder="" count="0" memberValueDatatype="130" unbalanced="0"/>
    <cacheHierarchy uniqueName="[session_data].[Traffic Source]" caption="Traffic Source" attribute="1" defaultMemberUniqueName="[session_data].[Traffic Source].[All]" allUniqueName="[session_data].[Traffic Source].[All]" dimensionUniqueName="[session_data]" displayFolder="" count="2" memberValueDatatype="130" unbalanced="0"/>
    <cacheHierarchy uniqueName="[session_data].[Device Type]" caption="Device Type" attribute="1" defaultMemberUniqueName="[session_data].[Device Type].[All]" allUniqueName="[session_data].[Device Type].[All]" dimensionUniqueName="[session_data]" displayFolder="" count="2" memberValueDatatype="130" unbalanced="0">
      <fieldsUsage count="2">
        <fieldUsage x="-1"/>
        <fieldUsage x="1"/>
      </fieldsUsage>
    </cacheHierarchy>
    <cacheHierarchy uniqueName="[session_data].[State]" caption="State" attribute="1" defaultMemberUniqueName="[session_data].[State].[All]" allUniqueName="[session_data].[State].[All]" dimensionUniqueName="[session_data]" displayFolder="" count="0" memberValueDatatype="130" unbalanced="0"/>
    <cacheHierarchy uniqueName="[session_data].[Country]" caption="Country" attribute="1" defaultMemberUniqueName="[session_data].[Country].[All]" allUniqueName="[session_data].[Country].[All]" dimensionUniqueName="[session_data]" displayFolder="" count="0" memberValueDatatype="130" unbalanced="0"/>
    <cacheHierarchy uniqueName="[session_data].[User Type]" caption="User Type" attribute="1" defaultMemberUniqueName="[session_data].[User Type].[All]" allUniqueName="[session_data].[User Type].[All]" dimensionUniqueName="[session_data]" displayFolder="" count="0" memberValueDatatype="130" unbalanced="0"/>
    <cacheHierarchy uniqueName="[session_data].[User Gender]" caption="User Gender" attribute="1" defaultMemberUniqueName="[session_data].[User Gender].[All]" allUniqueName="[session_data].[User Gender].[All]" dimensionUniqueName="[session_data]" displayFolder="" count="0" memberValueDatatype="130" unbalanced="0"/>
    <cacheHierarchy uniqueName="[Measures].[Count of SessionID]" caption="Count of SessionID" measure="1" displayFolder="" measureGroup="session_data" count="0" oneField="1">
      <fieldsUsage count="1">
        <fieldUsage x="0"/>
      </fieldsUsage>
      <extLst>
        <ext xmlns:x15="http://schemas.microsoft.com/office/spreadsheetml/2010/11/main" uri="{B97F6D7D-B522-45F9-BDA1-12C45D357490}">
          <x15:cacheHierarchy aggregatedColumn="7"/>
        </ext>
      </extLst>
    </cacheHierarchy>
    <cacheHierarchy uniqueName="[Measures].[Distinct Count of SessionID]" caption="Distinct Count of SessionID" measure="1" displayFolder="" measureGroup="session_data" count="0">
      <extLst>
        <ext xmlns:x15="http://schemas.microsoft.com/office/spreadsheetml/2010/11/main" uri="{B97F6D7D-B522-45F9-BDA1-12C45D357490}">
          <x15:cacheHierarchy aggregatedColumn="7"/>
        </ext>
      </extLst>
    </cacheHierarchy>
    <cacheHierarchy uniqueName="[Measures].[Count of UserID]" caption="Count of UserID" measure="1" displayFolder="" measureGroup="session_data" count="0">
      <extLst>
        <ext xmlns:x15="http://schemas.microsoft.com/office/spreadsheetml/2010/11/main" uri="{B97F6D7D-B522-45F9-BDA1-12C45D357490}">
          <x15:cacheHierarchy aggregatedColumn="8"/>
        </ext>
      </extLst>
    </cacheHierarchy>
    <cacheHierarchy uniqueName="[Measures].[Distinct Count of UserID]" caption="Distinct Count of UserID" measure="1" displayFolder="" measureGroup="session_data" count="0">
      <extLst>
        <ext xmlns:x15="http://schemas.microsoft.com/office/spreadsheetml/2010/11/main" uri="{B97F6D7D-B522-45F9-BDA1-12C45D357490}">
          <x15:cacheHierarchy aggregatedColumn="8"/>
        </ext>
      </extLst>
    </cacheHierarchy>
    <cacheHierarchy uniqueName="[Measures].[Count of SessionID 2]" caption="Count of SessionID 2" measure="1" displayFolder="" measureGroup="engagement" count="0">
      <extLst>
        <ext xmlns:x15="http://schemas.microsoft.com/office/spreadsheetml/2010/11/main" uri="{B97F6D7D-B522-45F9-BDA1-12C45D357490}">
          <x15:cacheHierarchy aggregatedColumn="0"/>
        </ext>
      </extLst>
    </cacheHierarchy>
    <cacheHierarchy uniqueName="[Measures].[Sum of Conversion Flag]" caption="Sum of Conversion Flag" measure="1" displayFolder="" measureGroup="engagement" count="0">
      <extLst>
        <ext xmlns:x15="http://schemas.microsoft.com/office/spreadsheetml/2010/11/main" uri="{B97F6D7D-B522-45F9-BDA1-12C45D357490}">
          <x15:cacheHierarchy aggregatedColumn="4"/>
        </ext>
      </extLst>
    </cacheHierarchy>
    <cacheHierarchy uniqueName="[Measures].[Count of Traffic Source]" caption="Count of Traffic Source" measure="1" displayFolder="" measureGroup="session_data" count="0">
      <extLst>
        <ext xmlns:x15="http://schemas.microsoft.com/office/spreadsheetml/2010/11/main" uri="{B97F6D7D-B522-45F9-BDA1-12C45D357490}">
          <x15:cacheHierarchy aggregatedColumn="16"/>
        </ext>
      </extLst>
    </cacheHierarchy>
    <cacheHierarchy uniqueName="[Measures].[Sum of Session Duration]" caption="Sum of Session Duration" measure="1" displayFolder="" measureGroup="engagement" count="0">
      <extLst>
        <ext xmlns:x15="http://schemas.microsoft.com/office/spreadsheetml/2010/11/main" uri="{B97F6D7D-B522-45F9-BDA1-12C45D357490}">
          <x15:cacheHierarchy aggregatedColumn="1"/>
        </ext>
      </extLst>
    </cacheHierarchy>
    <cacheHierarchy uniqueName="[Measures].[Average of Session Duration]" caption="Average of Session Duration" measure="1" displayFolder="" measureGroup="engagement" count="0">
      <extLst>
        <ext xmlns:x15="http://schemas.microsoft.com/office/spreadsheetml/2010/11/main" uri="{B97F6D7D-B522-45F9-BDA1-12C45D357490}">
          <x15:cacheHierarchy aggregatedColumn="1"/>
        </ext>
      </extLst>
    </cacheHierarchy>
    <cacheHierarchy uniqueName="[Measures].[Conversion_Rate]" caption="Conversion_Rate" measure="1" displayFolder="" measureGroup="session_data" count="0"/>
    <cacheHierarchy uniqueName="[Measures].[__XL_Count session_data]" caption="__XL_Count session_data" measure="1" displayFolder="" measureGroup="session_data" count="0" hidden="1"/>
    <cacheHierarchy uniqueName="[Measures].[__XL_Count engagement]" caption="__XL_Count engagement" measure="1" displayFolder="" measureGroup="engagement" count="0" hidden="1"/>
    <cacheHierarchy uniqueName="[Measures].[__No measures defined]" caption="__No measures defined" measure="1" displayFolder="" count="0" hidden="1"/>
  </cacheHierarchies>
  <kpis count="0"/>
  <dimensions count="3">
    <dimension name="engagement" uniqueName="[engagement]" caption="engagement"/>
    <dimension measure="1" name="Measures" uniqueName="[Measures]" caption="Measures"/>
    <dimension name="session_data" uniqueName="[session_data]" caption="session_data"/>
  </dimensions>
  <measureGroups count="2">
    <measureGroup name="engagement" caption="engagement"/>
    <measureGroup name="session_data" caption="session_data"/>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8.065259953706" backgroundQuery="1" createdVersion="8" refreshedVersion="8" minRefreshableVersion="3" recordCount="0" supportSubquery="1" supportAdvancedDrill="1" xr:uid="{1200627B-19C8-48E7-ACF5-21195AEA1973}">
  <cacheSource type="external" connectionId="1"/>
  <cacheFields count="4">
    <cacheField name="[Measures].[Count of SessionID]" caption="Count of SessionID" numFmtId="0" hierarchy="22" level="32767"/>
    <cacheField name="[session_data].[Time_of_Day].[Time_of_Day]" caption="Time_of_Day" numFmtId="0" hierarchy="12" level="1">
      <sharedItems count="4">
        <s v="Afternoon"/>
        <s v="Evening"/>
        <s v="Morning"/>
        <s v="Night"/>
      </sharedItems>
    </cacheField>
    <cacheField name="[session_data].[Day].[Day]" caption="Day" numFmtId="0" hierarchy="15" level="1">
      <sharedItems count="7">
        <s v="Fri"/>
        <s v="Mon"/>
        <s v="Sat"/>
        <s v="Sun"/>
        <s v="Thu"/>
        <s v="Tue"/>
        <s v="Wed"/>
      </sharedItems>
    </cacheField>
    <cacheField name="[session_data].[Device Type].[Device Type]" caption="Device Type" numFmtId="0" hierarchy="17" level="1">
      <sharedItems containsSemiMixedTypes="0" containsNonDate="0" containsString="0"/>
    </cacheField>
  </cacheFields>
  <cacheHierarchies count="35">
    <cacheHierarchy uniqueName="[engagement].[SessionID]" caption="SessionID" attribute="1" defaultMemberUniqueName="[engagement].[SessionID].[All]" allUniqueName="[engagement].[SessionID].[All]" dimensionUniqueName="[engagement]" displayFolder="" count="0" memberValueDatatype="130" unbalanced="0"/>
    <cacheHierarchy uniqueName="[engagement].[Session Duration]" caption="Session Duration" attribute="1" defaultMemberUniqueName="[engagement].[Session Duration].[All]" allUniqueName="[engagement].[Session Duration].[All]" dimensionUniqueName="[engagement]" displayFolder="" count="0" memberValueDatatype="20" unbalanced="0"/>
    <cacheHierarchy uniqueName="[engagement].[Page Views]" caption="Page Views" attribute="1" defaultMemberUniqueName="[engagement].[Page Views].[All]" allUniqueName="[engagement].[Page Views].[All]" dimensionUniqueName="[engagement]" displayFolder="" count="0" memberValueDatatype="20" unbalanced="0"/>
    <cacheHierarchy uniqueName="[engagement].[Unique Page Views]" caption="Unique Page Views" attribute="1" defaultMemberUniqueName="[engagement].[Unique Page Views].[All]" allUniqueName="[engagement].[Unique Page Views].[All]" dimensionUniqueName="[engagement]" displayFolder="" count="0" memberValueDatatype="20" unbalanced="0"/>
    <cacheHierarchy uniqueName="[engagement].[Conversion Flag]" caption="Conversion Flag" attribute="1" defaultMemberUniqueName="[engagement].[Conversion Flag].[All]" allUniqueName="[engagement].[Conversion Flag].[All]" dimensionUniqueName="[engagement]" displayFolder="" count="0" memberValueDatatype="20" unbalanced="0"/>
    <cacheHierarchy uniqueName="[engagement].[Page URL]" caption="Page URL" attribute="1" defaultMemberUniqueName="[engagement].[Page URL].[All]" allUniqueName="[engagement].[Page URL].[All]" dimensionUniqueName="[engagement]" displayFolder="" count="0" memberValueDatatype="130" unbalanced="0"/>
    <cacheHierarchy uniqueName="[engagement].[Traffic source]" caption="Traffic source" attribute="1" defaultMemberUniqueName="[engagement].[Traffic source].[All]" allUniqueName="[engagement].[Traffic source].[All]" dimensionUniqueName="[engagement]" displayFolder="" count="0" memberValueDatatype="130" unbalanced="0"/>
    <cacheHierarchy uniqueName="[session_data].[SessionID]" caption="SessionID" attribute="1" defaultMemberUniqueName="[session_data].[SessionID].[All]" allUniqueName="[session_data].[SessionID].[All]" dimensionUniqueName="[session_data]" displayFolder="" count="0" memberValueDatatype="130" unbalanced="0"/>
    <cacheHierarchy uniqueName="[session_data].[UserID]" caption="UserID" attribute="1" defaultMemberUniqueName="[session_data].[UserID].[All]" allUniqueName="[session_data].[UserID].[All]" dimensionUniqueName="[session_data]" displayFolder="" count="0" memberValueDatatype="130" unbalanced="0"/>
    <cacheHierarchy uniqueName="[session_data].[Timestamp]" caption="Timestamp" attribute="1" time="1" defaultMemberUniqueName="[session_data].[Timestamp].[All]" allUniqueName="[session_data].[Timestamp].[All]" dimensionUniqueName="[session_data]" displayFolder="" count="0" memberValueDatatype="7" unbalanced="0"/>
    <cacheHierarchy uniqueName="[session_data].[Date]" caption="Date" attribute="1" time="1" defaultMemberUniqueName="[session_data].[Date].[All]" allUniqueName="[session_data].[Date].[All]" dimensionUniqueName="[session_data]" displayFolder="" count="0" memberValueDatatype="7" unbalanced="0"/>
    <cacheHierarchy uniqueName="[session_data].[Time]" caption="Time" attribute="1" time="1" defaultMemberUniqueName="[session_data].[Time].[All]" allUniqueName="[session_data].[Time].[All]" dimensionUniqueName="[session_data]" displayFolder="" count="0" memberValueDatatype="7" unbalanced="0"/>
    <cacheHierarchy uniqueName="[session_data].[Time_of_Day]" caption="Time_of_Day" attribute="1" defaultMemberUniqueName="[session_data].[Time_of_Day].[All]" allUniqueName="[session_data].[Time_of_Day].[All]" dimensionUniqueName="[session_data]" displayFolder="" count="2" memberValueDatatype="130" unbalanced="0">
      <fieldsUsage count="2">
        <fieldUsage x="-1"/>
        <fieldUsage x="1"/>
      </fieldsUsage>
    </cacheHierarchy>
    <cacheHierarchy uniqueName="[session_data].[Year]" caption="Year" attribute="1" defaultMemberUniqueName="[session_data].[Year].[All]" allUniqueName="[session_data].[Year].[All]" dimensionUniqueName="[session_data]" displayFolder="" count="2" memberValueDatatype="20" unbalanced="0"/>
    <cacheHierarchy uniqueName="[session_data].[Month]" caption="Month" attribute="1" defaultMemberUniqueName="[session_data].[Month].[All]" allUniqueName="[session_data].[Month].[All]" dimensionUniqueName="[session_data]" displayFolder="" count="0" memberValueDatatype="130" unbalanced="0"/>
    <cacheHierarchy uniqueName="[session_data].[Day]" caption="Day" attribute="1" defaultMemberUniqueName="[session_data].[Day].[All]" allUniqueName="[session_data].[Day].[All]" dimensionUniqueName="[session_data]" displayFolder="" count="2" memberValueDatatype="130" unbalanced="0">
      <fieldsUsage count="2">
        <fieldUsage x="-1"/>
        <fieldUsage x="2"/>
      </fieldsUsage>
    </cacheHierarchy>
    <cacheHierarchy uniqueName="[session_data].[Traffic Source]" caption="Traffic Source" attribute="1" defaultMemberUniqueName="[session_data].[Traffic Source].[All]" allUniqueName="[session_data].[Traffic Source].[All]" dimensionUniqueName="[session_data]" displayFolder="" count="2" memberValueDatatype="130" unbalanced="0"/>
    <cacheHierarchy uniqueName="[session_data].[Device Type]" caption="Device Type" attribute="1" defaultMemberUniqueName="[session_data].[Device Type].[All]" allUniqueName="[session_data].[Device Type].[All]" dimensionUniqueName="[session_data]" displayFolder="" count="2" memberValueDatatype="130" unbalanced="0">
      <fieldsUsage count="2">
        <fieldUsage x="-1"/>
        <fieldUsage x="3"/>
      </fieldsUsage>
    </cacheHierarchy>
    <cacheHierarchy uniqueName="[session_data].[State]" caption="State" attribute="1" defaultMemberUniqueName="[session_data].[State].[All]" allUniqueName="[session_data].[State].[All]" dimensionUniqueName="[session_data]" displayFolder="" count="0" memberValueDatatype="130" unbalanced="0"/>
    <cacheHierarchy uniqueName="[session_data].[Country]" caption="Country" attribute="1" defaultMemberUniqueName="[session_data].[Country].[All]" allUniqueName="[session_data].[Country].[All]" dimensionUniqueName="[session_data]" displayFolder="" count="0" memberValueDatatype="130" unbalanced="0"/>
    <cacheHierarchy uniqueName="[session_data].[User Type]" caption="User Type" attribute="1" defaultMemberUniqueName="[session_data].[User Type].[All]" allUniqueName="[session_data].[User Type].[All]" dimensionUniqueName="[session_data]" displayFolder="" count="0" memberValueDatatype="130" unbalanced="0"/>
    <cacheHierarchy uniqueName="[session_data].[User Gender]" caption="User Gender" attribute="1" defaultMemberUniqueName="[session_data].[User Gender].[All]" allUniqueName="[session_data].[User Gender].[All]" dimensionUniqueName="[session_data]" displayFolder="" count="0" memberValueDatatype="130" unbalanced="0"/>
    <cacheHierarchy uniqueName="[Measures].[Count of SessionID]" caption="Count of SessionID" measure="1" displayFolder="" measureGroup="session_data" count="0" oneField="1">
      <fieldsUsage count="1">
        <fieldUsage x="0"/>
      </fieldsUsage>
      <extLst>
        <ext xmlns:x15="http://schemas.microsoft.com/office/spreadsheetml/2010/11/main" uri="{B97F6D7D-B522-45F9-BDA1-12C45D357490}">
          <x15:cacheHierarchy aggregatedColumn="7"/>
        </ext>
      </extLst>
    </cacheHierarchy>
    <cacheHierarchy uniqueName="[Measures].[Distinct Count of SessionID]" caption="Distinct Count of SessionID" measure="1" displayFolder="" measureGroup="session_data" count="0">
      <extLst>
        <ext xmlns:x15="http://schemas.microsoft.com/office/spreadsheetml/2010/11/main" uri="{B97F6D7D-B522-45F9-BDA1-12C45D357490}">
          <x15:cacheHierarchy aggregatedColumn="7"/>
        </ext>
      </extLst>
    </cacheHierarchy>
    <cacheHierarchy uniqueName="[Measures].[Count of UserID]" caption="Count of UserID" measure="1" displayFolder="" measureGroup="session_data" count="0">
      <extLst>
        <ext xmlns:x15="http://schemas.microsoft.com/office/spreadsheetml/2010/11/main" uri="{B97F6D7D-B522-45F9-BDA1-12C45D357490}">
          <x15:cacheHierarchy aggregatedColumn="8"/>
        </ext>
      </extLst>
    </cacheHierarchy>
    <cacheHierarchy uniqueName="[Measures].[Distinct Count of UserID]" caption="Distinct Count of UserID" measure="1" displayFolder="" measureGroup="session_data" count="0">
      <extLst>
        <ext xmlns:x15="http://schemas.microsoft.com/office/spreadsheetml/2010/11/main" uri="{B97F6D7D-B522-45F9-BDA1-12C45D357490}">
          <x15:cacheHierarchy aggregatedColumn="8"/>
        </ext>
      </extLst>
    </cacheHierarchy>
    <cacheHierarchy uniqueName="[Measures].[Count of SessionID 2]" caption="Count of SessionID 2" measure="1" displayFolder="" measureGroup="engagement" count="0">
      <extLst>
        <ext xmlns:x15="http://schemas.microsoft.com/office/spreadsheetml/2010/11/main" uri="{B97F6D7D-B522-45F9-BDA1-12C45D357490}">
          <x15:cacheHierarchy aggregatedColumn="0"/>
        </ext>
      </extLst>
    </cacheHierarchy>
    <cacheHierarchy uniqueName="[Measures].[Sum of Conversion Flag]" caption="Sum of Conversion Flag" measure="1" displayFolder="" measureGroup="engagement" count="0">
      <extLst>
        <ext xmlns:x15="http://schemas.microsoft.com/office/spreadsheetml/2010/11/main" uri="{B97F6D7D-B522-45F9-BDA1-12C45D357490}">
          <x15:cacheHierarchy aggregatedColumn="4"/>
        </ext>
      </extLst>
    </cacheHierarchy>
    <cacheHierarchy uniqueName="[Measures].[Count of Traffic Source]" caption="Count of Traffic Source" measure="1" displayFolder="" measureGroup="session_data" count="0">
      <extLst>
        <ext xmlns:x15="http://schemas.microsoft.com/office/spreadsheetml/2010/11/main" uri="{B97F6D7D-B522-45F9-BDA1-12C45D357490}">
          <x15:cacheHierarchy aggregatedColumn="16"/>
        </ext>
      </extLst>
    </cacheHierarchy>
    <cacheHierarchy uniqueName="[Measures].[Sum of Session Duration]" caption="Sum of Session Duration" measure="1" displayFolder="" measureGroup="engagement" count="0">
      <extLst>
        <ext xmlns:x15="http://schemas.microsoft.com/office/spreadsheetml/2010/11/main" uri="{B97F6D7D-B522-45F9-BDA1-12C45D357490}">
          <x15:cacheHierarchy aggregatedColumn="1"/>
        </ext>
      </extLst>
    </cacheHierarchy>
    <cacheHierarchy uniqueName="[Measures].[Average of Session Duration]" caption="Average of Session Duration" measure="1" displayFolder="" measureGroup="engagement" count="0">
      <extLst>
        <ext xmlns:x15="http://schemas.microsoft.com/office/spreadsheetml/2010/11/main" uri="{B97F6D7D-B522-45F9-BDA1-12C45D357490}">
          <x15:cacheHierarchy aggregatedColumn="1"/>
        </ext>
      </extLst>
    </cacheHierarchy>
    <cacheHierarchy uniqueName="[Measures].[Conversion_Rate]" caption="Conversion_Rate" measure="1" displayFolder="" measureGroup="session_data" count="0"/>
    <cacheHierarchy uniqueName="[Measures].[__XL_Count session_data]" caption="__XL_Count session_data" measure="1" displayFolder="" measureGroup="session_data" count="0" hidden="1"/>
    <cacheHierarchy uniqueName="[Measures].[__XL_Count engagement]" caption="__XL_Count engagement" measure="1" displayFolder="" measureGroup="engagement" count="0" hidden="1"/>
    <cacheHierarchy uniqueName="[Measures].[__No measures defined]" caption="__No measures defined" measure="1" displayFolder="" count="0" hidden="1"/>
  </cacheHierarchies>
  <kpis count="0"/>
  <dimensions count="3">
    <dimension name="engagement" uniqueName="[engagement]" caption="engagement"/>
    <dimension measure="1" name="Measures" uniqueName="[Measures]" caption="Measures"/>
    <dimension name="session_data" uniqueName="[session_data]" caption="session_data"/>
  </dimensions>
  <measureGroups count="2">
    <measureGroup name="engagement" caption="engagement"/>
    <measureGroup name="session_data" caption="session_data"/>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8.065261226853" backgroundQuery="1" createdVersion="8" refreshedVersion="8" minRefreshableVersion="3" recordCount="0" supportSubquery="1" supportAdvancedDrill="1" xr:uid="{21C882E1-F447-487D-92A3-088A97F7AE25}">
  <cacheSource type="external" connectionId="1"/>
  <cacheFields count="4">
    <cacheField name="[Measures].[Count of SessionID]" caption="Count of SessionID" numFmtId="0" hierarchy="22" level="32767"/>
    <cacheField name="[session_data].[Time_of_Day].[Time_of_Day]" caption="Time_of_Day" numFmtId="0" hierarchy="12" level="1">
      <sharedItems count="4">
        <s v="Afternoon"/>
        <s v="Evening"/>
        <s v="Morning"/>
        <s v="Night"/>
      </sharedItems>
    </cacheField>
    <cacheField name="[session_data].[Traffic Source].[Traffic Source]" caption="Traffic Source" numFmtId="0" hierarchy="16" level="1">
      <sharedItems count="5">
        <s v="Direct"/>
        <s v="Organic Search"/>
        <s v="Paid Ads"/>
        <s v="Referral"/>
        <s v="Social Media"/>
      </sharedItems>
    </cacheField>
    <cacheField name="[session_data].[Device Type].[Device Type]" caption="Device Type" numFmtId="0" hierarchy="17" level="1">
      <sharedItems containsSemiMixedTypes="0" containsNonDate="0" containsString="0"/>
    </cacheField>
  </cacheFields>
  <cacheHierarchies count="35">
    <cacheHierarchy uniqueName="[engagement].[SessionID]" caption="SessionID" attribute="1" defaultMemberUniqueName="[engagement].[SessionID].[All]" allUniqueName="[engagement].[SessionID].[All]" dimensionUniqueName="[engagement]" displayFolder="" count="0" memberValueDatatype="130" unbalanced="0"/>
    <cacheHierarchy uniqueName="[engagement].[Session Duration]" caption="Session Duration" attribute="1" defaultMemberUniqueName="[engagement].[Session Duration].[All]" allUniqueName="[engagement].[Session Duration].[All]" dimensionUniqueName="[engagement]" displayFolder="" count="0" memberValueDatatype="20" unbalanced="0"/>
    <cacheHierarchy uniqueName="[engagement].[Page Views]" caption="Page Views" attribute="1" defaultMemberUniqueName="[engagement].[Page Views].[All]" allUniqueName="[engagement].[Page Views].[All]" dimensionUniqueName="[engagement]" displayFolder="" count="0" memberValueDatatype="20" unbalanced="0"/>
    <cacheHierarchy uniqueName="[engagement].[Unique Page Views]" caption="Unique Page Views" attribute="1" defaultMemberUniqueName="[engagement].[Unique Page Views].[All]" allUniqueName="[engagement].[Unique Page Views].[All]" dimensionUniqueName="[engagement]" displayFolder="" count="0" memberValueDatatype="20" unbalanced="0"/>
    <cacheHierarchy uniqueName="[engagement].[Conversion Flag]" caption="Conversion Flag" attribute="1" defaultMemberUniqueName="[engagement].[Conversion Flag].[All]" allUniqueName="[engagement].[Conversion Flag].[All]" dimensionUniqueName="[engagement]" displayFolder="" count="0" memberValueDatatype="20" unbalanced="0"/>
    <cacheHierarchy uniqueName="[engagement].[Page URL]" caption="Page URL" attribute="1" defaultMemberUniqueName="[engagement].[Page URL].[All]" allUniqueName="[engagement].[Page URL].[All]" dimensionUniqueName="[engagement]" displayFolder="" count="0" memberValueDatatype="130" unbalanced="0"/>
    <cacheHierarchy uniqueName="[engagement].[Traffic source]" caption="Traffic source" attribute="1" defaultMemberUniqueName="[engagement].[Traffic source].[All]" allUniqueName="[engagement].[Traffic source].[All]" dimensionUniqueName="[engagement]" displayFolder="" count="0" memberValueDatatype="130" unbalanced="0"/>
    <cacheHierarchy uniqueName="[session_data].[SessionID]" caption="SessionID" attribute="1" defaultMemberUniqueName="[session_data].[SessionID].[All]" allUniqueName="[session_data].[SessionID].[All]" dimensionUniqueName="[session_data]" displayFolder="" count="0" memberValueDatatype="130" unbalanced="0"/>
    <cacheHierarchy uniqueName="[session_data].[UserID]" caption="UserID" attribute="1" defaultMemberUniqueName="[session_data].[UserID].[All]" allUniqueName="[session_data].[UserID].[All]" dimensionUniqueName="[session_data]" displayFolder="" count="0" memberValueDatatype="130" unbalanced="0"/>
    <cacheHierarchy uniqueName="[session_data].[Timestamp]" caption="Timestamp" attribute="1" time="1" defaultMemberUniqueName="[session_data].[Timestamp].[All]" allUniqueName="[session_data].[Timestamp].[All]" dimensionUniqueName="[session_data]" displayFolder="" count="0" memberValueDatatype="7" unbalanced="0"/>
    <cacheHierarchy uniqueName="[session_data].[Date]" caption="Date" attribute="1" time="1" defaultMemberUniqueName="[session_data].[Date].[All]" allUniqueName="[session_data].[Date].[All]" dimensionUniqueName="[session_data]" displayFolder="" count="0" memberValueDatatype="7" unbalanced="0"/>
    <cacheHierarchy uniqueName="[session_data].[Time]" caption="Time" attribute="1" time="1" defaultMemberUniqueName="[session_data].[Time].[All]" allUniqueName="[session_data].[Time].[All]" dimensionUniqueName="[session_data]" displayFolder="" count="0" memberValueDatatype="7" unbalanced="0"/>
    <cacheHierarchy uniqueName="[session_data].[Time_of_Day]" caption="Time_of_Day" attribute="1" defaultMemberUniqueName="[session_data].[Time_of_Day].[All]" allUniqueName="[session_data].[Time_of_Day].[All]" dimensionUniqueName="[session_data]" displayFolder="" count="2" memberValueDatatype="130" unbalanced="0">
      <fieldsUsage count="2">
        <fieldUsage x="-1"/>
        <fieldUsage x="1"/>
      </fieldsUsage>
    </cacheHierarchy>
    <cacheHierarchy uniqueName="[session_data].[Year]" caption="Year" attribute="1" defaultMemberUniqueName="[session_data].[Year].[All]" allUniqueName="[session_data].[Year].[All]" dimensionUniqueName="[session_data]" displayFolder="" count="2" memberValueDatatype="20" unbalanced="0"/>
    <cacheHierarchy uniqueName="[session_data].[Month]" caption="Month" attribute="1" defaultMemberUniqueName="[session_data].[Month].[All]" allUniqueName="[session_data].[Month].[All]" dimensionUniqueName="[session_data]" displayFolder="" count="0" memberValueDatatype="130" unbalanced="0"/>
    <cacheHierarchy uniqueName="[session_data].[Day]" caption="Day" attribute="1" defaultMemberUniqueName="[session_data].[Day].[All]" allUniqueName="[session_data].[Day].[All]" dimensionUniqueName="[session_data]" displayFolder="" count="0" memberValueDatatype="130" unbalanced="0"/>
    <cacheHierarchy uniqueName="[session_data].[Traffic Source]" caption="Traffic Source" attribute="1" defaultMemberUniqueName="[session_data].[Traffic Source].[All]" allUniqueName="[session_data].[Traffic Source].[All]" dimensionUniqueName="[session_data]" displayFolder="" count="2" memberValueDatatype="130" unbalanced="0">
      <fieldsUsage count="2">
        <fieldUsage x="-1"/>
        <fieldUsage x="2"/>
      </fieldsUsage>
    </cacheHierarchy>
    <cacheHierarchy uniqueName="[session_data].[Device Type]" caption="Device Type" attribute="1" defaultMemberUniqueName="[session_data].[Device Type].[All]" allUniqueName="[session_data].[Device Type].[All]" dimensionUniqueName="[session_data]" displayFolder="" count="2" memberValueDatatype="130" unbalanced="0">
      <fieldsUsage count="2">
        <fieldUsage x="-1"/>
        <fieldUsage x="3"/>
      </fieldsUsage>
    </cacheHierarchy>
    <cacheHierarchy uniqueName="[session_data].[State]" caption="State" attribute="1" defaultMemberUniqueName="[session_data].[State].[All]" allUniqueName="[session_data].[State].[All]" dimensionUniqueName="[session_data]" displayFolder="" count="0" memberValueDatatype="130" unbalanced="0"/>
    <cacheHierarchy uniqueName="[session_data].[Country]" caption="Country" attribute="1" defaultMemberUniqueName="[session_data].[Country].[All]" allUniqueName="[session_data].[Country].[All]" dimensionUniqueName="[session_data]" displayFolder="" count="0" memberValueDatatype="130" unbalanced="0"/>
    <cacheHierarchy uniqueName="[session_data].[User Type]" caption="User Type" attribute="1" defaultMemberUniqueName="[session_data].[User Type].[All]" allUniqueName="[session_data].[User Type].[All]" dimensionUniqueName="[session_data]" displayFolder="" count="0" memberValueDatatype="130" unbalanced="0"/>
    <cacheHierarchy uniqueName="[session_data].[User Gender]" caption="User Gender" attribute="1" defaultMemberUniqueName="[session_data].[User Gender].[All]" allUniqueName="[session_data].[User Gender].[All]" dimensionUniqueName="[session_data]" displayFolder="" count="0" memberValueDatatype="130" unbalanced="0"/>
    <cacheHierarchy uniqueName="[Measures].[Count of SessionID]" caption="Count of SessionID" measure="1" displayFolder="" measureGroup="session_data" count="0" oneField="1">
      <fieldsUsage count="1">
        <fieldUsage x="0"/>
      </fieldsUsage>
      <extLst>
        <ext xmlns:x15="http://schemas.microsoft.com/office/spreadsheetml/2010/11/main" uri="{B97F6D7D-B522-45F9-BDA1-12C45D357490}">
          <x15:cacheHierarchy aggregatedColumn="7"/>
        </ext>
      </extLst>
    </cacheHierarchy>
    <cacheHierarchy uniqueName="[Measures].[Distinct Count of SessionID]" caption="Distinct Count of SessionID" measure="1" displayFolder="" measureGroup="session_data" count="0">
      <extLst>
        <ext xmlns:x15="http://schemas.microsoft.com/office/spreadsheetml/2010/11/main" uri="{B97F6D7D-B522-45F9-BDA1-12C45D357490}">
          <x15:cacheHierarchy aggregatedColumn="7"/>
        </ext>
      </extLst>
    </cacheHierarchy>
    <cacheHierarchy uniqueName="[Measures].[Count of UserID]" caption="Count of UserID" measure="1" displayFolder="" measureGroup="session_data" count="0">
      <extLst>
        <ext xmlns:x15="http://schemas.microsoft.com/office/spreadsheetml/2010/11/main" uri="{B97F6D7D-B522-45F9-BDA1-12C45D357490}">
          <x15:cacheHierarchy aggregatedColumn="8"/>
        </ext>
      </extLst>
    </cacheHierarchy>
    <cacheHierarchy uniqueName="[Measures].[Distinct Count of UserID]" caption="Distinct Count of UserID" measure="1" displayFolder="" measureGroup="session_data" count="0">
      <extLst>
        <ext xmlns:x15="http://schemas.microsoft.com/office/spreadsheetml/2010/11/main" uri="{B97F6D7D-B522-45F9-BDA1-12C45D357490}">
          <x15:cacheHierarchy aggregatedColumn="8"/>
        </ext>
      </extLst>
    </cacheHierarchy>
    <cacheHierarchy uniqueName="[Measures].[Count of SessionID 2]" caption="Count of SessionID 2" measure="1" displayFolder="" measureGroup="engagement" count="0">
      <extLst>
        <ext xmlns:x15="http://schemas.microsoft.com/office/spreadsheetml/2010/11/main" uri="{B97F6D7D-B522-45F9-BDA1-12C45D357490}">
          <x15:cacheHierarchy aggregatedColumn="0"/>
        </ext>
      </extLst>
    </cacheHierarchy>
    <cacheHierarchy uniqueName="[Measures].[Sum of Conversion Flag]" caption="Sum of Conversion Flag" measure="1" displayFolder="" measureGroup="engagement" count="0">
      <extLst>
        <ext xmlns:x15="http://schemas.microsoft.com/office/spreadsheetml/2010/11/main" uri="{B97F6D7D-B522-45F9-BDA1-12C45D357490}">
          <x15:cacheHierarchy aggregatedColumn="4"/>
        </ext>
      </extLst>
    </cacheHierarchy>
    <cacheHierarchy uniqueName="[Measures].[Count of Traffic Source]" caption="Count of Traffic Source" measure="1" displayFolder="" measureGroup="session_data" count="0">
      <extLst>
        <ext xmlns:x15="http://schemas.microsoft.com/office/spreadsheetml/2010/11/main" uri="{B97F6D7D-B522-45F9-BDA1-12C45D357490}">
          <x15:cacheHierarchy aggregatedColumn="16"/>
        </ext>
      </extLst>
    </cacheHierarchy>
    <cacheHierarchy uniqueName="[Measures].[Sum of Session Duration]" caption="Sum of Session Duration" measure="1" displayFolder="" measureGroup="engagement" count="0">
      <extLst>
        <ext xmlns:x15="http://schemas.microsoft.com/office/spreadsheetml/2010/11/main" uri="{B97F6D7D-B522-45F9-BDA1-12C45D357490}">
          <x15:cacheHierarchy aggregatedColumn="1"/>
        </ext>
      </extLst>
    </cacheHierarchy>
    <cacheHierarchy uniqueName="[Measures].[Average of Session Duration]" caption="Average of Session Duration" measure="1" displayFolder="" measureGroup="engagement" count="0">
      <extLst>
        <ext xmlns:x15="http://schemas.microsoft.com/office/spreadsheetml/2010/11/main" uri="{B97F6D7D-B522-45F9-BDA1-12C45D357490}">
          <x15:cacheHierarchy aggregatedColumn="1"/>
        </ext>
      </extLst>
    </cacheHierarchy>
    <cacheHierarchy uniqueName="[Measures].[Conversion_Rate]" caption="Conversion_Rate" measure="1" displayFolder="" measureGroup="session_data" count="0"/>
    <cacheHierarchy uniqueName="[Measures].[__XL_Count session_data]" caption="__XL_Count session_data" measure="1" displayFolder="" measureGroup="session_data" count="0" hidden="1"/>
    <cacheHierarchy uniqueName="[Measures].[__XL_Count engagement]" caption="__XL_Count engagement" measure="1" displayFolder="" measureGroup="engagement" count="0" hidden="1"/>
    <cacheHierarchy uniqueName="[Measures].[__No measures defined]" caption="__No measures defined" measure="1" displayFolder="" count="0" hidden="1"/>
  </cacheHierarchies>
  <kpis count="0"/>
  <dimensions count="3">
    <dimension name="engagement" uniqueName="[engagement]" caption="engagement"/>
    <dimension measure="1" name="Measures" uniqueName="[Measures]" caption="Measures"/>
    <dimension name="session_data" uniqueName="[session_data]" caption="session_data"/>
  </dimensions>
  <measureGroups count="2">
    <measureGroup name="engagement" caption="engagement"/>
    <measureGroup name="session_data" caption="session_data"/>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8.065263310185" backgroundQuery="1" createdVersion="8" refreshedVersion="8" minRefreshableVersion="3" recordCount="0" supportSubquery="1" supportAdvancedDrill="1" xr:uid="{82F444AF-A4D0-4353-916D-DC420DF0DCBE}">
  <cacheSource type="external" connectionId="1"/>
  <cacheFields count="4">
    <cacheField name="[Measures].[Count of SessionID]" caption="Count of SessionID" numFmtId="0" hierarchy="22" level="32767"/>
    <cacheField name="[session_data].[Time_of_Day].[Time_of_Day]" caption="Time_of_Day" numFmtId="0" hierarchy="12" level="1">
      <sharedItems count="4">
        <s v="Afternoon"/>
        <s v="Evening"/>
        <s v="Morning"/>
        <s v="Night"/>
      </sharedItems>
    </cacheField>
    <cacheField name="[session_data].[User Type].[User Type]" caption="User Type" numFmtId="0" hierarchy="20" level="1">
      <sharedItems count="2">
        <s v="New"/>
        <s v="Returning"/>
      </sharedItems>
    </cacheField>
    <cacheField name="[session_data].[Device Type].[Device Type]" caption="Device Type" numFmtId="0" hierarchy="17" level="1">
      <sharedItems containsSemiMixedTypes="0" containsNonDate="0" containsString="0"/>
    </cacheField>
  </cacheFields>
  <cacheHierarchies count="35">
    <cacheHierarchy uniqueName="[engagement].[SessionID]" caption="SessionID" attribute="1" defaultMemberUniqueName="[engagement].[SessionID].[All]" allUniqueName="[engagement].[SessionID].[All]" dimensionUniqueName="[engagement]" displayFolder="" count="0" memberValueDatatype="130" unbalanced="0"/>
    <cacheHierarchy uniqueName="[engagement].[Session Duration]" caption="Session Duration" attribute="1" defaultMemberUniqueName="[engagement].[Session Duration].[All]" allUniqueName="[engagement].[Session Duration].[All]" dimensionUniqueName="[engagement]" displayFolder="" count="0" memberValueDatatype="20" unbalanced="0"/>
    <cacheHierarchy uniqueName="[engagement].[Page Views]" caption="Page Views" attribute="1" defaultMemberUniqueName="[engagement].[Page Views].[All]" allUniqueName="[engagement].[Page Views].[All]" dimensionUniqueName="[engagement]" displayFolder="" count="0" memberValueDatatype="20" unbalanced="0"/>
    <cacheHierarchy uniqueName="[engagement].[Unique Page Views]" caption="Unique Page Views" attribute="1" defaultMemberUniqueName="[engagement].[Unique Page Views].[All]" allUniqueName="[engagement].[Unique Page Views].[All]" dimensionUniqueName="[engagement]" displayFolder="" count="0" memberValueDatatype="20" unbalanced="0"/>
    <cacheHierarchy uniqueName="[engagement].[Conversion Flag]" caption="Conversion Flag" attribute="1" defaultMemberUniqueName="[engagement].[Conversion Flag].[All]" allUniqueName="[engagement].[Conversion Flag].[All]" dimensionUniqueName="[engagement]" displayFolder="" count="0" memberValueDatatype="20" unbalanced="0"/>
    <cacheHierarchy uniqueName="[engagement].[Page URL]" caption="Page URL" attribute="1" defaultMemberUniqueName="[engagement].[Page URL].[All]" allUniqueName="[engagement].[Page URL].[All]" dimensionUniqueName="[engagement]" displayFolder="" count="0" memberValueDatatype="130" unbalanced="0"/>
    <cacheHierarchy uniqueName="[engagement].[Traffic source]" caption="Traffic source" attribute="1" defaultMemberUniqueName="[engagement].[Traffic source].[All]" allUniqueName="[engagement].[Traffic source].[All]" dimensionUniqueName="[engagement]" displayFolder="" count="0" memberValueDatatype="130" unbalanced="0"/>
    <cacheHierarchy uniqueName="[session_data].[SessionID]" caption="SessionID" attribute="1" defaultMemberUniqueName="[session_data].[SessionID].[All]" allUniqueName="[session_data].[SessionID].[All]" dimensionUniqueName="[session_data]" displayFolder="" count="0" memberValueDatatype="130" unbalanced="0"/>
    <cacheHierarchy uniqueName="[session_data].[UserID]" caption="UserID" attribute="1" defaultMemberUniqueName="[session_data].[UserID].[All]" allUniqueName="[session_data].[UserID].[All]" dimensionUniqueName="[session_data]" displayFolder="" count="0" memberValueDatatype="130" unbalanced="0"/>
    <cacheHierarchy uniqueName="[session_data].[Timestamp]" caption="Timestamp" attribute="1" time="1" defaultMemberUniqueName="[session_data].[Timestamp].[All]" allUniqueName="[session_data].[Timestamp].[All]" dimensionUniqueName="[session_data]" displayFolder="" count="0" memberValueDatatype="7" unbalanced="0"/>
    <cacheHierarchy uniqueName="[session_data].[Date]" caption="Date" attribute="1" time="1" defaultMemberUniqueName="[session_data].[Date].[All]" allUniqueName="[session_data].[Date].[All]" dimensionUniqueName="[session_data]" displayFolder="" count="0" memberValueDatatype="7" unbalanced="0"/>
    <cacheHierarchy uniqueName="[session_data].[Time]" caption="Time" attribute="1" time="1" defaultMemberUniqueName="[session_data].[Time].[All]" allUniqueName="[session_data].[Time].[All]" dimensionUniqueName="[session_data]" displayFolder="" count="0" memberValueDatatype="7" unbalanced="0"/>
    <cacheHierarchy uniqueName="[session_data].[Time_of_Day]" caption="Time_of_Day" attribute="1" defaultMemberUniqueName="[session_data].[Time_of_Day].[All]" allUniqueName="[session_data].[Time_of_Day].[All]" dimensionUniqueName="[session_data]" displayFolder="" count="2" memberValueDatatype="130" unbalanced="0">
      <fieldsUsage count="2">
        <fieldUsage x="-1"/>
        <fieldUsage x="1"/>
      </fieldsUsage>
    </cacheHierarchy>
    <cacheHierarchy uniqueName="[session_data].[Year]" caption="Year" attribute="1" defaultMemberUniqueName="[session_data].[Year].[All]" allUniqueName="[session_data].[Year].[All]" dimensionUniqueName="[session_data]" displayFolder="" count="2" memberValueDatatype="20" unbalanced="0"/>
    <cacheHierarchy uniqueName="[session_data].[Month]" caption="Month" attribute="1" defaultMemberUniqueName="[session_data].[Month].[All]" allUniqueName="[session_data].[Month].[All]" dimensionUniqueName="[session_data]" displayFolder="" count="0" memberValueDatatype="130" unbalanced="0"/>
    <cacheHierarchy uniqueName="[session_data].[Day]" caption="Day" attribute="1" defaultMemberUniqueName="[session_data].[Day].[All]" allUniqueName="[session_data].[Day].[All]" dimensionUniqueName="[session_data]" displayFolder="" count="0" memberValueDatatype="130" unbalanced="0"/>
    <cacheHierarchy uniqueName="[session_data].[Traffic Source]" caption="Traffic Source" attribute="1" defaultMemberUniqueName="[session_data].[Traffic Source].[All]" allUniqueName="[session_data].[Traffic Source].[All]" dimensionUniqueName="[session_data]" displayFolder="" count="2" memberValueDatatype="130" unbalanced="0"/>
    <cacheHierarchy uniqueName="[session_data].[Device Type]" caption="Device Type" attribute="1" defaultMemberUniqueName="[session_data].[Device Type].[All]" allUniqueName="[session_data].[Device Type].[All]" dimensionUniqueName="[session_data]" displayFolder="" count="2" memberValueDatatype="130" unbalanced="0">
      <fieldsUsage count="2">
        <fieldUsage x="-1"/>
        <fieldUsage x="3"/>
      </fieldsUsage>
    </cacheHierarchy>
    <cacheHierarchy uniqueName="[session_data].[State]" caption="State" attribute="1" defaultMemberUniqueName="[session_data].[State].[All]" allUniqueName="[session_data].[State].[All]" dimensionUniqueName="[session_data]" displayFolder="" count="0" memberValueDatatype="130" unbalanced="0"/>
    <cacheHierarchy uniqueName="[session_data].[Country]" caption="Country" attribute="1" defaultMemberUniqueName="[session_data].[Country].[All]" allUniqueName="[session_data].[Country].[All]" dimensionUniqueName="[session_data]" displayFolder="" count="0" memberValueDatatype="130" unbalanced="0"/>
    <cacheHierarchy uniqueName="[session_data].[User Type]" caption="User Type" attribute="1" defaultMemberUniqueName="[session_data].[User Type].[All]" allUniqueName="[session_data].[User Type].[All]" dimensionUniqueName="[session_data]" displayFolder="" count="2" memberValueDatatype="130" unbalanced="0">
      <fieldsUsage count="2">
        <fieldUsage x="-1"/>
        <fieldUsage x="2"/>
      </fieldsUsage>
    </cacheHierarchy>
    <cacheHierarchy uniqueName="[session_data].[User Gender]" caption="User Gender" attribute="1" defaultMemberUniqueName="[session_data].[User Gender].[All]" allUniqueName="[session_data].[User Gender].[All]" dimensionUniqueName="[session_data]" displayFolder="" count="0" memberValueDatatype="130" unbalanced="0"/>
    <cacheHierarchy uniqueName="[Measures].[Count of SessionID]" caption="Count of SessionID" measure="1" displayFolder="" measureGroup="session_data" count="0" oneField="1">
      <fieldsUsage count="1">
        <fieldUsage x="0"/>
      </fieldsUsage>
      <extLst>
        <ext xmlns:x15="http://schemas.microsoft.com/office/spreadsheetml/2010/11/main" uri="{B97F6D7D-B522-45F9-BDA1-12C45D357490}">
          <x15:cacheHierarchy aggregatedColumn="7"/>
        </ext>
      </extLst>
    </cacheHierarchy>
    <cacheHierarchy uniqueName="[Measures].[Distinct Count of SessionID]" caption="Distinct Count of SessionID" measure="1" displayFolder="" measureGroup="session_data" count="0">
      <extLst>
        <ext xmlns:x15="http://schemas.microsoft.com/office/spreadsheetml/2010/11/main" uri="{B97F6D7D-B522-45F9-BDA1-12C45D357490}">
          <x15:cacheHierarchy aggregatedColumn="7"/>
        </ext>
      </extLst>
    </cacheHierarchy>
    <cacheHierarchy uniqueName="[Measures].[Count of UserID]" caption="Count of UserID" measure="1" displayFolder="" measureGroup="session_data" count="0">
      <extLst>
        <ext xmlns:x15="http://schemas.microsoft.com/office/spreadsheetml/2010/11/main" uri="{B97F6D7D-B522-45F9-BDA1-12C45D357490}">
          <x15:cacheHierarchy aggregatedColumn="8"/>
        </ext>
      </extLst>
    </cacheHierarchy>
    <cacheHierarchy uniqueName="[Measures].[Distinct Count of UserID]" caption="Distinct Count of UserID" measure="1" displayFolder="" measureGroup="session_data" count="0">
      <extLst>
        <ext xmlns:x15="http://schemas.microsoft.com/office/spreadsheetml/2010/11/main" uri="{B97F6D7D-B522-45F9-BDA1-12C45D357490}">
          <x15:cacheHierarchy aggregatedColumn="8"/>
        </ext>
      </extLst>
    </cacheHierarchy>
    <cacheHierarchy uniqueName="[Measures].[Count of SessionID 2]" caption="Count of SessionID 2" measure="1" displayFolder="" measureGroup="engagement" count="0">
      <extLst>
        <ext xmlns:x15="http://schemas.microsoft.com/office/spreadsheetml/2010/11/main" uri="{B97F6D7D-B522-45F9-BDA1-12C45D357490}">
          <x15:cacheHierarchy aggregatedColumn="0"/>
        </ext>
      </extLst>
    </cacheHierarchy>
    <cacheHierarchy uniqueName="[Measures].[Sum of Conversion Flag]" caption="Sum of Conversion Flag" measure="1" displayFolder="" measureGroup="engagement" count="0">
      <extLst>
        <ext xmlns:x15="http://schemas.microsoft.com/office/spreadsheetml/2010/11/main" uri="{B97F6D7D-B522-45F9-BDA1-12C45D357490}">
          <x15:cacheHierarchy aggregatedColumn="4"/>
        </ext>
      </extLst>
    </cacheHierarchy>
    <cacheHierarchy uniqueName="[Measures].[Count of Traffic Source]" caption="Count of Traffic Source" measure="1" displayFolder="" measureGroup="session_data" count="0">
      <extLst>
        <ext xmlns:x15="http://schemas.microsoft.com/office/spreadsheetml/2010/11/main" uri="{B97F6D7D-B522-45F9-BDA1-12C45D357490}">
          <x15:cacheHierarchy aggregatedColumn="16"/>
        </ext>
      </extLst>
    </cacheHierarchy>
    <cacheHierarchy uniqueName="[Measures].[Sum of Session Duration]" caption="Sum of Session Duration" measure="1" displayFolder="" measureGroup="engagement" count="0">
      <extLst>
        <ext xmlns:x15="http://schemas.microsoft.com/office/spreadsheetml/2010/11/main" uri="{B97F6D7D-B522-45F9-BDA1-12C45D357490}">
          <x15:cacheHierarchy aggregatedColumn="1"/>
        </ext>
      </extLst>
    </cacheHierarchy>
    <cacheHierarchy uniqueName="[Measures].[Average of Session Duration]" caption="Average of Session Duration" measure="1" displayFolder="" measureGroup="engagement" count="0">
      <extLst>
        <ext xmlns:x15="http://schemas.microsoft.com/office/spreadsheetml/2010/11/main" uri="{B97F6D7D-B522-45F9-BDA1-12C45D357490}">
          <x15:cacheHierarchy aggregatedColumn="1"/>
        </ext>
      </extLst>
    </cacheHierarchy>
    <cacheHierarchy uniqueName="[Measures].[Conversion_Rate]" caption="Conversion_Rate" measure="1" displayFolder="" measureGroup="session_data" count="0"/>
    <cacheHierarchy uniqueName="[Measures].[__XL_Count session_data]" caption="__XL_Count session_data" measure="1" displayFolder="" measureGroup="session_data" count="0" hidden="1"/>
    <cacheHierarchy uniqueName="[Measures].[__XL_Count engagement]" caption="__XL_Count engagement" measure="1" displayFolder="" measureGroup="engagement" count="0" hidden="1"/>
    <cacheHierarchy uniqueName="[Measures].[__No measures defined]" caption="__No measures defined" measure="1" displayFolder="" count="0" hidden="1"/>
  </cacheHierarchies>
  <kpis count="0"/>
  <dimensions count="3">
    <dimension name="engagement" uniqueName="[engagement]" caption="engagement"/>
    <dimension measure="1" name="Measures" uniqueName="[Measures]" caption="Measures"/>
    <dimension name="session_data" uniqueName="[session_data]" caption="session_data"/>
  </dimensions>
  <measureGroups count="2">
    <measureGroup name="engagement" caption="engagement"/>
    <measureGroup name="session_data" caption="session_data"/>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8.065266782411" backgroundQuery="1" createdVersion="8" refreshedVersion="8" minRefreshableVersion="3" recordCount="0" supportSubquery="1" supportAdvancedDrill="1" xr:uid="{3F522419-7CF2-4CBD-9CA3-9FDCAD7EF3BC}">
  <cacheSource type="external" connectionId="1"/>
  <cacheFields count="4">
    <cacheField name="[Measures].[Count of SessionID]" caption="Count of SessionID" numFmtId="0" hierarchy="22" level="32767"/>
    <cacheField name="[session_data].[Time_of_Day].[Time_of_Day]" caption="Time_of_Day" numFmtId="0" hierarchy="12" level="1">
      <sharedItems count="4">
        <s v="Afternoon"/>
        <s v="Evening"/>
        <s v="Morning"/>
        <s v="Night"/>
      </sharedItems>
    </cacheField>
    <cacheField name="[session_data].[Country].[Country]" caption="Country" numFmtId="0" hierarchy="19" level="1">
      <sharedItems count="3">
        <s v="Canada"/>
        <s v="UK"/>
        <s v="USA"/>
      </sharedItems>
    </cacheField>
    <cacheField name="[session_data].[Device Type].[Device Type]" caption="Device Type" numFmtId="0" hierarchy="17" level="1">
      <sharedItems containsSemiMixedTypes="0" containsNonDate="0" containsString="0"/>
    </cacheField>
  </cacheFields>
  <cacheHierarchies count="35">
    <cacheHierarchy uniqueName="[engagement].[SessionID]" caption="SessionID" attribute="1" defaultMemberUniqueName="[engagement].[SessionID].[All]" allUniqueName="[engagement].[SessionID].[All]" dimensionUniqueName="[engagement]" displayFolder="" count="0" memberValueDatatype="130" unbalanced="0"/>
    <cacheHierarchy uniqueName="[engagement].[Session Duration]" caption="Session Duration" attribute="1" defaultMemberUniqueName="[engagement].[Session Duration].[All]" allUniqueName="[engagement].[Session Duration].[All]" dimensionUniqueName="[engagement]" displayFolder="" count="0" memberValueDatatype="20" unbalanced="0"/>
    <cacheHierarchy uniqueName="[engagement].[Page Views]" caption="Page Views" attribute="1" defaultMemberUniqueName="[engagement].[Page Views].[All]" allUniqueName="[engagement].[Page Views].[All]" dimensionUniqueName="[engagement]" displayFolder="" count="0" memberValueDatatype="20" unbalanced="0"/>
    <cacheHierarchy uniqueName="[engagement].[Unique Page Views]" caption="Unique Page Views" attribute="1" defaultMemberUniqueName="[engagement].[Unique Page Views].[All]" allUniqueName="[engagement].[Unique Page Views].[All]" dimensionUniqueName="[engagement]" displayFolder="" count="0" memberValueDatatype="20" unbalanced="0"/>
    <cacheHierarchy uniqueName="[engagement].[Conversion Flag]" caption="Conversion Flag" attribute="1" defaultMemberUniqueName="[engagement].[Conversion Flag].[All]" allUniqueName="[engagement].[Conversion Flag].[All]" dimensionUniqueName="[engagement]" displayFolder="" count="0" memberValueDatatype="20" unbalanced="0"/>
    <cacheHierarchy uniqueName="[engagement].[Page URL]" caption="Page URL" attribute="1" defaultMemberUniqueName="[engagement].[Page URL].[All]" allUniqueName="[engagement].[Page URL].[All]" dimensionUniqueName="[engagement]" displayFolder="" count="0" memberValueDatatype="130" unbalanced="0"/>
    <cacheHierarchy uniqueName="[engagement].[Traffic source]" caption="Traffic source" attribute="1" defaultMemberUniqueName="[engagement].[Traffic source].[All]" allUniqueName="[engagement].[Traffic source].[All]" dimensionUniqueName="[engagement]" displayFolder="" count="0" memberValueDatatype="130" unbalanced="0"/>
    <cacheHierarchy uniqueName="[session_data].[SessionID]" caption="SessionID" attribute="1" defaultMemberUniqueName="[session_data].[SessionID].[All]" allUniqueName="[session_data].[SessionID].[All]" dimensionUniqueName="[session_data]" displayFolder="" count="0" memberValueDatatype="130" unbalanced="0"/>
    <cacheHierarchy uniqueName="[session_data].[UserID]" caption="UserID" attribute="1" defaultMemberUniqueName="[session_data].[UserID].[All]" allUniqueName="[session_data].[UserID].[All]" dimensionUniqueName="[session_data]" displayFolder="" count="0" memberValueDatatype="130" unbalanced="0"/>
    <cacheHierarchy uniqueName="[session_data].[Timestamp]" caption="Timestamp" attribute="1" time="1" defaultMemberUniqueName="[session_data].[Timestamp].[All]" allUniqueName="[session_data].[Timestamp].[All]" dimensionUniqueName="[session_data]" displayFolder="" count="0" memberValueDatatype="7" unbalanced="0"/>
    <cacheHierarchy uniqueName="[session_data].[Date]" caption="Date" attribute="1" time="1" defaultMemberUniqueName="[session_data].[Date].[All]" allUniqueName="[session_data].[Date].[All]" dimensionUniqueName="[session_data]" displayFolder="" count="0" memberValueDatatype="7" unbalanced="0"/>
    <cacheHierarchy uniqueName="[session_data].[Time]" caption="Time" attribute="1" time="1" defaultMemberUniqueName="[session_data].[Time].[All]" allUniqueName="[session_data].[Time].[All]" dimensionUniqueName="[session_data]" displayFolder="" count="0" memberValueDatatype="7" unbalanced="0"/>
    <cacheHierarchy uniqueName="[session_data].[Time_of_Day]" caption="Time_of_Day" attribute="1" defaultMemberUniqueName="[session_data].[Time_of_Day].[All]" allUniqueName="[session_data].[Time_of_Day].[All]" dimensionUniqueName="[session_data]" displayFolder="" count="2" memberValueDatatype="130" unbalanced="0">
      <fieldsUsage count="2">
        <fieldUsage x="-1"/>
        <fieldUsage x="1"/>
      </fieldsUsage>
    </cacheHierarchy>
    <cacheHierarchy uniqueName="[session_data].[Year]" caption="Year" attribute="1" defaultMemberUniqueName="[session_data].[Year].[All]" allUniqueName="[session_data].[Year].[All]" dimensionUniqueName="[session_data]" displayFolder="" count="2" memberValueDatatype="20" unbalanced="0"/>
    <cacheHierarchy uniqueName="[session_data].[Month]" caption="Month" attribute="1" defaultMemberUniqueName="[session_data].[Month].[All]" allUniqueName="[session_data].[Month].[All]" dimensionUniqueName="[session_data]" displayFolder="" count="0" memberValueDatatype="130" unbalanced="0"/>
    <cacheHierarchy uniqueName="[session_data].[Day]" caption="Day" attribute="1" defaultMemberUniqueName="[session_data].[Day].[All]" allUniqueName="[session_data].[Day].[All]" dimensionUniqueName="[session_data]" displayFolder="" count="0" memberValueDatatype="130" unbalanced="0"/>
    <cacheHierarchy uniqueName="[session_data].[Traffic Source]" caption="Traffic Source" attribute="1" defaultMemberUniqueName="[session_data].[Traffic Source].[All]" allUniqueName="[session_data].[Traffic Source].[All]" dimensionUniqueName="[session_data]" displayFolder="" count="2" memberValueDatatype="130" unbalanced="0"/>
    <cacheHierarchy uniqueName="[session_data].[Device Type]" caption="Device Type" attribute="1" defaultMemberUniqueName="[session_data].[Device Type].[All]" allUniqueName="[session_data].[Device Type].[All]" dimensionUniqueName="[session_data]" displayFolder="" count="2" memberValueDatatype="130" unbalanced="0">
      <fieldsUsage count="2">
        <fieldUsage x="-1"/>
        <fieldUsage x="3"/>
      </fieldsUsage>
    </cacheHierarchy>
    <cacheHierarchy uniqueName="[session_data].[State]" caption="State" attribute="1" defaultMemberUniqueName="[session_data].[State].[All]" allUniqueName="[session_data].[State].[All]" dimensionUniqueName="[session_data]" displayFolder="" count="0" memberValueDatatype="130" unbalanced="0"/>
    <cacheHierarchy uniqueName="[session_data].[Country]" caption="Country" attribute="1" defaultMemberUniqueName="[session_data].[Country].[All]" allUniqueName="[session_data].[Country].[All]" dimensionUniqueName="[session_data]" displayFolder="" count="2" memberValueDatatype="130" unbalanced="0">
      <fieldsUsage count="2">
        <fieldUsage x="-1"/>
        <fieldUsage x="2"/>
      </fieldsUsage>
    </cacheHierarchy>
    <cacheHierarchy uniqueName="[session_data].[User Type]" caption="User Type" attribute="1" defaultMemberUniqueName="[session_data].[User Type].[All]" allUniqueName="[session_data].[User Type].[All]" dimensionUniqueName="[session_data]" displayFolder="" count="0" memberValueDatatype="130" unbalanced="0"/>
    <cacheHierarchy uniqueName="[session_data].[User Gender]" caption="User Gender" attribute="1" defaultMemberUniqueName="[session_data].[User Gender].[All]" allUniqueName="[session_data].[User Gender].[All]" dimensionUniqueName="[session_data]" displayFolder="" count="0" memberValueDatatype="130" unbalanced="0"/>
    <cacheHierarchy uniqueName="[Measures].[Count of SessionID]" caption="Count of SessionID" measure="1" displayFolder="" measureGroup="session_data" count="0" oneField="1">
      <fieldsUsage count="1">
        <fieldUsage x="0"/>
      </fieldsUsage>
      <extLst>
        <ext xmlns:x15="http://schemas.microsoft.com/office/spreadsheetml/2010/11/main" uri="{B97F6D7D-B522-45F9-BDA1-12C45D357490}">
          <x15:cacheHierarchy aggregatedColumn="7"/>
        </ext>
      </extLst>
    </cacheHierarchy>
    <cacheHierarchy uniqueName="[Measures].[Distinct Count of SessionID]" caption="Distinct Count of SessionID" measure="1" displayFolder="" measureGroup="session_data" count="0">
      <extLst>
        <ext xmlns:x15="http://schemas.microsoft.com/office/spreadsheetml/2010/11/main" uri="{B97F6D7D-B522-45F9-BDA1-12C45D357490}">
          <x15:cacheHierarchy aggregatedColumn="7"/>
        </ext>
      </extLst>
    </cacheHierarchy>
    <cacheHierarchy uniqueName="[Measures].[Count of UserID]" caption="Count of UserID" measure="1" displayFolder="" measureGroup="session_data" count="0">
      <extLst>
        <ext xmlns:x15="http://schemas.microsoft.com/office/spreadsheetml/2010/11/main" uri="{B97F6D7D-B522-45F9-BDA1-12C45D357490}">
          <x15:cacheHierarchy aggregatedColumn="8"/>
        </ext>
      </extLst>
    </cacheHierarchy>
    <cacheHierarchy uniqueName="[Measures].[Distinct Count of UserID]" caption="Distinct Count of UserID" measure="1" displayFolder="" measureGroup="session_data" count="0">
      <extLst>
        <ext xmlns:x15="http://schemas.microsoft.com/office/spreadsheetml/2010/11/main" uri="{B97F6D7D-B522-45F9-BDA1-12C45D357490}">
          <x15:cacheHierarchy aggregatedColumn="8"/>
        </ext>
      </extLst>
    </cacheHierarchy>
    <cacheHierarchy uniqueName="[Measures].[Count of SessionID 2]" caption="Count of SessionID 2" measure="1" displayFolder="" measureGroup="engagement" count="0">
      <extLst>
        <ext xmlns:x15="http://schemas.microsoft.com/office/spreadsheetml/2010/11/main" uri="{B97F6D7D-B522-45F9-BDA1-12C45D357490}">
          <x15:cacheHierarchy aggregatedColumn="0"/>
        </ext>
      </extLst>
    </cacheHierarchy>
    <cacheHierarchy uniqueName="[Measures].[Sum of Conversion Flag]" caption="Sum of Conversion Flag" measure="1" displayFolder="" measureGroup="engagement" count="0">
      <extLst>
        <ext xmlns:x15="http://schemas.microsoft.com/office/spreadsheetml/2010/11/main" uri="{B97F6D7D-B522-45F9-BDA1-12C45D357490}">
          <x15:cacheHierarchy aggregatedColumn="4"/>
        </ext>
      </extLst>
    </cacheHierarchy>
    <cacheHierarchy uniqueName="[Measures].[Count of Traffic Source]" caption="Count of Traffic Source" measure="1" displayFolder="" measureGroup="session_data" count="0">
      <extLst>
        <ext xmlns:x15="http://schemas.microsoft.com/office/spreadsheetml/2010/11/main" uri="{B97F6D7D-B522-45F9-BDA1-12C45D357490}">
          <x15:cacheHierarchy aggregatedColumn="16"/>
        </ext>
      </extLst>
    </cacheHierarchy>
    <cacheHierarchy uniqueName="[Measures].[Sum of Session Duration]" caption="Sum of Session Duration" measure="1" displayFolder="" measureGroup="engagement" count="0">
      <extLst>
        <ext xmlns:x15="http://schemas.microsoft.com/office/spreadsheetml/2010/11/main" uri="{B97F6D7D-B522-45F9-BDA1-12C45D357490}">
          <x15:cacheHierarchy aggregatedColumn="1"/>
        </ext>
      </extLst>
    </cacheHierarchy>
    <cacheHierarchy uniqueName="[Measures].[Average of Session Duration]" caption="Average of Session Duration" measure="1" displayFolder="" measureGroup="engagement" count="0">
      <extLst>
        <ext xmlns:x15="http://schemas.microsoft.com/office/spreadsheetml/2010/11/main" uri="{B97F6D7D-B522-45F9-BDA1-12C45D357490}">
          <x15:cacheHierarchy aggregatedColumn="1"/>
        </ext>
      </extLst>
    </cacheHierarchy>
    <cacheHierarchy uniqueName="[Measures].[Conversion_Rate]" caption="Conversion_Rate" measure="1" displayFolder="" measureGroup="session_data" count="0"/>
    <cacheHierarchy uniqueName="[Measures].[__XL_Count session_data]" caption="__XL_Count session_data" measure="1" displayFolder="" measureGroup="session_data" count="0" hidden="1"/>
    <cacheHierarchy uniqueName="[Measures].[__XL_Count engagement]" caption="__XL_Count engagement" measure="1" displayFolder="" measureGroup="engagement" count="0" hidden="1"/>
    <cacheHierarchy uniqueName="[Measures].[__No measures defined]" caption="__No measures defined" measure="1" displayFolder="" count="0" hidden="1"/>
  </cacheHierarchies>
  <kpis count="0"/>
  <dimensions count="3">
    <dimension name="engagement" uniqueName="[engagement]" caption="engagement"/>
    <dimension measure="1" name="Measures" uniqueName="[Measures]" caption="Measures"/>
    <dimension name="session_data" uniqueName="[session_data]" caption="session_data"/>
  </dimensions>
  <measureGroups count="2">
    <measureGroup name="engagement" caption="engagement"/>
    <measureGroup name="session_data" caption="session_data"/>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8.065267592596" backgroundQuery="1" createdVersion="8" refreshedVersion="8" minRefreshableVersion="3" recordCount="0" supportSubquery="1" supportAdvancedDrill="1" xr:uid="{E947EECF-B732-4472-A2F2-5390D5B7A4E9}">
  <cacheSource type="external" connectionId="1"/>
  <cacheFields count="2">
    <cacheField name="[Measures].[Distinct Count of UserID]" caption="Distinct Count of UserID" numFmtId="0" hierarchy="25" level="32767"/>
    <cacheField name="[session_data].[Device Type].[Device Type]" caption="Device Type" numFmtId="0" hierarchy="17" level="1">
      <sharedItems containsSemiMixedTypes="0" containsNonDate="0" containsString="0"/>
    </cacheField>
  </cacheFields>
  <cacheHierarchies count="35">
    <cacheHierarchy uniqueName="[engagement].[SessionID]" caption="SessionID" attribute="1" defaultMemberUniqueName="[engagement].[SessionID].[All]" allUniqueName="[engagement].[SessionID].[All]" dimensionUniqueName="[engagement]" displayFolder="" count="0" memberValueDatatype="130" unbalanced="0"/>
    <cacheHierarchy uniqueName="[engagement].[Session Duration]" caption="Session Duration" attribute="1" defaultMemberUniqueName="[engagement].[Session Duration].[All]" allUniqueName="[engagement].[Session Duration].[All]" dimensionUniqueName="[engagement]" displayFolder="" count="0" memberValueDatatype="20" unbalanced="0"/>
    <cacheHierarchy uniqueName="[engagement].[Page Views]" caption="Page Views" attribute="1" defaultMemberUniqueName="[engagement].[Page Views].[All]" allUniqueName="[engagement].[Page Views].[All]" dimensionUniqueName="[engagement]" displayFolder="" count="0" memberValueDatatype="20" unbalanced="0"/>
    <cacheHierarchy uniqueName="[engagement].[Unique Page Views]" caption="Unique Page Views" attribute="1" defaultMemberUniqueName="[engagement].[Unique Page Views].[All]" allUniqueName="[engagement].[Unique Page Views].[All]" dimensionUniqueName="[engagement]" displayFolder="" count="0" memberValueDatatype="20" unbalanced="0"/>
    <cacheHierarchy uniqueName="[engagement].[Conversion Flag]" caption="Conversion Flag" attribute="1" defaultMemberUniqueName="[engagement].[Conversion Flag].[All]" allUniqueName="[engagement].[Conversion Flag].[All]" dimensionUniqueName="[engagement]" displayFolder="" count="0" memberValueDatatype="20" unbalanced="0"/>
    <cacheHierarchy uniqueName="[engagement].[Page URL]" caption="Page URL" attribute="1" defaultMemberUniqueName="[engagement].[Page URL].[All]" allUniqueName="[engagement].[Page URL].[All]" dimensionUniqueName="[engagement]" displayFolder="" count="0" memberValueDatatype="130" unbalanced="0"/>
    <cacheHierarchy uniqueName="[engagement].[Traffic source]" caption="Traffic source" attribute="1" defaultMemberUniqueName="[engagement].[Traffic source].[All]" allUniqueName="[engagement].[Traffic source].[All]" dimensionUniqueName="[engagement]" displayFolder="" count="0" memberValueDatatype="130" unbalanced="0"/>
    <cacheHierarchy uniqueName="[session_data].[SessionID]" caption="SessionID" attribute="1" defaultMemberUniqueName="[session_data].[SessionID].[All]" allUniqueName="[session_data].[SessionID].[All]" dimensionUniqueName="[session_data]" displayFolder="" count="0" memberValueDatatype="130" unbalanced="0"/>
    <cacheHierarchy uniqueName="[session_data].[UserID]" caption="UserID" attribute="1" defaultMemberUniqueName="[session_data].[UserID].[All]" allUniqueName="[session_data].[UserID].[All]" dimensionUniqueName="[session_data]" displayFolder="" count="0" memberValueDatatype="130" unbalanced="0"/>
    <cacheHierarchy uniqueName="[session_data].[Timestamp]" caption="Timestamp" attribute="1" time="1" defaultMemberUniqueName="[session_data].[Timestamp].[All]" allUniqueName="[session_data].[Timestamp].[All]" dimensionUniqueName="[session_data]" displayFolder="" count="0" memberValueDatatype="7" unbalanced="0"/>
    <cacheHierarchy uniqueName="[session_data].[Date]" caption="Date" attribute="1" time="1" defaultMemberUniqueName="[session_data].[Date].[All]" allUniqueName="[session_data].[Date].[All]" dimensionUniqueName="[session_data]" displayFolder="" count="0" memberValueDatatype="7" unbalanced="0"/>
    <cacheHierarchy uniqueName="[session_data].[Time]" caption="Time" attribute="1" time="1" defaultMemberUniqueName="[session_data].[Time].[All]" allUniqueName="[session_data].[Time].[All]" dimensionUniqueName="[session_data]" displayFolder="" count="0" memberValueDatatype="7" unbalanced="0"/>
    <cacheHierarchy uniqueName="[session_data].[Time_of_Day]" caption="Time_of_Day" attribute="1" defaultMemberUniqueName="[session_data].[Time_of_Day].[All]" allUniqueName="[session_data].[Time_of_Day].[All]" dimensionUniqueName="[session_data]" displayFolder="" count="0" memberValueDatatype="130" unbalanced="0"/>
    <cacheHierarchy uniqueName="[session_data].[Year]" caption="Year" attribute="1" defaultMemberUniqueName="[session_data].[Year].[All]" allUniqueName="[session_data].[Year].[All]" dimensionUniqueName="[session_data]" displayFolder="" count="2" memberValueDatatype="20" unbalanced="0"/>
    <cacheHierarchy uniqueName="[session_data].[Month]" caption="Month" attribute="1" defaultMemberUniqueName="[session_data].[Month].[All]" allUniqueName="[session_data].[Month].[All]" dimensionUniqueName="[session_data]" displayFolder="" count="0" memberValueDatatype="130" unbalanced="0"/>
    <cacheHierarchy uniqueName="[session_data].[Day]" caption="Day" attribute="1" defaultMemberUniqueName="[session_data].[Day].[All]" allUniqueName="[session_data].[Day].[All]" dimensionUniqueName="[session_data]" displayFolder="" count="0" memberValueDatatype="130" unbalanced="0"/>
    <cacheHierarchy uniqueName="[session_data].[Traffic Source]" caption="Traffic Source" attribute="1" defaultMemberUniqueName="[session_data].[Traffic Source].[All]" allUniqueName="[session_data].[Traffic Source].[All]" dimensionUniqueName="[session_data]" displayFolder="" count="2" memberValueDatatype="130" unbalanced="0"/>
    <cacheHierarchy uniqueName="[session_data].[Device Type]" caption="Device Type" attribute="1" defaultMemberUniqueName="[session_data].[Device Type].[All]" allUniqueName="[session_data].[Device Type].[All]" dimensionUniqueName="[session_data]" displayFolder="" count="2" memberValueDatatype="130" unbalanced="0">
      <fieldsUsage count="2">
        <fieldUsage x="-1"/>
        <fieldUsage x="1"/>
      </fieldsUsage>
    </cacheHierarchy>
    <cacheHierarchy uniqueName="[session_data].[State]" caption="State" attribute="1" defaultMemberUniqueName="[session_data].[State].[All]" allUniqueName="[session_data].[State].[All]" dimensionUniqueName="[session_data]" displayFolder="" count="0" memberValueDatatype="130" unbalanced="0"/>
    <cacheHierarchy uniqueName="[session_data].[Country]" caption="Country" attribute="1" defaultMemberUniqueName="[session_data].[Country].[All]" allUniqueName="[session_data].[Country].[All]" dimensionUniqueName="[session_data]" displayFolder="" count="0" memberValueDatatype="130" unbalanced="0"/>
    <cacheHierarchy uniqueName="[session_data].[User Type]" caption="User Type" attribute="1" defaultMemberUniqueName="[session_data].[User Type].[All]" allUniqueName="[session_data].[User Type].[All]" dimensionUniqueName="[session_data]" displayFolder="" count="0" memberValueDatatype="130" unbalanced="0"/>
    <cacheHierarchy uniqueName="[session_data].[User Gender]" caption="User Gender" attribute="1" defaultMemberUniqueName="[session_data].[User Gender].[All]" allUniqueName="[session_data].[User Gender].[All]" dimensionUniqueName="[session_data]" displayFolder="" count="0" memberValueDatatype="130" unbalanced="0"/>
    <cacheHierarchy uniqueName="[Measures].[Count of SessionID]" caption="Count of SessionID" measure="1" displayFolder="" measureGroup="session_data" count="0">
      <extLst>
        <ext xmlns:x15="http://schemas.microsoft.com/office/spreadsheetml/2010/11/main" uri="{B97F6D7D-B522-45F9-BDA1-12C45D357490}">
          <x15:cacheHierarchy aggregatedColumn="7"/>
        </ext>
      </extLst>
    </cacheHierarchy>
    <cacheHierarchy uniqueName="[Measures].[Distinct Count of SessionID]" caption="Distinct Count of SessionID" measure="1" displayFolder="" measureGroup="session_data" count="0">
      <extLst>
        <ext xmlns:x15="http://schemas.microsoft.com/office/spreadsheetml/2010/11/main" uri="{B97F6D7D-B522-45F9-BDA1-12C45D357490}">
          <x15:cacheHierarchy aggregatedColumn="7"/>
        </ext>
      </extLst>
    </cacheHierarchy>
    <cacheHierarchy uniqueName="[Measures].[Count of UserID]" caption="Count of UserID" measure="1" displayFolder="" measureGroup="session_data" count="0">
      <extLst>
        <ext xmlns:x15="http://schemas.microsoft.com/office/spreadsheetml/2010/11/main" uri="{B97F6D7D-B522-45F9-BDA1-12C45D357490}">
          <x15:cacheHierarchy aggregatedColumn="8"/>
        </ext>
      </extLst>
    </cacheHierarchy>
    <cacheHierarchy uniqueName="[Measures].[Distinct Count of UserID]" caption="Distinct Count of UserID" measure="1" displayFolder="" measureGroup="session_data" count="0" oneField="1">
      <fieldsUsage count="1">
        <fieldUsage x="0"/>
      </fieldsUsage>
      <extLst>
        <ext xmlns:x15="http://schemas.microsoft.com/office/spreadsheetml/2010/11/main" uri="{B97F6D7D-B522-45F9-BDA1-12C45D357490}">
          <x15:cacheHierarchy aggregatedColumn="8"/>
        </ext>
      </extLst>
    </cacheHierarchy>
    <cacheHierarchy uniqueName="[Measures].[Count of SessionID 2]" caption="Count of SessionID 2" measure="1" displayFolder="" measureGroup="engagement" count="0">
      <extLst>
        <ext xmlns:x15="http://schemas.microsoft.com/office/spreadsheetml/2010/11/main" uri="{B97F6D7D-B522-45F9-BDA1-12C45D357490}">
          <x15:cacheHierarchy aggregatedColumn="0"/>
        </ext>
      </extLst>
    </cacheHierarchy>
    <cacheHierarchy uniqueName="[Measures].[Sum of Conversion Flag]" caption="Sum of Conversion Flag" measure="1" displayFolder="" measureGroup="engagement" count="0">
      <extLst>
        <ext xmlns:x15="http://schemas.microsoft.com/office/spreadsheetml/2010/11/main" uri="{B97F6D7D-B522-45F9-BDA1-12C45D357490}">
          <x15:cacheHierarchy aggregatedColumn="4"/>
        </ext>
      </extLst>
    </cacheHierarchy>
    <cacheHierarchy uniqueName="[Measures].[Count of Traffic Source]" caption="Count of Traffic Source" measure="1" displayFolder="" measureGroup="session_data" count="0">
      <extLst>
        <ext xmlns:x15="http://schemas.microsoft.com/office/spreadsheetml/2010/11/main" uri="{B97F6D7D-B522-45F9-BDA1-12C45D357490}">
          <x15:cacheHierarchy aggregatedColumn="16"/>
        </ext>
      </extLst>
    </cacheHierarchy>
    <cacheHierarchy uniqueName="[Measures].[Sum of Session Duration]" caption="Sum of Session Duration" measure="1" displayFolder="" measureGroup="engagement" count="0">
      <extLst>
        <ext xmlns:x15="http://schemas.microsoft.com/office/spreadsheetml/2010/11/main" uri="{B97F6D7D-B522-45F9-BDA1-12C45D357490}">
          <x15:cacheHierarchy aggregatedColumn="1"/>
        </ext>
      </extLst>
    </cacheHierarchy>
    <cacheHierarchy uniqueName="[Measures].[Average of Session Duration]" caption="Average of Session Duration" measure="1" displayFolder="" measureGroup="engagement" count="0">
      <extLst>
        <ext xmlns:x15="http://schemas.microsoft.com/office/spreadsheetml/2010/11/main" uri="{B97F6D7D-B522-45F9-BDA1-12C45D357490}">
          <x15:cacheHierarchy aggregatedColumn="1"/>
        </ext>
      </extLst>
    </cacheHierarchy>
    <cacheHierarchy uniqueName="[Measures].[Conversion_Rate]" caption="Conversion_Rate" measure="1" displayFolder="" measureGroup="session_data" count="0"/>
    <cacheHierarchy uniqueName="[Measures].[__XL_Count session_data]" caption="__XL_Count session_data" measure="1" displayFolder="" measureGroup="session_data" count="0" hidden="1"/>
    <cacheHierarchy uniqueName="[Measures].[__XL_Count engagement]" caption="__XL_Count engagement" measure="1" displayFolder="" measureGroup="engagement" count="0" hidden="1"/>
    <cacheHierarchy uniqueName="[Measures].[__No measures defined]" caption="__No measures defined" measure="1" displayFolder="" count="0" hidden="1"/>
  </cacheHierarchies>
  <kpis count="0"/>
  <dimensions count="3">
    <dimension name="engagement" uniqueName="[engagement]" caption="engagement"/>
    <dimension measure="1" name="Measures" uniqueName="[Measures]" caption="Measures"/>
    <dimension name="session_data" uniqueName="[session_data]" caption="session_data"/>
  </dimensions>
  <measureGroups count="2">
    <measureGroup name="engagement" caption="engagement"/>
    <measureGroup name="session_data" caption="session_data"/>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8.065268634258" backgroundQuery="1" createdVersion="8" refreshedVersion="8" minRefreshableVersion="3" recordCount="0" supportSubquery="1" supportAdvancedDrill="1" xr:uid="{407CC84E-1488-4326-867B-A18644DAC873}">
  <cacheSource type="external" connectionId="1"/>
  <cacheFields count="3">
    <cacheField name="[session_data].[User Type].[User Type]" caption="User Type" numFmtId="0" hierarchy="20" level="1">
      <sharedItems count="2">
        <s v="New"/>
        <s v="Returning"/>
      </sharedItems>
    </cacheField>
    <cacheField name="[Measures].[Count of SessionID]" caption="Count of SessionID" numFmtId="0" hierarchy="22" level="32767"/>
    <cacheField name="[session_data].[Device Type].[Device Type]" caption="Device Type" numFmtId="0" hierarchy="17" level="1">
      <sharedItems containsSemiMixedTypes="0" containsNonDate="0" containsString="0"/>
    </cacheField>
  </cacheFields>
  <cacheHierarchies count="35">
    <cacheHierarchy uniqueName="[engagement].[SessionID]" caption="SessionID" attribute="1" defaultMemberUniqueName="[engagement].[SessionID].[All]" allUniqueName="[engagement].[SessionID].[All]" dimensionUniqueName="[engagement]" displayFolder="" count="0" memberValueDatatype="130" unbalanced="0"/>
    <cacheHierarchy uniqueName="[engagement].[Session Duration]" caption="Session Duration" attribute="1" defaultMemberUniqueName="[engagement].[Session Duration].[All]" allUniqueName="[engagement].[Session Duration].[All]" dimensionUniqueName="[engagement]" displayFolder="" count="0" memberValueDatatype="20" unbalanced="0"/>
    <cacheHierarchy uniqueName="[engagement].[Page Views]" caption="Page Views" attribute="1" defaultMemberUniqueName="[engagement].[Page Views].[All]" allUniqueName="[engagement].[Page Views].[All]" dimensionUniqueName="[engagement]" displayFolder="" count="0" memberValueDatatype="20" unbalanced="0"/>
    <cacheHierarchy uniqueName="[engagement].[Unique Page Views]" caption="Unique Page Views" attribute="1" defaultMemberUniqueName="[engagement].[Unique Page Views].[All]" allUniqueName="[engagement].[Unique Page Views].[All]" dimensionUniqueName="[engagement]" displayFolder="" count="0" memberValueDatatype="20" unbalanced="0"/>
    <cacheHierarchy uniqueName="[engagement].[Conversion Flag]" caption="Conversion Flag" attribute="1" defaultMemberUniqueName="[engagement].[Conversion Flag].[All]" allUniqueName="[engagement].[Conversion Flag].[All]" dimensionUniqueName="[engagement]" displayFolder="" count="0" memberValueDatatype="20" unbalanced="0"/>
    <cacheHierarchy uniqueName="[engagement].[Page URL]" caption="Page URL" attribute="1" defaultMemberUniqueName="[engagement].[Page URL].[All]" allUniqueName="[engagement].[Page URL].[All]" dimensionUniqueName="[engagement]" displayFolder="" count="0" memberValueDatatype="130" unbalanced="0"/>
    <cacheHierarchy uniqueName="[engagement].[Traffic source]" caption="Traffic source" attribute="1" defaultMemberUniqueName="[engagement].[Traffic source].[All]" allUniqueName="[engagement].[Traffic source].[All]" dimensionUniqueName="[engagement]" displayFolder="" count="0" memberValueDatatype="130" unbalanced="0"/>
    <cacheHierarchy uniqueName="[session_data].[SessionID]" caption="SessionID" attribute="1" defaultMemberUniqueName="[session_data].[SessionID].[All]" allUniqueName="[session_data].[SessionID].[All]" dimensionUniqueName="[session_data]" displayFolder="" count="0" memberValueDatatype="130" unbalanced="0"/>
    <cacheHierarchy uniqueName="[session_data].[UserID]" caption="UserID" attribute="1" defaultMemberUniqueName="[session_data].[UserID].[All]" allUniqueName="[session_data].[UserID].[All]" dimensionUniqueName="[session_data]" displayFolder="" count="0" memberValueDatatype="130" unbalanced="0"/>
    <cacheHierarchy uniqueName="[session_data].[Timestamp]" caption="Timestamp" attribute="1" time="1" defaultMemberUniqueName="[session_data].[Timestamp].[All]" allUniqueName="[session_data].[Timestamp].[All]" dimensionUniqueName="[session_data]" displayFolder="" count="0" memberValueDatatype="7" unbalanced="0"/>
    <cacheHierarchy uniqueName="[session_data].[Date]" caption="Date" attribute="1" time="1" defaultMemberUniqueName="[session_data].[Date].[All]" allUniqueName="[session_data].[Date].[All]" dimensionUniqueName="[session_data]" displayFolder="" count="0" memberValueDatatype="7" unbalanced="0"/>
    <cacheHierarchy uniqueName="[session_data].[Time]" caption="Time" attribute="1" time="1" defaultMemberUniqueName="[session_data].[Time].[All]" allUniqueName="[session_data].[Time].[All]" dimensionUniqueName="[session_data]" displayFolder="" count="0" memberValueDatatype="7" unbalanced="0"/>
    <cacheHierarchy uniqueName="[session_data].[Time_of_Day]" caption="Time_of_Day" attribute="1" defaultMemberUniqueName="[session_data].[Time_of_Day].[All]" allUniqueName="[session_data].[Time_of_Day].[All]" dimensionUniqueName="[session_data]" displayFolder="" count="0" memberValueDatatype="130" unbalanced="0"/>
    <cacheHierarchy uniqueName="[session_data].[Year]" caption="Year" attribute="1" defaultMemberUniqueName="[session_data].[Year].[All]" allUniqueName="[session_data].[Year].[All]" dimensionUniqueName="[session_data]" displayFolder="" count="2" memberValueDatatype="20" unbalanced="0"/>
    <cacheHierarchy uniqueName="[session_data].[Month]" caption="Month" attribute="1" defaultMemberUniqueName="[session_data].[Month].[All]" allUniqueName="[session_data].[Month].[All]" dimensionUniqueName="[session_data]" displayFolder="" count="0" memberValueDatatype="130" unbalanced="0"/>
    <cacheHierarchy uniqueName="[session_data].[Day]" caption="Day" attribute="1" defaultMemberUniqueName="[session_data].[Day].[All]" allUniqueName="[session_data].[Day].[All]" dimensionUniqueName="[session_data]" displayFolder="" count="0" memberValueDatatype="130" unbalanced="0"/>
    <cacheHierarchy uniqueName="[session_data].[Traffic Source]" caption="Traffic Source" attribute="1" defaultMemberUniqueName="[session_data].[Traffic Source].[All]" allUniqueName="[session_data].[Traffic Source].[All]" dimensionUniqueName="[session_data]" displayFolder="" count="2" memberValueDatatype="130" unbalanced="0"/>
    <cacheHierarchy uniqueName="[session_data].[Device Type]" caption="Device Type" attribute="1" defaultMemberUniqueName="[session_data].[Device Type].[All]" allUniqueName="[session_data].[Device Type].[All]" dimensionUniqueName="[session_data]" displayFolder="" count="2" memberValueDatatype="130" unbalanced="0">
      <fieldsUsage count="2">
        <fieldUsage x="-1"/>
        <fieldUsage x="2"/>
      </fieldsUsage>
    </cacheHierarchy>
    <cacheHierarchy uniqueName="[session_data].[State]" caption="State" attribute="1" defaultMemberUniqueName="[session_data].[State].[All]" allUniqueName="[session_data].[State].[All]" dimensionUniqueName="[session_data]" displayFolder="" count="0" memberValueDatatype="130" unbalanced="0"/>
    <cacheHierarchy uniqueName="[session_data].[Country]" caption="Country" attribute="1" defaultMemberUniqueName="[session_data].[Country].[All]" allUniqueName="[session_data].[Country].[All]" dimensionUniqueName="[session_data]" displayFolder="" count="0" memberValueDatatype="130" unbalanced="0"/>
    <cacheHierarchy uniqueName="[session_data].[User Type]" caption="User Type" attribute="1" defaultMemberUniqueName="[session_data].[User Type].[All]" allUniqueName="[session_data].[User Type].[All]" dimensionUniqueName="[session_data]" displayFolder="" count="2" memberValueDatatype="130" unbalanced="0">
      <fieldsUsage count="2">
        <fieldUsage x="-1"/>
        <fieldUsage x="0"/>
      </fieldsUsage>
    </cacheHierarchy>
    <cacheHierarchy uniqueName="[session_data].[User Gender]" caption="User Gender" attribute="1" defaultMemberUniqueName="[session_data].[User Gender].[All]" allUniqueName="[session_data].[User Gender].[All]" dimensionUniqueName="[session_data]" displayFolder="" count="0" memberValueDatatype="130" unbalanced="0"/>
    <cacheHierarchy uniqueName="[Measures].[Count of SessionID]" caption="Count of SessionID" measure="1" displayFolder="" measureGroup="session_data" count="0" oneField="1">
      <fieldsUsage count="1">
        <fieldUsage x="1"/>
      </fieldsUsage>
      <extLst>
        <ext xmlns:x15="http://schemas.microsoft.com/office/spreadsheetml/2010/11/main" uri="{B97F6D7D-B522-45F9-BDA1-12C45D357490}">
          <x15:cacheHierarchy aggregatedColumn="7"/>
        </ext>
      </extLst>
    </cacheHierarchy>
    <cacheHierarchy uniqueName="[Measures].[Distinct Count of SessionID]" caption="Distinct Count of SessionID" measure="1" displayFolder="" measureGroup="session_data" count="0">
      <extLst>
        <ext xmlns:x15="http://schemas.microsoft.com/office/spreadsheetml/2010/11/main" uri="{B97F6D7D-B522-45F9-BDA1-12C45D357490}">
          <x15:cacheHierarchy aggregatedColumn="7"/>
        </ext>
      </extLst>
    </cacheHierarchy>
    <cacheHierarchy uniqueName="[Measures].[Count of UserID]" caption="Count of UserID" measure="1" displayFolder="" measureGroup="session_data" count="0">
      <extLst>
        <ext xmlns:x15="http://schemas.microsoft.com/office/spreadsheetml/2010/11/main" uri="{B97F6D7D-B522-45F9-BDA1-12C45D357490}">
          <x15:cacheHierarchy aggregatedColumn="8"/>
        </ext>
      </extLst>
    </cacheHierarchy>
    <cacheHierarchy uniqueName="[Measures].[Distinct Count of UserID]" caption="Distinct Count of UserID" measure="1" displayFolder="" measureGroup="session_data" count="0">
      <extLst>
        <ext xmlns:x15="http://schemas.microsoft.com/office/spreadsheetml/2010/11/main" uri="{B97F6D7D-B522-45F9-BDA1-12C45D357490}">
          <x15:cacheHierarchy aggregatedColumn="8"/>
        </ext>
      </extLst>
    </cacheHierarchy>
    <cacheHierarchy uniqueName="[Measures].[Count of SessionID 2]" caption="Count of SessionID 2" measure="1" displayFolder="" measureGroup="engagement" count="0">
      <extLst>
        <ext xmlns:x15="http://schemas.microsoft.com/office/spreadsheetml/2010/11/main" uri="{B97F6D7D-B522-45F9-BDA1-12C45D357490}">
          <x15:cacheHierarchy aggregatedColumn="0"/>
        </ext>
      </extLst>
    </cacheHierarchy>
    <cacheHierarchy uniqueName="[Measures].[Sum of Conversion Flag]" caption="Sum of Conversion Flag" measure="1" displayFolder="" measureGroup="engagement" count="0">
      <extLst>
        <ext xmlns:x15="http://schemas.microsoft.com/office/spreadsheetml/2010/11/main" uri="{B97F6D7D-B522-45F9-BDA1-12C45D357490}">
          <x15:cacheHierarchy aggregatedColumn="4"/>
        </ext>
      </extLst>
    </cacheHierarchy>
    <cacheHierarchy uniqueName="[Measures].[Count of Traffic Source]" caption="Count of Traffic Source" measure="1" displayFolder="" measureGroup="session_data" count="0">
      <extLst>
        <ext xmlns:x15="http://schemas.microsoft.com/office/spreadsheetml/2010/11/main" uri="{B97F6D7D-B522-45F9-BDA1-12C45D357490}">
          <x15:cacheHierarchy aggregatedColumn="16"/>
        </ext>
      </extLst>
    </cacheHierarchy>
    <cacheHierarchy uniqueName="[Measures].[Sum of Session Duration]" caption="Sum of Session Duration" measure="1" displayFolder="" measureGroup="engagement" count="0">
      <extLst>
        <ext xmlns:x15="http://schemas.microsoft.com/office/spreadsheetml/2010/11/main" uri="{B97F6D7D-B522-45F9-BDA1-12C45D357490}">
          <x15:cacheHierarchy aggregatedColumn="1"/>
        </ext>
      </extLst>
    </cacheHierarchy>
    <cacheHierarchy uniqueName="[Measures].[Average of Session Duration]" caption="Average of Session Duration" measure="1" displayFolder="" measureGroup="engagement" count="0">
      <extLst>
        <ext xmlns:x15="http://schemas.microsoft.com/office/spreadsheetml/2010/11/main" uri="{B97F6D7D-B522-45F9-BDA1-12C45D357490}">
          <x15:cacheHierarchy aggregatedColumn="1"/>
        </ext>
      </extLst>
    </cacheHierarchy>
    <cacheHierarchy uniqueName="[Measures].[Conversion_Rate]" caption="Conversion_Rate" measure="1" displayFolder="" measureGroup="session_data" count="0"/>
    <cacheHierarchy uniqueName="[Measures].[__XL_Count session_data]" caption="__XL_Count session_data" measure="1" displayFolder="" measureGroup="session_data" count="0" hidden="1"/>
    <cacheHierarchy uniqueName="[Measures].[__XL_Count engagement]" caption="__XL_Count engagement" measure="1" displayFolder="" measureGroup="engagement" count="0" hidden="1"/>
    <cacheHierarchy uniqueName="[Measures].[__No measures defined]" caption="__No measures defined" measure="1" displayFolder="" count="0" hidden="1"/>
  </cacheHierarchies>
  <kpis count="0"/>
  <dimensions count="3">
    <dimension name="engagement" uniqueName="[engagement]" caption="engagement"/>
    <dimension measure="1" name="Measures" uniqueName="[Measures]" caption="Measures"/>
    <dimension name="session_data" uniqueName="[session_data]" caption="session_data"/>
  </dimensions>
  <measureGroups count="2">
    <measureGroup name="engagement" caption="engagement"/>
    <measureGroup name="session_data" caption="session_data"/>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8.065270023151" backgroundQuery="1" createdVersion="8" refreshedVersion="8" minRefreshableVersion="3" recordCount="0" supportSubquery="1" supportAdvancedDrill="1" xr:uid="{E9C318FF-ADE9-4387-87F6-A967872AA6B8}">
  <cacheSource type="external" connectionId="1"/>
  <cacheFields count="4">
    <cacheField name="[Measures].[Count of SessionID]" caption="Count of SessionID" numFmtId="0" hierarchy="22" level="32767"/>
    <cacheField name="[session_data].[Time_of_Day].[Time_of_Day]" caption="Time_of_Day" numFmtId="0" hierarchy="12" level="1">
      <sharedItems count="4">
        <s v="Afternoon"/>
        <s v="Evening"/>
        <s v="Morning"/>
        <s v="Night"/>
      </sharedItems>
    </cacheField>
    <cacheField name="[session_data].[User Type].[User Type]" caption="User Type" numFmtId="0" hierarchy="20" level="1">
      <sharedItems count="2">
        <s v="New"/>
        <s v="Returning"/>
      </sharedItems>
    </cacheField>
    <cacheField name="[session_data].[Device Type].[Device Type]" caption="Device Type" numFmtId="0" hierarchy="17" level="1">
      <sharedItems containsSemiMixedTypes="0" containsNonDate="0" containsString="0"/>
    </cacheField>
  </cacheFields>
  <cacheHierarchies count="35">
    <cacheHierarchy uniqueName="[engagement].[SessionID]" caption="SessionID" attribute="1" defaultMemberUniqueName="[engagement].[SessionID].[All]" allUniqueName="[engagement].[SessionID].[All]" dimensionUniqueName="[engagement]" displayFolder="" count="0" memberValueDatatype="130" unbalanced="0"/>
    <cacheHierarchy uniqueName="[engagement].[Session Duration]" caption="Session Duration" attribute="1" defaultMemberUniqueName="[engagement].[Session Duration].[All]" allUniqueName="[engagement].[Session Duration].[All]" dimensionUniqueName="[engagement]" displayFolder="" count="0" memberValueDatatype="20" unbalanced="0"/>
    <cacheHierarchy uniqueName="[engagement].[Page Views]" caption="Page Views" attribute="1" defaultMemberUniqueName="[engagement].[Page Views].[All]" allUniqueName="[engagement].[Page Views].[All]" dimensionUniqueName="[engagement]" displayFolder="" count="0" memberValueDatatype="20" unbalanced="0"/>
    <cacheHierarchy uniqueName="[engagement].[Unique Page Views]" caption="Unique Page Views" attribute="1" defaultMemberUniqueName="[engagement].[Unique Page Views].[All]" allUniqueName="[engagement].[Unique Page Views].[All]" dimensionUniqueName="[engagement]" displayFolder="" count="0" memberValueDatatype="20" unbalanced="0"/>
    <cacheHierarchy uniqueName="[engagement].[Conversion Flag]" caption="Conversion Flag" attribute="1" defaultMemberUniqueName="[engagement].[Conversion Flag].[All]" allUniqueName="[engagement].[Conversion Flag].[All]" dimensionUniqueName="[engagement]" displayFolder="" count="0" memberValueDatatype="20" unbalanced="0"/>
    <cacheHierarchy uniqueName="[engagement].[Page URL]" caption="Page URL" attribute="1" defaultMemberUniqueName="[engagement].[Page URL].[All]" allUniqueName="[engagement].[Page URL].[All]" dimensionUniqueName="[engagement]" displayFolder="" count="0" memberValueDatatype="130" unbalanced="0"/>
    <cacheHierarchy uniqueName="[engagement].[Traffic source]" caption="Traffic source" attribute="1" defaultMemberUniqueName="[engagement].[Traffic source].[All]" allUniqueName="[engagement].[Traffic source].[All]" dimensionUniqueName="[engagement]" displayFolder="" count="0" memberValueDatatype="130" unbalanced="0"/>
    <cacheHierarchy uniqueName="[session_data].[SessionID]" caption="SessionID" attribute="1" defaultMemberUniqueName="[session_data].[SessionID].[All]" allUniqueName="[session_data].[SessionID].[All]" dimensionUniqueName="[session_data]" displayFolder="" count="0" memberValueDatatype="130" unbalanced="0"/>
    <cacheHierarchy uniqueName="[session_data].[UserID]" caption="UserID" attribute="1" defaultMemberUniqueName="[session_data].[UserID].[All]" allUniqueName="[session_data].[UserID].[All]" dimensionUniqueName="[session_data]" displayFolder="" count="0" memberValueDatatype="130" unbalanced="0"/>
    <cacheHierarchy uniqueName="[session_data].[Timestamp]" caption="Timestamp" attribute="1" time="1" defaultMemberUniqueName="[session_data].[Timestamp].[All]" allUniqueName="[session_data].[Timestamp].[All]" dimensionUniqueName="[session_data]" displayFolder="" count="0" memberValueDatatype="7" unbalanced="0"/>
    <cacheHierarchy uniqueName="[session_data].[Date]" caption="Date" attribute="1" time="1" defaultMemberUniqueName="[session_data].[Date].[All]" allUniqueName="[session_data].[Date].[All]" dimensionUniqueName="[session_data]" displayFolder="" count="0" memberValueDatatype="7" unbalanced="0"/>
    <cacheHierarchy uniqueName="[session_data].[Time]" caption="Time" attribute="1" time="1" defaultMemberUniqueName="[session_data].[Time].[All]" allUniqueName="[session_data].[Time].[All]" dimensionUniqueName="[session_data]" displayFolder="" count="0" memberValueDatatype="7" unbalanced="0"/>
    <cacheHierarchy uniqueName="[session_data].[Time_of_Day]" caption="Time_of_Day" attribute="1" defaultMemberUniqueName="[session_data].[Time_of_Day].[All]" allUniqueName="[session_data].[Time_of_Day].[All]" dimensionUniqueName="[session_data]" displayFolder="" count="2" memberValueDatatype="130" unbalanced="0">
      <fieldsUsage count="2">
        <fieldUsage x="-1"/>
        <fieldUsage x="1"/>
      </fieldsUsage>
    </cacheHierarchy>
    <cacheHierarchy uniqueName="[session_data].[Year]" caption="Year" attribute="1" defaultMemberUniqueName="[session_data].[Year].[All]" allUniqueName="[session_data].[Year].[All]" dimensionUniqueName="[session_data]" displayFolder="" count="2" memberValueDatatype="20" unbalanced="0"/>
    <cacheHierarchy uniqueName="[session_data].[Month]" caption="Month" attribute="1" defaultMemberUniqueName="[session_data].[Month].[All]" allUniqueName="[session_data].[Month].[All]" dimensionUniqueName="[session_data]" displayFolder="" count="0" memberValueDatatype="130" unbalanced="0"/>
    <cacheHierarchy uniqueName="[session_data].[Day]" caption="Day" attribute="1" defaultMemberUniqueName="[session_data].[Day].[All]" allUniqueName="[session_data].[Day].[All]" dimensionUniqueName="[session_data]" displayFolder="" count="0" memberValueDatatype="130" unbalanced="0"/>
    <cacheHierarchy uniqueName="[session_data].[Traffic Source]" caption="Traffic Source" attribute="1" defaultMemberUniqueName="[session_data].[Traffic Source].[All]" allUniqueName="[session_data].[Traffic Source].[All]" dimensionUniqueName="[session_data]" displayFolder="" count="2" memberValueDatatype="130" unbalanced="0"/>
    <cacheHierarchy uniqueName="[session_data].[Device Type]" caption="Device Type" attribute="1" defaultMemberUniqueName="[session_data].[Device Type].[All]" allUniqueName="[session_data].[Device Type].[All]" dimensionUniqueName="[session_data]" displayFolder="" count="2" memberValueDatatype="130" unbalanced="0">
      <fieldsUsage count="2">
        <fieldUsage x="-1"/>
        <fieldUsage x="3"/>
      </fieldsUsage>
    </cacheHierarchy>
    <cacheHierarchy uniqueName="[session_data].[State]" caption="State" attribute="1" defaultMemberUniqueName="[session_data].[State].[All]" allUniqueName="[session_data].[State].[All]" dimensionUniqueName="[session_data]" displayFolder="" count="0" memberValueDatatype="130" unbalanced="0"/>
    <cacheHierarchy uniqueName="[session_data].[Country]" caption="Country" attribute="1" defaultMemberUniqueName="[session_data].[Country].[All]" allUniqueName="[session_data].[Country].[All]" dimensionUniqueName="[session_data]" displayFolder="" count="0" memberValueDatatype="130" unbalanced="0"/>
    <cacheHierarchy uniqueName="[session_data].[User Type]" caption="User Type" attribute="1" defaultMemberUniqueName="[session_data].[User Type].[All]" allUniqueName="[session_data].[User Type].[All]" dimensionUniqueName="[session_data]" displayFolder="" count="2" memberValueDatatype="130" unbalanced="0">
      <fieldsUsage count="2">
        <fieldUsage x="-1"/>
        <fieldUsage x="2"/>
      </fieldsUsage>
    </cacheHierarchy>
    <cacheHierarchy uniqueName="[session_data].[User Gender]" caption="User Gender" attribute="1" defaultMemberUniqueName="[session_data].[User Gender].[All]" allUniqueName="[session_data].[User Gender].[All]" dimensionUniqueName="[session_data]" displayFolder="" count="0" memberValueDatatype="130" unbalanced="0"/>
    <cacheHierarchy uniqueName="[Measures].[Count of SessionID]" caption="Count of SessionID" measure="1" displayFolder="" measureGroup="session_data" count="0" oneField="1">
      <fieldsUsage count="1">
        <fieldUsage x="0"/>
      </fieldsUsage>
      <extLst>
        <ext xmlns:x15="http://schemas.microsoft.com/office/spreadsheetml/2010/11/main" uri="{B97F6D7D-B522-45F9-BDA1-12C45D357490}">
          <x15:cacheHierarchy aggregatedColumn="7"/>
        </ext>
      </extLst>
    </cacheHierarchy>
    <cacheHierarchy uniqueName="[Measures].[Distinct Count of SessionID]" caption="Distinct Count of SessionID" measure="1" displayFolder="" measureGroup="session_data" count="0">
      <extLst>
        <ext xmlns:x15="http://schemas.microsoft.com/office/spreadsheetml/2010/11/main" uri="{B97F6D7D-B522-45F9-BDA1-12C45D357490}">
          <x15:cacheHierarchy aggregatedColumn="7"/>
        </ext>
      </extLst>
    </cacheHierarchy>
    <cacheHierarchy uniqueName="[Measures].[Count of UserID]" caption="Count of UserID" measure="1" displayFolder="" measureGroup="session_data" count="0">
      <extLst>
        <ext xmlns:x15="http://schemas.microsoft.com/office/spreadsheetml/2010/11/main" uri="{B97F6D7D-B522-45F9-BDA1-12C45D357490}">
          <x15:cacheHierarchy aggregatedColumn="8"/>
        </ext>
      </extLst>
    </cacheHierarchy>
    <cacheHierarchy uniqueName="[Measures].[Distinct Count of UserID]" caption="Distinct Count of UserID" measure="1" displayFolder="" measureGroup="session_data" count="0">
      <extLst>
        <ext xmlns:x15="http://schemas.microsoft.com/office/spreadsheetml/2010/11/main" uri="{B97F6D7D-B522-45F9-BDA1-12C45D357490}">
          <x15:cacheHierarchy aggregatedColumn="8"/>
        </ext>
      </extLst>
    </cacheHierarchy>
    <cacheHierarchy uniqueName="[Measures].[Count of SessionID 2]" caption="Count of SessionID 2" measure="1" displayFolder="" measureGroup="engagement" count="0">
      <extLst>
        <ext xmlns:x15="http://schemas.microsoft.com/office/spreadsheetml/2010/11/main" uri="{B97F6D7D-B522-45F9-BDA1-12C45D357490}">
          <x15:cacheHierarchy aggregatedColumn="0"/>
        </ext>
      </extLst>
    </cacheHierarchy>
    <cacheHierarchy uniqueName="[Measures].[Sum of Conversion Flag]" caption="Sum of Conversion Flag" measure="1" displayFolder="" measureGroup="engagement" count="0">
      <extLst>
        <ext xmlns:x15="http://schemas.microsoft.com/office/spreadsheetml/2010/11/main" uri="{B97F6D7D-B522-45F9-BDA1-12C45D357490}">
          <x15:cacheHierarchy aggregatedColumn="4"/>
        </ext>
      </extLst>
    </cacheHierarchy>
    <cacheHierarchy uniqueName="[Measures].[Count of Traffic Source]" caption="Count of Traffic Source" measure="1" displayFolder="" measureGroup="session_data" count="0">
      <extLst>
        <ext xmlns:x15="http://schemas.microsoft.com/office/spreadsheetml/2010/11/main" uri="{B97F6D7D-B522-45F9-BDA1-12C45D357490}">
          <x15:cacheHierarchy aggregatedColumn="16"/>
        </ext>
      </extLst>
    </cacheHierarchy>
    <cacheHierarchy uniqueName="[Measures].[Sum of Session Duration]" caption="Sum of Session Duration" measure="1" displayFolder="" measureGroup="engagement" count="0">
      <extLst>
        <ext xmlns:x15="http://schemas.microsoft.com/office/spreadsheetml/2010/11/main" uri="{B97F6D7D-B522-45F9-BDA1-12C45D357490}">
          <x15:cacheHierarchy aggregatedColumn="1"/>
        </ext>
      </extLst>
    </cacheHierarchy>
    <cacheHierarchy uniqueName="[Measures].[Average of Session Duration]" caption="Average of Session Duration" measure="1" displayFolder="" measureGroup="engagement" count="0">
      <extLst>
        <ext xmlns:x15="http://schemas.microsoft.com/office/spreadsheetml/2010/11/main" uri="{B97F6D7D-B522-45F9-BDA1-12C45D357490}">
          <x15:cacheHierarchy aggregatedColumn="1"/>
        </ext>
      </extLst>
    </cacheHierarchy>
    <cacheHierarchy uniqueName="[Measures].[Conversion_Rate]" caption="Conversion_Rate" measure="1" displayFolder="" measureGroup="session_data" count="0"/>
    <cacheHierarchy uniqueName="[Measures].[__XL_Count session_data]" caption="__XL_Count session_data" measure="1" displayFolder="" measureGroup="session_data" count="0" hidden="1"/>
    <cacheHierarchy uniqueName="[Measures].[__XL_Count engagement]" caption="__XL_Count engagement" measure="1" displayFolder="" measureGroup="engagement" count="0" hidden="1"/>
    <cacheHierarchy uniqueName="[Measures].[__No measures defined]" caption="__No measures defined" measure="1" displayFolder="" count="0" hidden="1"/>
  </cacheHierarchies>
  <kpis count="0"/>
  <dimensions count="3">
    <dimension name="engagement" uniqueName="[engagement]" caption="engagement"/>
    <dimension measure="1" name="Measures" uniqueName="[Measures]" caption="Measures"/>
    <dimension name="session_data" uniqueName="[session_data]" caption="session_data"/>
  </dimensions>
  <measureGroups count="2">
    <measureGroup name="engagement" caption="engagement"/>
    <measureGroup name="session_data" caption="session_data"/>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8.065271180552" backgroundQuery="1" createdVersion="8" refreshedVersion="8" minRefreshableVersion="3" recordCount="0" supportSubquery="1" supportAdvancedDrill="1" xr:uid="{B35BBD2C-4FC4-413A-89EB-C0E82A0DFBF6}">
  <cacheSource type="external" connectionId="1"/>
  <cacheFields count="3">
    <cacheField name="[session_data].[Traffic Source].[Traffic Source]" caption="Traffic Source" numFmtId="0" hierarchy="16" level="1">
      <sharedItems count="5">
        <s v="Direct"/>
        <s v="Organic Search"/>
        <s v="Paid Ads"/>
        <s v="Referral"/>
        <s v="Social Media"/>
      </sharedItems>
    </cacheField>
    <cacheField name="[Measures].[Conversion_Rate]" caption="Conversion_Rate" numFmtId="0" hierarchy="31" level="32767"/>
    <cacheField name="[session_data].[Device Type].[Device Type]" caption="Device Type" numFmtId="0" hierarchy="17" level="1">
      <sharedItems containsSemiMixedTypes="0" containsNonDate="0" containsString="0"/>
    </cacheField>
  </cacheFields>
  <cacheHierarchies count="35">
    <cacheHierarchy uniqueName="[engagement].[SessionID]" caption="SessionID" attribute="1" defaultMemberUniqueName="[engagement].[SessionID].[All]" allUniqueName="[engagement].[SessionID].[All]" dimensionUniqueName="[engagement]" displayFolder="" count="0" memberValueDatatype="130" unbalanced="0"/>
    <cacheHierarchy uniqueName="[engagement].[Session Duration]" caption="Session Duration" attribute="1" defaultMemberUniqueName="[engagement].[Session Duration].[All]" allUniqueName="[engagement].[Session Duration].[All]" dimensionUniqueName="[engagement]" displayFolder="" count="0" memberValueDatatype="20" unbalanced="0"/>
    <cacheHierarchy uniqueName="[engagement].[Page Views]" caption="Page Views" attribute="1" defaultMemberUniqueName="[engagement].[Page Views].[All]" allUniqueName="[engagement].[Page Views].[All]" dimensionUniqueName="[engagement]" displayFolder="" count="0" memberValueDatatype="20" unbalanced="0"/>
    <cacheHierarchy uniqueName="[engagement].[Unique Page Views]" caption="Unique Page Views" attribute="1" defaultMemberUniqueName="[engagement].[Unique Page Views].[All]" allUniqueName="[engagement].[Unique Page Views].[All]" dimensionUniqueName="[engagement]" displayFolder="" count="0" memberValueDatatype="20" unbalanced="0"/>
    <cacheHierarchy uniqueName="[engagement].[Conversion Flag]" caption="Conversion Flag" attribute="1" defaultMemberUniqueName="[engagement].[Conversion Flag].[All]" allUniqueName="[engagement].[Conversion Flag].[All]" dimensionUniqueName="[engagement]" displayFolder="" count="0" memberValueDatatype="20" unbalanced="0"/>
    <cacheHierarchy uniqueName="[engagement].[Page URL]" caption="Page URL" attribute="1" defaultMemberUniqueName="[engagement].[Page URL].[All]" allUniqueName="[engagement].[Page URL].[All]" dimensionUniqueName="[engagement]" displayFolder="" count="0" memberValueDatatype="130" unbalanced="0"/>
    <cacheHierarchy uniqueName="[engagement].[Traffic source]" caption="Traffic source" attribute="1" defaultMemberUniqueName="[engagement].[Traffic source].[All]" allUniqueName="[engagement].[Traffic source].[All]" dimensionUniqueName="[engagement]" displayFolder="" count="0" memberValueDatatype="130" unbalanced="0"/>
    <cacheHierarchy uniqueName="[session_data].[SessionID]" caption="SessionID" attribute="1" defaultMemberUniqueName="[session_data].[SessionID].[All]" allUniqueName="[session_data].[SessionID].[All]" dimensionUniqueName="[session_data]" displayFolder="" count="0" memberValueDatatype="130" unbalanced="0"/>
    <cacheHierarchy uniqueName="[session_data].[UserID]" caption="UserID" attribute="1" defaultMemberUniqueName="[session_data].[UserID].[All]" allUniqueName="[session_data].[UserID].[All]" dimensionUniqueName="[session_data]" displayFolder="" count="0" memberValueDatatype="130" unbalanced="0"/>
    <cacheHierarchy uniqueName="[session_data].[Timestamp]" caption="Timestamp" attribute="1" time="1" defaultMemberUniqueName="[session_data].[Timestamp].[All]" allUniqueName="[session_data].[Timestamp].[All]" dimensionUniqueName="[session_data]" displayFolder="" count="0" memberValueDatatype="7" unbalanced="0"/>
    <cacheHierarchy uniqueName="[session_data].[Date]" caption="Date" attribute="1" time="1" defaultMemberUniqueName="[session_data].[Date].[All]" allUniqueName="[session_data].[Date].[All]" dimensionUniqueName="[session_data]" displayFolder="" count="0" memberValueDatatype="7" unbalanced="0"/>
    <cacheHierarchy uniqueName="[session_data].[Time]" caption="Time" attribute="1" time="1" defaultMemberUniqueName="[session_data].[Time].[All]" allUniqueName="[session_data].[Time].[All]" dimensionUniqueName="[session_data]" displayFolder="" count="0" memberValueDatatype="7" unbalanced="0"/>
    <cacheHierarchy uniqueName="[session_data].[Time_of_Day]" caption="Time_of_Day" attribute="1" defaultMemberUniqueName="[session_data].[Time_of_Day].[All]" allUniqueName="[session_data].[Time_of_Day].[All]" dimensionUniqueName="[session_data]" displayFolder="" count="0" memberValueDatatype="130" unbalanced="0"/>
    <cacheHierarchy uniqueName="[session_data].[Year]" caption="Year" attribute="1" defaultMemberUniqueName="[session_data].[Year].[All]" allUniqueName="[session_data].[Year].[All]" dimensionUniqueName="[session_data]" displayFolder="" count="2" memberValueDatatype="20" unbalanced="0"/>
    <cacheHierarchy uniqueName="[session_data].[Month]" caption="Month" attribute="1" defaultMemberUniqueName="[session_data].[Month].[All]" allUniqueName="[session_data].[Month].[All]" dimensionUniqueName="[session_data]" displayFolder="" count="0" memberValueDatatype="130" unbalanced="0"/>
    <cacheHierarchy uniqueName="[session_data].[Day]" caption="Day" attribute="1" defaultMemberUniqueName="[session_data].[Day].[All]" allUniqueName="[session_data].[Day].[All]" dimensionUniqueName="[session_data]" displayFolder="" count="0" memberValueDatatype="130" unbalanced="0"/>
    <cacheHierarchy uniqueName="[session_data].[Traffic Source]" caption="Traffic Source" attribute="1" defaultMemberUniqueName="[session_data].[Traffic Source].[All]" allUniqueName="[session_data].[Traffic Source].[All]" dimensionUniqueName="[session_data]" displayFolder="" count="2" memberValueDatatype="130" unbalanced="0">
      <fieldsUsage count="2">
        <fieldUsage x="-1"/>
        <fieldUsage x="0"/>
      </fieldsUsage>
    </cacheHierarchy>
    <cacheHierarchy uniqueName="[session_data].[Device Type]" caption="Device Type" attribute="1" defaultMemberUniqueName="[session_data].[Device Type].[All]" allUniqueName="[session_data].[Device Type].[All]" dimensionUniqueName="[session_data]" displayFolder="" count="2" memberValueDatatype="130" unbalanced="0">
      <fieldsUsage count="2">
        <fieldUsage x="-1"/>
        <fieldUsage x="2"/>
      </fieldsUsage>
    </cacheHierarchy>
    <cacheHierarchy uniqueName="[session_data].[State]" caption="State" attribute="1" defaultMemberUniqueName="[session_data].[State].[All]" allUniqueName="[session_data].[State].[All]" dimensionUniqueName="[session_data]" displayFolder="" count="0" memberValueDatatype="130" unbalanced="0"/>
    <cacheHierarchy uniqueName="[session_data].[Country]" caption="Country" attribute="1" defaultMemberUniqueName="[session_data].[Country].[All]" allUniqueName="[session_data].[Country].[All]" dimensionUniqueName="[session_data]" displayFolder="" count="0" memberValueDatatype="130" unbalanced="0"/>
    <cacheHierarchy uniqueName="[session_data].[User Type]" caption="User Type" attribute="1" defaultMemberUniqueName="[session_data].[User Type].[All]" allUniqueName="[session_data].[User Type].[All]" dimensionUniqueName="[session_data]" displayFolder="" count="0" memberValueDatatype="130" unbalanced="0"/>
    <cacheHierarchy uniqueName="[session_data].[User Gender]" caption="User Gender" attribute="1" defaultMemberUniqueName="[session_data].[User Gender].[All]" allUniqueName="[session_data].[User Gender].[All]" dimensionUniqueName="[session_data]" displayFolder="" count="0" memberValueDatatype="130" unbalanced="0"/>
    <cacheHierarchy uniqueName="[Measures].[Count of SessionID]" caption="Count of SessionID" measure="1" displayFolder="" measureGroup="session_data" count="0">
      <extLst>
        <ext xmlns:x15="http://schemas.microsoft.com/office/spreadsheetml/2010/11/main" uri="{B97F6D7D-B522-45F9-BDA1-12C45D357490}">
          <x15:cacheHierarchy aggregatedColumn="7"/>
        </ext>
      </extLst>
    </cacheHierarchy>
    <cacheHierarchy uniqueName="[Measures].[Distinct Count of SessionID]" caption="Distinct Count of SessionID" measure="1" displayFolder="" measureGroup="session_data" count="0">
      <extLst>
        <ext xmlns:x15="http://schemas.microsoft.com/office/spreadsheetml/2010/11/main" uri="{B97F6D7D-B522-45F9-BDA1-12C45D357490}">
          <x15:cacheHierarchy aggregatedColumn="7"/>
        </ext>
      </extLst>
    </cacheHierarchy>
    <cacheHierarchy uniqueName="[Measures].[Count of UserID]" caption="Count of UserID" measure="1" displayFolder="" measureGroup="session_data" count="0">
      <extLst>
        <ext xmlns:x15="http://schemas.microsoft.com/office/spreadsheetml/2010/11/main" uri="{B97F6D7D-B522-45F9-BDA1-12C45D357490}">
          <x15:cacheHierarchy aggregatedColumn="8"/>
        </ext>
      </extLst>
    </cacheHierarchy>
    <cacheHierarchy uniqueName="[Measures].[Distinct Count of UserID]" caption="Distinct Count of UserID" measure="1" displayFolder="" measureGroup="session_data" count="0">
      <extLst>
        <ext xmlns:x15="http://schemas.microsoft.com/office/spreadsheetml/2010/11/main" uri="{B97F6D7D-B522-45F9-BDA1-12C45D357490}">
          <x15:cacheHierarchy aggregatedColumn="8"/>
        </ext>
      </extLst>
    </cacheHierarchy>
    <cacheHierarchy uniqueName="[Measures].[Count of SessionID 2]" caption="Count of SessionID 2" measure="1" displayFolder="" measureGroup="engagement" count="0">
      <extLst>
        <ext xmlns:x15="http://schemas.microsoft.com/office/spreadsheetml/2010/11/main" uri="{B97F6D7D-B522-45F9-BDA1-12C45D357490}">
          <x15:cacheHierarchy aggregatedColumn="0"/>
        </ext>
      </extLst>
    </cacheHierarchy>
    <cacheHierarchy uniqueName="[Measures].[Sum of Conversion Flag]" caption="Sum of Conversion Flag" measure="1" displayFolder="" measureGroup="engagement" count="0">
      <extLst>
        <ext xmlns:x15="http://schemas.microsoft.com/office/spreadsheetml/2010/11/main" uri="{B97F6D7D-B522-45F9-BDA1-12C45D357490}">
          <x15:cacheHierarchy aggregatedColumn="4"/>
        </ext>
      </extLst>
    </cacheHierarchy>
    <cacheHierarchy uniqueName="[Measures].[Count of Traffic Source]" caption="Count of Traffic Source" measure="1" displayFolder="" measureGroup="session_data" count="0">
      <extLst>
        <ext xmlns:x15="http://schemas.microsoft.com/office/spreadsheetml/2010/11/main" uri="{B97F6D7D-B522-45F9-BDA1-12C45D357490}">
          <x15:cacheHierarchy aggregatedColumn="16"/>
        </ext>
      </extLst>
    </cacheHierarchy>
    <cacheHierarchy uniqueName="[Measures].[Sum of Session Duration]" caption="Sum of Session Duration" measure="1" displayFolder="" measureGroup="engagement" count="0">
      <extLst>
        <ext xmlns:x15="http://schemas.microsoft.com/office/spreadsheetml/2010/11/main" uri="{B97F6D7D-B522-45F9-BDA1-12C45D357490}">
          <x15:cacheHierarchy aggregatedColumn="1"/>
        </ext>
      </extLst>
    </cacheHierarchy>
    <cacheHierarchy uniqueName="[Measures].[Average of Session Duration]" caption="Average of Session Duration" measure="1" displayFolder="" measureGroup="engagement" count="0">
      <extLst>
        <ext xmlns:x15="http://schemas.microsoft.com/office/spreadsheetml/2010/11/main" uri="{B97F6D7D-B522-45F9-BDA1-12C45D357490}">
          <x15:cacheHierarchy aggregatedColumn="1"/>
        </ext>
      </extLst>
    </cacheHierarchy>
    <cacheHierarchy uniqueName="[Measures].[Conversion_Rate]" caption="Conversion_Rate" measure="1" displayFolder="" measureGroup="session_data" count="0" oneField="1">
      <fieldsUsage count="1">
        <fieldUsage x="1"/>
      </fieldsUsage>
    </cacheHierarchy>
    <cacheHierarchy uniqueName="[Measures].[__XL_Count session_data]" caption="__XL_Count session_data" measure="1" displayFolder="" measureGroup="session_data" count="0" hidden="1"/>
    <cacheHierarchy uniqueName="[Measures].[__XL_Count engagement]" caption="__XL_Count engagement" measure="1" displayFolder="" measureGroup="engagement" count="0" hidden="1"/>
    <cacheHierarchy uniqueName="[Measures].[__No measures defined]" caption="__No measures defined" measure="1" displayFolder="" count="0" hidden="1"/>
  </cacheHierarchies>
  <kpis count="0"/>
  <dimensions count="3">
    <dimension name="engagement" uniqueName="[engagement]" caption="engagement"/>
    <dimension measure="1" name="Measures" uniqueName="[Measures]" caption="Measures"/>
    <dimension name="session_data" uniqueName="[session_data]" caption="session_data"/>
  </dimensions>
  <measureGroups count="2">
    <measureGroup name="engagement" caption="engagement"/>
    <measureGroup name="session_data" caption="session_data"/>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8.065272222222" backgroundQuery="1" createdVersion="8" refreshedVersion="8" minRefreshableVersion="3" recordCount="0" supportSubquery="1" supportAdvancedDrill="1" xr:uid="{A9F3F225-FCAE-4E8C-BED6-72866F0AE8EA}">
  <cacheSource type="external" connectionId="1"/>
  <cacheFields count="4">
    <cacheField name="[session_data].[Traffic Source].[Traffic Source]" caption="Traffic Source" numFmtId="0" hierarchy="16" level="1">
      <sharedItems count="5">
        <s v="Direct"/>
        <s v="Organic Search"/>
        <s v="Paid Ads"/>
        <s v="Referral"/>
        <s v="Social Media"/>
      </sharedItems>
    </cacheField>
    <cacheField name="[Measures].[Conversion_Rate]" caption="Conversion_Rate" numFmtId="0" hierarchy="31" level="32767"/>
    <cacheField name="[session_data].[Time_of_Day].[Time_of_Day]" caption="Time_of_Day" numFmtId="0" hierarchy="12" level="1">
      <sharedItems count="4">
        <s v="Afternoon"/>
        <s v="Evening"/>
        <s v="Morning"/>
        <s v="Night"/>
      </sharedItems>
    </cacheField>
    <cacheField name="[session_data].[Device Type].[Device Type]" caption="Device Type" numFmtId="0" hierarchy="17" level="1">
      <sharedItems containsSemiMixedTypes="0" containsNonDate="0" containsString="0"/>
    </cacheField>
  </cacheFields>
  <cacheHierarchies count="35">
    <cacheHierarchy uniqueName="[engagement].[SessionID]" caption="SessionID" attribute="1" defaultMemberUniqueName="[engagement].[SessionID].[All]" allUniqueName="[engagement].[SessionID].[All]" dimensionUniqueName="[engagement]" displayFolder="" count="0" memberValueDatatype="130" unbalanced="0"/>
    <cacheHierarchy uniqueName="[engagement].[Session Duration]" caption="Session Duration" attribute="1" defaultMemberUniqueName="[engagement].[Session Duration].[All]" allUniqueName="[engagement].[Session Duration].[All]" dimensionUniqueName="[engagement]" displayFolder="" count="0" memberValueDatatype="20" unbalanced="0"/>
    <cacheHierarchy uniqueName="[engagement].[Page Views]" caption="Page Views" attribute="1" defaultMemberUniqueName="[engagement].[Page Views].[All]" allUniqueName="[engagement].[Page Views].[All]" dimensionUniqueName="[engagement]" displayFolder="" count="0" memberValueDatatype="20" unbalanced="0"/>
    <cacheHierarchy uniqueName="[engagement].[Unique Page Views]" caption="Unique Page Views" attribute="1" defaultMemberUniqueName="[engagement].[Unique Page Views].[All]" allUniqueName="[engagement].[Unique Page Views].[All]" dimensionUniqueName="[engagement]" displayFolder="" count="0" memberValueDatatype="20" unbalanced="0"/>
    <cacheHierarchy uniqueName="[engagement].[Conversion Flag]" caption="Conversion Flag" attribute="1" defaultMemberUniqueName="[engagement].[Conversion Flag].[All]" allUniqueName="[engagement].[Conversion Flag].[All]" dimensionUniqueName="[engagement]" displayFolder="" count="0" memberValueDatatype="20" unbalanced="0"/>
    <cacheHierarchy uniqueName="[engagement].[Page URL]" caption="Page URL" attribute="1" defaultMemberUniqueName="[engagement].[Page URL].[All]" allUniqueName="[engagement].[Page URL].[All]" dimensionUniqueName="[engagement]" displayFolder="" count="0" memberValueDatatype="130" unbalanced="0"/>
    <cacheHierarchy uniqueName="[engagement].[Traffic source]" caption="Traffic source" attribute="1" defaultMemberUniqueName="[engagement].[Traffic source].[All]" allUniqueName="[engagement].[Traffic source].[All]" dimensionUniqueName="[engagement]" displayFolder="" count="0" memberValueDatatype="130" unbalanced="0"/>
    <cacheHierarchy uniqueName="[session_data].[SessionID]" caption="SessionID" attribute="1" defaultMemberUniqueName="[session_data].[SessionID].[All]" allUniqueName="[session_data].[SessionID].[All]" dimensionUniqueName="[session_data]" displayFolder="" count="0" memberValueDatatype="130" unbalanced="0"/>
    <cacheHierarchy uniqueName="[session_data].[UserID]" caption="UserID" attribute="1" defaultMemberUniqueName="[session_data].[UserID].[All]" allUniqueName="[session_data].[UserID].[All]" dimensionUniqueName="[session_data]" displayFolder="" count="0" memberValueDatatype="130" unbalanced="0"/>
    <cacheHierarchy uniqueName="[session_data].[Timestamp]" caption="Timestamp" attribute="1" time="1" defaultMemberUniqueName="[session_data].[Timestamp].[All]" allUniqueName="[session_data].[Timestamp].[All]" dimensionUniqueName="[session_data]" displayFolder="" count="0" memberValueDatatype="7" unbalanced="0"/>
    <cacheHierarchy uniqueName="[session_data].[Date]" caption="Date" attribute="1" time="1" defaultMemberUniqueName="[session_data].[Date].[All]" allUniqueName="[session_data].[Date].[All]" dimensionUniqueName="[session_data]" displayFolder="" count="0" memberValueDatatype="7" unbalanced="0"/>
    <cacheHierarchy uniqueName="[session_data].[Time]" caption="Time" attribute="1" time="1" defaultMemberUniqueName="[session_data].[Time].[All]" allUniqueName="[session_data].[Time].[All]" dimensionUniqueName="[session_data]" displayFolder="" count="0" memberValueDatatype="7" unbalanced="0"/>
    <cacheHierarchy uniqueName="[session_data].[Time_of_Day]" caption="Time_of_Day" attribute="1" defaultMemberUniqueName="[session_data].[Time_of_Day].[All]" allUniqueName="[session_data].[Time_of_Day].[All]" dimensionUniqueName="[session_data]" displayFolder="" count="2" memberValueDatatype="130" unbalanced="0">
      <fieldsUsage count="2">
        <fieldUsage x="-1"/>
        <fieldUsage x="2"/>
      </fieldsUsage>
    </cacheHierarchy>
    <cacheHierarchy uniqueName="[session_data].[Year]" caption="Year" attribute="1" defaultMemberUniqueName="[session_data].[Year].[All]" allUniqueName="[session_data].[Year].[All]" dimensionUniqueName="[session_data]" displayFolder="" count="2" memberValueDatatype="20" unbalanced="0"/>
    <cacheHierarchy uniqueName="[session_data].[Month]" caption="Month" attribute="1" defaultMemberUniqueName="[session_data].[Month].[All]" allUniqueName="[session_data].[Month].[All]" dimensionUniqueName="[session_data]" displayFolder="" count="0" memberValueDatatype="130" unbalanced="0"/>
    <cacheHierarchy uniqueName="[session_data].[Day]" caption="Day" attribute="1" defaultMemberUniqueName="[session_data].[Day].[All]" allUniqueName="[session_data].[Day].[All]" dimensionUniqueName="[session_data]" displayFolder="" count="0" memberValueDatatype="130" unbalanced="0"/>
    <cacheHierarchy uniqueName="[session_data].[Traffic Source]" caption="Traffic Source" attribute="1" defaultMemberUniqueName="[session_data].[Traffic Source].[All]" allUniqueName="[session_data].[Traffic Source].[All]" dimensionUniqueName="[session_data]" displayFolder="" count="2" memberValueDatatype="130" unbalanced="0">
      <fieldsUsage count="2">
        <fieldUsage x="-1"/>
        <fieldUsage x="0"/>
      </fieldsUsage>
    </cacheHierarchy>
    <cacheHierarchy uniqueName="[session_data].[Device Type]" caption="Device Type" attribute="1" defaultMemberUniqueName="[session_data].[Device Type].[All]" allUniqueName="[session_data].[Device Type].[All]" dimensionUniqueName="[session_data]" displayFolder="" count="2" memberValueDatatype="130" unbalanced="0">
      <fieldsUsage count="2">
        <fieldUsage x="-1"/>
        <fieldUsage x="3"/>
      </fieldsUsage>
    </cacheHierarchy>
    <cacheHierarchy uniqueName="[session_data].[State]" caption="State" attribute="1" defaultMemberUniqueName="[session_data].[State].[All]" allUniqueName="[session_data].[State].[All]" dimensionUniqueName="[session_data]" displayFolder="" count="0" memberValueDatatype="130" unbalanced="0"/>
    <cacheHierarchy uniqueName="[session_data].[Country]" caption="Country" attribute="1" defaultMemberUniqueName="[session_data].[Country].[All]" allUniqueName="[session_data].[Country].[All]" dimensionUniqueName="[session_data]" displayFolder="" count="0" memberValueDatatype="130" unbalanced="0"/>
    <cacheHierarchy uniqueName="[session_data].[User Type]" caption="User Type" attribute="1" defaultMemberUniqueName="[session_data].[User Type].[All]" allUniqueName="[session_data].[User Type].[All]" dimensionUniqueName="[session_data]" displayFolder="" count="0" memberValueDatatype="130" unbalanced="0"/>
    <cacheHierarchy uniqueName="[session_data].[User Gender]" caption="User Gender" attribute="1" defaultMemberUniqueName="[session_data].[User Gender].[All]" allUniqueName="[session_data].[User Gender].[All]" dimensionUniqueName="[session_data]" displayFolder="" count="0" memberValueDatatype="130" unbalanced="0"/>
    <cacheHierarchy uniqueName="[Measures].[Count of SessionID]" caption="Count of SessionID" measure="1" displayFolder="" measureGroup="session_data" count="0">
      <extLst>
        <ext xmlns:x15="http://schemas.microsoft.com/office/spreadsheetml/2010/11/main" uri="{B97F6D7D-B522-45F9-BDA1-12C45D357490}">
          <x15:cacheHierarchy aggregatedColumn="7"/>
        </ext>
      </extLst>
    </cacheHierarchy>
    <cacheHierarchy uniqueName="[Measures].[Distinct Count of SessionID]" caption="Distinct Count of SessionID" measure="1" displayFolder="" measureGroup="session_data" count="0">
      <extLst>
        <ext xmlns:x15="http://schemas.microsoft.com/office/spreadsheetml/2010/11/main" uri="{B97F6D7D-B522-45F9-BDA1-12C45D357490}">
          <x15:cacheHierarchy aggregatedColumn="7"/>
        </ext>
      </extLst>
    </cacheHierarchy>
    <cacheHierarchy uniqueName="[Measures].[Count of UserID]" caption="Count of UserID" measure="1" displayFolder="" measureGroup="session_data" count="0">
      <extLst>
        <ext xmlns:x15="http://schemas.microsoft.com/office/spreadsheetml/2010/11/main" uri="{B97F6D7D-B522-45F9-BDA1-12C45D357490}">
          <x15:cacheHierarchy aggregatedColumn="8"/>
        </ext>
      </extLst>
    </cacheHierarchy>
    <cacheHierarchy uniqueName="[Measures].[Distinct Count of UserID]" caption="Distinct Count of UserID" measure="1" displayFolder="" measureGroup="session_data" count="0">
      <extLst>
        <ext xmlns:x15="http://schemas.microsoft.com/office/spreadsheetml/2010/11/main" uri="{B97F6D7D-B522-45F9-BDA1-12C45D357490}">
          <x15:cacheHierarchy aggregatedColumn="8"/>
        </ext>
      </extLst>
    </cacheHierarchy>
    <cacheHierarchy uniqueName="[Measures].[Count of SessionID 2]" caption="Count of SessionID 2" measure="1" displayFolder="" measureGroup="engagement" count="0">
      <extLst>
        <ext xmlns:x15="http://schemas.microsoft.com/office/spreadsheetml/2010/11/main" uri="{B97F6D7D-B522-45F9-BDA1-12C45D357490}">
          <x15:cacheHierarchy aggregatedColumn="0"/>
        </ext>
      </extLst>
    </cacheHierarchy>
    <cacheHierarchy uniqueName="[Measures].[Sum of Conversion Flag]" caption="Sum of Conversion Flag" measure="1" displayFolder="" measureGroup="engagement" count="0">
      <extLst>
        <ext xmlns:x15="http://schemas.microsoft.com/office/spreadsheetml/2010/11/main" uri="{B97F6D7D-B522-45F9-BDA1-12C45D357490}">
          <x15:cacheHierarchy aggregatedColumn="4"/>
        </ext>
      </extLst>
    </cacheHierarchy>
    <cacheHierarchy uniqueName="[Measures].[Count of Traffic Source]" caption="Count of Traffic Source" measure="1" displayFolder="" measureGroup="session_data" count="0">
      <extLst>
        <ext xmlns:x15="http://schemas.microsoft.com/office/spreadsheetml/2010/11/main" uri="{B97F6D7D-B522-45F9-BDA1-12C45D357490}">
          <x15:cacheHierarchy aggregatedColumn="16"/>
        </ext>
      </extLst>
    </cacheHierarchy>
    <cacheHierarchy uniqueName="[Measures].[Sum of Session Duration]" caption="Sum of Session Duration" measure="1" displayFolder="" measureGroup="engagement" count="0">
      <extLst>
        <ext xmlns:x15="http://schemas.microsoft.com/office/spreadsheetml/2010/11/main" uri="{B97F6D7D-B522-45F9-BDA1-12C45D357490}">
          <x15:cacheHierarchy aggregatedColumn="1"/>
        </ext>
      </extLst>
    </cacheHierarchy>
    <cacheHierarchy uniqueName="[Measures].[Average of Session Duration]" caption="Average of Session Duration" measure="1" displayFolder="" measureGroup="engagement" count="0">
      <extLst>
        <ext xmlns:x15="http://schemas.microsoft.com/office/spreadsheetml/2010/11/main" uri="{B97F6D7D-B522-45F9-BDA1-12C45D357490}">
          <x15:cacheHierarchy aggregatedColumn="1"/>
        </ext>
      </extLst>
    </cacheHierarchy>
    <cacheHierarchy uniqueName="[Measures].[Conversion_Rate]" caption="Conversion_Rate" measure="1" displayFolder="" measureGroup="session_data" count="0" oneField="1">
      <fieldsUsage count="1">
        <fieldUsage x="1"/>
      </fieldsUsage>
    </cacheHierarchy>
    <cacheHierarchy uniqueName="[Measures].[__XL_Count session_data]" caption="__XL_Count session_data" measure="1" displayFolder="" measureGroup="session_data" count="0" hidden="1"/>
    <cacheHierarchy uniqueName="[Measures].[__XL_Count engagement]" caption="__XL_Count engagement" measure="1" displayFolder="" measureGroup="engagement" count="0" hidden="1"/>
    <cacheHierarchy uniqueName="[Measures].[__No measures defined]" caption="__No measures defined" measure="1" displayFolder="" count="0" hidden="1"/>
  </cacheHierarchies>
  <kpis count="0"/>
  <dimensions count="3">
    <dimension name="engagement" uniqueName="[engagement]" caption="engagement"/>
    <dimension measure="1" name="Measures" uniqueName="[Measures]" caption="Measures"/>
    <dimension name="session_data" uniqueName="[session_data]" caption="session_data"/>
  </dimensions>
  <measureGroups count="2">
    <measureGroup name="engagement" caption="engagement"/>
    <measureGroup name="session_data" caption="session_data"/>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8.065273032407" backgroundQuery="1" createdVersion="8" refreshedVersion="8" minRefreshableVersion="3" recordCount="0" supportSubquery="1" supportAdvancedDrill="1" xr:uid="{DAF99821-1108-49A4-ADEE-FD36208FB59F}">
  <cacheSource type="external" connectionId="1"/>
  <cacheFields count="2">
    <cacheField name="[Measures].[Conversion_Rate]" caption="Conversion_Rate" numFmtId="0" hierarchy="31" level="32767"/>
    <cacheField name="[session_data].[Device Type].[Device Type]" caption="Device Type" numFmtId="0" hierarchy="17" level="1">
      <sharedItems containsSemiMixedTypes="0" containsNonDate="0" containsString="0"/>
    </cacheField>
  </cacheFields>
  <cacheHierarchies count="35">
    <cacheHierarchy uniqueName="[engagement].[SessionID]" caption="SessionID" attribute="1" defaultMemberUniqueName="[engagement].[SessionID].[All]" allUniqueName="[engagement].[SessionID].[All]" dimensionUniqueName="[engagement]" displayFolder="" count="0" memberValueDatatype="130" unbalanced="0"/>
    <cacheHierarchy uniqueName="[engagement].[Session Duration]" caption="Session Duration" attribute="1" defaultMemberUniqueName="[engagement].[Session Duration].[All]" allUniqueName="[engagement].[Session Duration].[All]" dimensionUniqueName="[engagement]" displayFolder="" count="0" memberValueDatatype="20" unbalanced="0"/>
    <cacheHierarchy uniqueName="[engagement].[Page Views]" caption="Page Views" attribute="1" defaultMemberUniqueName="[engagement].[Page Views].[All]" allUniqueName="[engagement].[Page Views].[All]" dimensionUniqueName="[engagement]" displayFolder="" count="0" memberValueDatatype="20" unbalanced="0"/>
    <cacheHierarchy uniqueName="[engagement].[Unique Page Views]" caption="Unique Page Views" attribute="1" defaultMemberUniqueName="[engagement].[Unique Page Views].[All]" allUniqueName="[engagement].[Unique Page Views].[All]" dimensionUniqueName="[engagement]" displayFolder="" count="0" memberValueDatatype="20" unbalanced="0"/>
    <cacheHierarchy uniqueName="[engagement].[Conversion Flag]" caption="Conversion Flag" attribute="1" defaultMemberUniqueName="[engagement].[Conversion Flag].[All]" allUniqueName="[engagement].[Conversion Flag].[All]" dimensionUniqueName="[engagement]" displayFolder="" count="0" memberValueDatatype="20" unbalanced="0"/>
    <cacheHierarchy uniqueName="[engagement].[Page URL]" caption="Page URL" attribute="1" defaultMemberUniqueName="[engagement].[Page URL].[All]" allUniqueName="[engagement].[Page URL].[All]" dimensionUniqueName="[engagement]" displayFolder="" count="0" memberValueDatatype="130" unbalanced="0"/>
    <cacheHierarchy uniqueName="[engagement].[Traffic source]" caption="Traffic source" attribute="1" defaultMemberUniqueName="[engagement].[Traffic source].[All]" allUniqueName="[engagement].[Traffic source].[All]" dimensionUniqueName="[engagement]" displayFolder="" count="0" memberValueDatatype="130" unbalanced="0"/>
    <cacheHierarchy uniqueName="[session_data].[SessionID]" caption="SessionID" attribute="1" defaultMemberUniqueName="[session_data].[SessionID].[All]" allUniqueName="[session_data].[SessionID].[All]" dimensionUniqueName="[session_data]" displayFolder="" count="0" memberValueDatatype="130" unbalanced="0"/>
    <cacheHierarchy uniqueName="[session_data].[UserID]" caption="UserID" attribute="1" defaultMemberUniqueName="[session_data].[UserID].[All]" allUniqueName="[session_data].[UserID].[All]" dimensionUniqueName="[session_data]" displayFolder="" count="0" memberValueDatatype="130" unbalanced="0"/>
    <cacheHierarchy uniqueName="[session_data].[Timestamp]" caption="Timestamp" attribute="1" time="1" defaultMemberUniqueName="[session_data].[Timestamp].[All]" allUniqueName="[session_data].[Timestamp].[All]" dimensionUniqueName="[session_data]" displayFolder="" count="0" memberValueDatatype="7" unbalanced="0"/>
    <cacheHierarchy uniqueName="[session_data].[Date]" caption="Date" attribute="1" time="1" defaultMemberUniqueName="[session_data].[Date].[All]" allUniqueName="[session_data].[Date].[All]" dimensionUniqueName="[session_data]" displayFolder="" count="0" memberValueDatatype="7" unbalanced="0"/>
    <cacheHierarchy uniqueName="[session_data].[Time]" caption="Time" attribute="1" time="1" defaultMemberUniqueName="[session_data].[Time].[All]" allUniqueName="[session_data].[Time].[All]" dimensionUniqueName="[session_data]" displayFolder="" count="0" memberValueDatatype="7" unbalanced="0"/>
    <cacheHierarchy uniqueName="[session_data].[Time_of_Day]" caption="Time_of_Day" attribute="1" defaultMemberUniqueName="[session_data].[Time_of_Day].[All]" allUniqueName="[session_data].[Time_of_Day].[All]" dimensionUniqueName="[session_data]" displayFolder="" count="0" memberValueDatatype="130" unbalanced="0"/>
    <cacheHierarchy uniqueName="[session_data].[Year]" caption="Year" attribute="1" defaultMemberUniqueName="[session_data].[Year].[All]" allUniqueName="[session_data].[Year].[All]" dimensionUniqueName="[session_data]" displayFolder="" count="2" memberValueDatatype="20" unbalanced="0"/>
    <cacheHierarchy uniqueName="[session_data].[Month]" caption="Month" attribute="1" defaultMemberUniqueName="[session_data].[Month].[All]" allUniqueName="[session_data].[Month].[All]" dimensionUniqueName="[session_data]" displayFolder="" count="0" memberValueDatatype="130" unbalanced="0"/>
    <cacheHierarchy uniqueName="[session_data].[Day]" caption="Day" attribute="1" defaultMemberUniqueName="[session_data].[Day].[All]" allUniqueName="[session_data].[Day].[All]" dimensionUniqueName="[session_data]" displayFolder="" count="0" memberValueDatatype="130" unbalanced="0"/>
    <cacheHierarchy uniqueName="[session_data].[Traffic Source]" caption="Traffic Source" attribute="1" defaultMemberUniqueName="[session_data].[Traffic Source].[All]" allUniqueName="[session_data].[Traffic Source].[All]" dimensionUniqueName="[session_data]" displayFolder="" count="2" memberValueDatatype="130" unbalanced="0"/>
    <cacheHierarchy uniqueName="[session_data].[Device Type]" caption="Device Type" attribute="1" defaultMemberUniqueName="[session_data].[Device Type].[All]" allUniqueName="[session_data].[Device Type].[All]" dimensionUniqueName="[session_data]" displayFolder="" count="2" memberValueDatatype="130" unbalanced="0">
      <fieldsUsage count="2">
        <fieldUsage x="-1"/>
        <fieldUsage x="1"/>
      </fieldsUsage>
    </cacheHierarchy>
    <cacheHierarchy uniqueName="[session_data].[State]" caption="State" attribute="1" defaultMemberUniqueName="[session_data].[State].[All]" allUniqueName="[session_data].[State].[All]" dimensionUniqueName="[session_data]" displayFolder="" count="0" memberValueDatatype="130" unbalanced="0"/>
    <cacheHierarchy uniqueName="[session_data].[Country]" caption="Country" attribute="1" defaultMemberUniqueName="[session_data].[Country].[All]" allUniqueName="[session_data].[Country].[All]" dimensionUniqueName="[session_data]" displayFolder="" count="0" memberValueDatatype="130" unbalanced="0"/>
    <cacheHierarchy uniqueName="[session_data].[User Type]" caption="User Type" attribute="1" defaultMemberUniqueName="[session_data].[User Type].[All]" allUniqueName="[session_data].[User Type].[All]" dimensionUniqueName="[session_data]" displayFolder="" count="0" memberValueDatatype="130" unbalanced="0"/>
    <cacheHierarchy uniqueName="[session_data].[User Gender]" caption="User Gender" attribute="1" defaultMemberUniqueName="[session_data].[User Gender].[All]" allUniqueName="[session_data].[User Gender].[All]" dimensionUniqueName="[session_data]" displayFolder="" count="0" memberValueDatatype="130" unbalanced="0"/>
    <cacheHierarchy uniqueName="[Measures].[Count of SessionID]" caption="Count of SessionID" measure="1" displayFolder="" measureGroup="session_data" count="0">
      <extLst>
        <ext xmlns:x15="http://schemas.microsoft.com/office/spreadsheetml/2010/11/main" uri="{B97F6D7D-B522-45F9-BDA1-12C45D357490}">
          <x15:cacheHierarchy aggregatedColumn="7"/>
        </ext>
      </extLst>
    </cacheHierarchy>
    <cacheHierarchy uniqueName="[Measures].[Distinct Count of SessionID]" caption="Distinct Count of SessionID" measure="1" displayFolder="" measureGroup="session_data" count="0">
      <extLst>
        <ext xmlns:x15="http://schemas.microsoft.com/office/spreadsheetml/2010/11/main" uri="{B97F6D7D-B522-45F9-BDA1-12C45D357490}">
          <x15:cacheHierarchy aggregatedColumn="7"/>
        </ext>
      </extLst>
    </cacheHierarchy>
    <cacheHierarchy uniqueName="[Measures].[Count of UserID]" caption="Count of UserID" measure="1" displayFolder="" measureGroup="session_data" count="0">
      <extLst>
        <ext xmlns:x15="http://schemas.microsoft.com/office/spreadsheetml/2010/11/main" uri="{B97F6D7D-B522-45F9-BDA1-12C45D357490}">
          <x15:cacheHierarchy aggregatedColumn="8"/>
        </ext>
      </extLst>
    </cacheHierarchy>
    <cacheHierarchy uniqueName="[Measures].[Distinct Count of UserID]" caption="Distinct Count of UserID" measure="1" displayFolder="" measureGroup="session_data" count="0">
      <extLst>
        <ext xmlns:x15="http://schemas.microsoft.com/office/spreadsheetml/2010/11/main" uri="{B97F6D7D-B522-45F9-BDA1-12C45D357490}">
          <x15:cacheHierarchy aggregatedColumn="8"/>
        </ext>
      </extLst>
    </cacheHierarchy>
    <cacheHierarchy uniqueName="[Measures].[Count of SessionID 2]" caption="Count of SessionID 2" measure="1" displayFolder="" measureGroup="engagement" count="0">
      <extLst>
        <ext xmlns:x15="http://schemas.microsoft.com/office/spreadsheetml/2010/11/main" uri="{B97F6D7D-B522-45F9-BDA1-12C45D357490}">
          <x15:cacheHierarchy aggregatedColumn="0"/>
        </ext>
      </extLst>
    </cacheHierarchy>
    <cacheHierarchy uniqueName="[Measures].[Sum of Conversion Flag]" caption="Sum of Conversion Flag" measure="1" displayFolder="" measureGroup="engagement" count="0">
      <extLst>
        <ext xmlns:x15="http://schemas.microsoft.com/office/spreadsheetml/2010/11/main" uri="{B97F6D7D-B522-45F9-BDA1-12C45D357490}">
          <x15:cacheHierarchy aggregatedColumn="4"/>
        </ext>
      </extLst>
    </cacheHierarchy>
    <cacheHierarchy uniqueName="[Measures].[Count of Traffic Source]" caption="Count of Traffic Source" measure="1" displayFolder="" measureGroup="session_data" count="0">
      <extLst>
        <ext xmlns:x15="http://schemas.microsoft.com/office/spreadsheetml/2010/11/main" uri="{B97F6D7D-B522-45F9-BDA1-12C45D357490}">
          <x15:cacheHierarchy aggregatedColumn="16"/>
        </ext>
      </extLst>
    </cacheHierarchy>
    <cacheHierarchy uniqueName="[Measures].[Sum of Session Duration]" caption="Sum of Session Duration" measure="1" displayFolder="" measureGroup="engagement" count="0">
      <extLst>
        <ext xmlns:x15="http://schemas.microsoft.com/office/spreadsheetml/2010/11/main" uri="{B97F6D7D-B522-45F9-BDA1-12C45D357490}">
          <x15:cacheHierarchy aggregatedColumn="1"/>
        </ext>
      </extLst>
    </cacheHierarchy>
    <cacheHierarchy uniqueName="[Measures].[Average of Session Duration]" caption="Average of Session Duration" measure="1" displayFolder="" measureGroup="engagement" count="0">
      <extLst>
        <ext xmlns:x15="http://schemas.microsoft.com/office/spreadsheetml/2010/11/main" uri="{B97F6D7D-B522-45F9-BDA1-12C45D357490}">
          <x15:cacheHierarchy aggregatedColumn="1"/>
        </ext>
      </extLst>
    </cacheHierarchy>
    <cacheHierarchy uniqueName="[Measures].[Conversion_Rate]" caption="Conversion_Rate" measure="1" displayFolder="" measureGroup="session_data" count="0" oneField="1">
      <fieldsUsage count="1">
        <fieldUsage x="0"/>
      </fieldsUsage>
    </cacheHierarchy>
    <cacheHierarchy uniqueName="[Measures].[__XL_Count session_data]" caption="__XL_Count session_data" measure="1" displayFolder="" measureGroup="session_data" count="0" hidden="1"/>
    <cacheHierarchy uniqueName="[Measures].[__XL_Count engagement]" caption="__XL_Count engagement" measure="1" displayFolder="" measureGroup="engagement" count="0" hidden="1"/>
    <cacheHierarchy uniqueName="[Measures].[__No measures defined]" caption="__No measures defined" measure="1" displayFolder="" count="0" hidden="1"/>
  </cacheHierarchies>
  <kpis count="0"/>
  <dimensions count="3">
    <dimension name="engagement" uniqueName="[engagement]" caption="engagement"/>
    <dimension measure="1" name="Measures" uniqueName="[Measures]" caption="Measures"/>
    <dimension name="session_data" uniqueName="[session_data]" caption="session_data"/>
  </dimensions>
  <measureGroups count="2">
    <measureGroup name="engagement" caption="engagement"/>
    <measureGroup name="session_data" caption="session_data"/>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8.065265509256" backgroundQuery="1" createdVersion="8" refreshedVersion="8" minRefreshableVersion="3" recordCount="0" supportSubquery="1" supportAdvancedDrill="1" xr:uid="{1FABBBE3-1DD3-4CA2-808E-789E7021FBBE}">
  <cacheSource type="external" connectionId="1"/>
  <cacheFields count="3">
    <cacheField name="[Measures].[Count of SessionID]" caption="Count of SessionID" numFmtId="0" hierarchy="22" level="32767"/>
    <cacheField name="[session_data].[Time_of_Day].[Time_of_Day]" caption="Time_of_Day" numFmtId="0" hierarchy="12" level="1">
      <sharedItems count="4">
        <s v="Afternoon"/>
        <s v="Evening"/>
        <s v="Morning"/>
        <s v="Night"/>
      </sharedItems>
    </cacheField>
    <cacheField name="[session_data].[Device Type].[Device Type]" caption="Device Type" numFmtId="0" hierarchy="17" level="1">
      <sharedItems count="3">
        <s v="Desktop"/>
        <s v="Mobile"/>
        <s v="Tablet"/>
      </sharedItems>
    </cacheField>
  </cacheFields>
  <cacheHierarchies count="35">
    <cacheHierarchy uniqueName="[engagement].[SessionID]" caption="SessionID" attribute="1" defaultMemberUniqueName="[engagement].[SessionID].[All]" allUniqueName="[engagement].[SessionID].[All]" dimensionUniqueName="[engagement]" displayFolder="" count="0" memberValueDatatype="130" unbalanced="0"/>
    <cacheHierarchy uniqueName="[engagement].[Session Duration]" caption="Session Duration" attribute="1" defaultMemberUniqueName="[engagement].[Session Duration].[All]" allUniqueName="[engagement].[Session Duration].[All]" dimensionUniqueName="[engagement]" displayFolder="" count="0" memberValueDatatype="20" unbalanced="0"/>
    <cacheHierarchy uniqueName="[engagement].[Page Views]" caption="Page Views" attribute="1" defaultMemberUniqueName="[engagement].[Page Views].[All]" allUniqueName="[engagement].[Page Views].[All]" dimensionUniqueName="[engagement]" displayFolder="" count="0" memberValueDatatype="20" unbalanced="0"/>
    <cacheHierarchy uniqueName="[engagement].[Unique Page Views]" caption="Unique Page Views" attribute="1" defaultMemberUniqueName="[engagement].[Unique Page Views].[All]" allUniqueName="[engagement].[Unique Page Views].[All]" dimensionUniqueName="[engagement]" displayFolder="" count="0" memberValueDatatype="20" unbalanced="0"/>
    <cacheHierarchy uniqueName="[engagement].[Conversion Flag]" caption="Conversion Flag" attribute="1" defaultMemberUniqueName="[engagement].[Conversion Flag].[All]" allUniqueName="[engagement].[Conversion Flag].[All]" dimensionUniqueName="[engagement]" displayFolder="" count="0" memberValueDatatype="20" unbalanced="0"/>
    <cacheHierarchy uniqueName="[engagement].[Page URL]" caption="Page URL" attribute="1" defaultMemberUniqueName="[engagement].[Page URL].[All]" allUniqueName="[engagement].[Page URL].[All]" dimensionUniqueName="[engagement]" displayFolder="" count="0" memberValueDatatype="130" unbalanced="0"/>
    <cacheHierarchy uniqueName="[engagement].[Traffic source]" caption="Traffic source" attribute="1" defaultMemberUniqueName="[engagement].[Traffic source].[All]" allUniqueName="[engagement].[Traffic source].[All]" dimensionUniqueName="[engagement]" displayFolder="" count="0" memberValueDatatype="130" unbalanced="0"/>
    <cacheHierarchy uniqueName="[session_data].[SessionID]" caption="SessionID" attribute="1" defaultMemberUniqueName="[session_data].[SessionID].[All]" allUniqueName="[session_data].[SessionID].[All]" dimensionUniqueName="[session_data]" displayFolder="" count="0" memberValueDatatype="130" unbalanced="0"/>
    <cacheHierarchy uniqueName="[session_data].[UserID]" caption="UserID" attribute="1" defaultMemberUniqueName="[session_data].[UserID].[All]" allUniqueName="[session_data].[UserID].[All]" dimensionUniqueName="[session_data]" displayFolder="" count="0" memberValueDatatype="130" unbalanced="0"/>
    <cacheHierarchy uniqueName="[session_data].[Timestamp]" caption="Timestamp" attribute="1" time="1" defaultMemberUniqueName="[session_data].[Timestamp].[All]" allUniqueName="[session_data].[Timestamp].[All]" dimensionUniqueName="[session_data]" displayFolder="" count="0" memberValueDatatype="7" unbalanced="0"/>
    <cacheHierarchy uniqueName="[session_data].[Date]" caption="Date" attribute="1" time="1" defaultMemberUniqueName="[session_data].[Date].[All]" allUniqueName="[session_data].[Date].[All]" dimensionUniqueName="[session_data]" displayFolder="" count="0" memberValueDatatype="7" unbalanced="0"/>
    <cacheHierarchy uniqueName="[session_data].[Time]" caption="Time" attribute="1" time="1" defaultMemberUniqueName="[session_data].[Time].[All]" allUniqueName="[session_data].[Time].[All]" dimensionUniqueName="[session_data]" displayFolder="" count="0" memberValueDatatype="7" unbalanced="0"/>
    <cacheHierarchy uniqueName="[session_data].[Time_of_Day]" caption="Time_of_Day" attribute="1" defaultMemberUniqueName="[session_data].[Time_of_Day].[All]" allUniqueName="[session_data].[Time_of_Day].[All]" dimensionUniqueName="[session_data]" displayFolder="" count="2" memberValueDatatype="130" unbalanced="0">
      <fieldsUsage count="2">
        <fieldUsage x="-1"/>
        <fieldUsage x="1"/>
      </fieldsUsage>
    </cacheHierarchy>
    <cacheHierarchy uniqueName="[session_data].[Year]" caption="Year" attribute="1" defaultMemberUniqueName="[session_data].[Year].[All]" allUniqueName="[session_data].[Year].[All]" dimensionUniqueName="[session_data]" displayFolder="" count="2" memberValueDatatype="20" unbalanced="0"/>
    <cacheHierarchy uniqueName="[session_data].[Month]" caption="Month" attribute="1" defaultMemberUniqueName="[session_data].[Month].[All]" allUniqueName="[session_data].[Month].[All]" dimensionUniqueName="[session_data]" displayFolder="" count="0" memberValueDatatype="130" unbalanced="0"/>
    <cacheHierarchy uniqueName="[session_data].[Day]" caption="Day" attribute="1" defaultMemberUniqueName="[session_data].[Day].[All]" allUniqueName="[session_data].[Day].[All]" dimensionUniqueName="[session_data]" displayFolder="" count="0" memberValueDatatype="130" unbalanced="0"/>
    <cacheHierarchy uniqueName="[session_data].[Traffic Source]" caption="Traffic Source" attribute="1" defaultMemberUniqueName="[session_data].[Traffic Source].[All]" allUniqueName="[session_data].[Traffic Source].[All]" dimensionUniqueName="[session_data]" displayFolder="" count="2" memberValueDatatype="130" unbalanced="0"/>
    <cacheHierarchy uniqueName="[session_data].[Device Type]" caption="Device Type" attribute="1" defaultMemberUniqueName="[session_data].[Device Type].[All]" allUniqueName="[session_data].[Device Type].[All]" dimensionUniqueName="[session_data]" displayFolder="" count="2" memberValueDatatype="130" unbalanced="0">
      <fieldsUsage count="2">
        <fieldUsage x="-1"/>
        <fieldUsage x="2"/>
      </fieldsUsage>
    </cacheHierarchy>
    <cacheHierarchy uniqueName="[session_data].[State]" caption="State" attribute="1" defaultMemberUniqueName="[session_data].[State].[All]" allUniqueName="[session_data].[State].[All]" dimensionUniqueName="[session_data]" displayFolder="" count="0" memberValueDatatype="130" unbalanced="0"/>
    <cacheHierarchy uniqueName="[session_data].[Country]" caption="Country" attribute="1" defaultMemberUniqueName="[session_data].[Country].[All]" allUniqueName="[session_data].[Country].[All]" dimensionUniqueName="[session_data]" displayFolder="" count="0" memberValueDatatype="130" unbalanced="0"/>
    <cacheHierarchy uniqueName="[session_data].[User Type]" caption="User Type" attribute="1" defaultMemberUniqueName="[session_data].[User Type].[All]" allUniqueName="[session_data].[User Type].[All]" dimensionUniqueName="[session_data]" displayFolder="" count="0" memberValueDatatype="130" unbalanced="0"/>
    <cacheHierarchy uniqueName="[session_data].[User Gender]" caption="User Gender" attribute="1" defaultMemberUniqueName="[session_data].[User Gender].[All]" allUniqueName="[session_data].[User Gender].[All]" dimensionUniqueName="[session_data]" displayFolder="" count="0" memberValueDatatype="130" unbalanced="0"/>
    <cacheHierarchy uniqueName="[Measures].[Count of SessionID]" caption="Count of SessionID" measure="1" displayFolder="" measureGroup="session_data" count="0" oneField="1">
      <fieldsUsage count="1">
        <fieldUsage x="0"/>
      </fieldsUsage>
      <extLst>
        <ext xmlns:x15="http://schemas.microsoft.com/office/spreadsheetml/2010/11/main" uri="{B97F6D7D-B522-45F9-BDA1-12C45D357490}">
          <x15:cacheHierarchy aggregatedColumn="7"/>
        </ext>
      </extLst>
    </cacheHierarchy>
    <cacheHierarchy uniqueName="[Measures].[Distinct Count of SessionID]" caption="Distinct Count of SessionID" measure="1" displayFolder="" measureGroup="session_data" count="0">
      <extLst>
        <ext xmlns:x15="http://schemas.microsoft.com/office/spreadsheetml/2010/11/main" uri="{B97F6D7D-B522-45F9-BDA1-12C45D357490}">
          <x15:cacheHierarchy aggregatedColumn="7"/>
        </ext>
      </extLst>
    </cacheHierarchy>
    <cacheHierarchy uniqueName="[Measures].[Count of UserID]" caption="Count of UserID" measure="1" displayFolder="" measureGroup="session_data" count="0">
      <extLst>
        <ext xmlns:x15="http://schemas.microsoft.com/office/spreadsheetml/2010/11/main" uri="{B97F6D7D-B522-45F9-BDA1-12C45D357490}">
          <x15:cacheHierarchy aggregatedColumn="8"/>
        </ext>
      </extLst>
    </cacheHierarchy>
    <cacheHierarchy uniqueName="[Measures].[Distinct Count of UserID]" caption="Distinct Count of UserID" measure="1" displayFolder="" measureGroup="session_data" count="0">
      <extLst>
        <ext xmlns:x15="http://schemas.microsoft.com/office/spreadsheetml/2010/11/main" uri="{B97F6D7D-B522-45F9-BDA1-12C45D357490}">
          <x15:cacheHierarchy aggregatedColumn="8"/>
        </ext>
      </extLst>
    </cacheHierarchy>
    <cacheHierarchy uniqueName="[Measures].[Count of SessionID 2]" caption="Count of SessionID 2" measure="1" displayFolder="" measureGroup="engagement" count="0">
      <extLst>
        <ext xmlns:x15="http://schemas.microsoft.com/office/spreadsheetml/2010/11/main" uri="{B97F6D7D-B522-45F9-BDA1-12C45D357490}">
          <x15:cacheHierarchy aggregatedColumn="0"/>
        </ext>
      </extLst>
    </cacheHierarchy>
    <cacheHierarchy uniqueName="[Measures].[Sum of Conversion Flag]" caption="Sum of Conversion Flag" measure="1" displayFolder="" measureGroup="engagement" count="0">
      <extLst>
        <ext xmlns:x15="http://schemas.microsoft.com/office/spreadsheetml/2010/11/main" uri="{B97F6D7D-B522-45F9-BDA1-12C45D357490}">
          <x15:cacheHierarchy aggregatedColumn="4"/>
        </ext>
      </extLst>
    </cacheHierarchy>
    <cacheHierarchy uniqueName="[Measures].[Count of Traffic Source]" caption="Count of Traffic Source" measure="1" displayFolder="" measureGroup="session_data" count="0">
      <extLst>
        <ext xmlns:x15="http://schemas.microsoft.com/office/spreadsheetml/2010/11/main" uri="{B97F6D7D-B522-45F9-BDA1-12C45D357490}">
          <x15:cacheHierarchy aggregatedColumn="16"/>
        </ext>
      </extLst>
    </cacheHierarchy>
    <cacheHierarchy uniqueName="[Measures].[Sum of Session Duration]" caption="Sum of Session Duration" measure="1" displayFolder="" measureGroup="engagement" count="0">
      <extLst>
        <ext xmlns:x15="http://schemas.microsoft.com/office/spreadsheetml/2010/11/main" uri="{B97F6D7D-B522-45F9-BDA1-12C45D357490}">
          <x15:cacheHierarchy aggregatedColumn="1"/>
        </ext>
      </extLst>
    </cacheHierarchy>
    <cacheHierarchy uniqueName="[Measures].[Average of Session Duration]" caption="Average of Session Duration" measure="1" displayFolder="" measureGroup="engagement" count="0">
      <extLst>
        <ext xmlns:x15="http://schemas.microsoft.com/office/spreadsheetml/2010/11/main" uri="{B97F6D7D-B522-45F9-BDA1-12C45D357490}">
          <x15:cacheHierarchy aggregatedColumn="1"/>
        </ext>
      </extLst>
    </cacheHierarchy>
    <cacheHierarchy uniqueName="[Measures].[Conversion_Rate]" caption="Conversion_Rate" measure="1" displayFolder="" measureGroup="session_data" count="0"/>
    <cacheHierarchy uniqueName="[Measures].[__XL_Count session_data]" caption="__XL_Count session_data" measure="1" displayFolder="" measureGroup="session_data" count="0" hidden="1"/>
    <cacheHierarchy uniqueName="[Measures].[__XL_Count engagement]" caption="__XL_Count engagement" measure="1" displayFolder="" measureGroup="engagement" count="0" hidden="1"/>
    <cacheHierarchy uniqueName="[Measures].[__No measures defined]" caption="__No measures defined" measure="1" displayFolder="" count="0" hidden="1"/>
  </cacheHierarchies>
  <kpis count="0"/>
  <dimensions count="3">
    <dimension name="engagement" uniqueName="[engagement]" caption="engagement"/>
    <dimension measure="1" name="Measures" uniqueName="[Measures]" caption="Measures"/>
    <dimension name="session_data" uniqueName="[session_data]" caption="session_data"/>
  </dimensions>
  <measureGroups count="2">
    <measureGroup name="engagement" caption="engagement"/>
    <measureGroup name="session_data" caption="session_data"/>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dmin" refreshedDate="46098.066052083333" backgroundQuery="1" createdVersion="8" refreshedVersion="8" minRefreshableVersion="3" recordCount="0" supportSubquery="1" supportAdvancedDrill="1" xr:uid="{498F55A6-A540-472D-8927-5C40E4BA60C1}">
  <cacheSource type="external" connectionId="1"/>
  <cacheFields count="1">
    <cacheField name="[Measures].[Average of Session Duration]" caption="Average of Session Duration" numFmtId="0" hierarchy="30" level="32767"/>
  </cacheFields>
  <cacheHierarchies count="35">
    <cacheHierarchy uniqueName="[engagement].[SessionID]" caption="SessionID" attribute="1" defaultMemberUniqueName="[engagement].[SessionID].[All]" allUniqueName="[engagement].[SessionID].[All]" dimensionUniqueName="[engagement]" displayFolder="" count="0" memberValueDatatype="130" unbalanced="0"/>
    <cacheHierarchy uniqueName="[engagement].[Session Duration]" caption="Session Duration" attribute="1" defaultMemberUniqueName="[engagement].[Session Duration].[All]" allUniqueName="[engagement].[Session Duration].[All]" dimensionUniqueName="[engagement]" displayFolder="" count="0" memberValueDatatype="20" unbalanced="0"/>
    <cacheHierarchy uniqueName="[engagement].[Page Views]" caption="Page Views" attribute="1" defaultMemberUniqueName="[engagement].[Page Views].[All]" allUniqueName="[engagement].[Page Views].[All]" dimensionUniqueName="[engagement]" displayFolder="" count="0" memberValueDatatype="20" unbalanced="0"/>
    <cacheHierarchy uniqueName="[engagement].[Unique Page Views]" caption="Unique Page Views" attribute="1" defaultMemberUniqueName="[engagement].[Unique Page Views].[All]" allUniqueName="[engagement].[Unique Page Views].[All]" dimensionUniqueName="[engagement]" displayFolder="" count="0" memberValueDatatype="20" unbalanced="0"/>
    <cacheHierarchy uniqueName="[engagement].[Conversion Flag]" caption="Conversion Flag" attribute="1" defaultMemberUniqueName="[engagement].[Conversion Flag].[All]" allUniqueName="[engagement].[Conversion Flag].[All]" dimensionUniqueName="[engagement]" displayFolder="" count="0" memberValueDatatype="20" unbalanced="0"/>
    <cacheHierarchy uniqueName="[engagement].[Page URL]" caption="Page URL" attribute="1" defaultMemberUniqueName="[engagement].[Page URL].[All]" allUniqueName="[engagement].[Page URL].[All]" dimensionUniqueName="[engagement]" displayFolder="" count="0" memberValueDatatype="130" unbalanced="0"/>
    <cacheHierarchy uniqueName="[engagement].[Traffic source]" caption="Traffic source" attribute="1" defaultMemberUniqueName="[engagement].[Traffic source].[All]" allUniqueName="[engagement].[Traffic source].[All]" dimensionUniqueName="[engagement]" displayFolder="" count="0" memberValueDatatype="130" unbalanced="0"/>
    <cacheHierarchy uniqueName="[session_data].[SessionID]" caption="SessionID" attribute="1" defaultMemberUniqueName="[session_data].[SessionID].[All]" allUniqueName="[session_data].[SessionID].[All]" dimensionUniqueName="[session_data]" displayFolder="" count="0" memberValueDatatype="130" unbalanced="0"/>
    <cacheHierarchy uniqueName="[session_data].[UserID]" caption="UserID" attribute="1" defaultMemberUniqueName="[session_data].[UserID].[All]" allUniqueName="[session_data].[UserID].[All]" dimensionUniqueName="[session_data]" displayFolder="" count="0" memberValueDatatype="130" unbalanced="0"/>
    <cacheHierarchy uniqueName="[session_data].[Timestamp]" caption="Timestamp" attribute="1" time="1" defaultMemberUniqueName="[session_data].[Timestamp].[All]" allUniqueName="[session_data].[Timestamp].[All]" dimensionUniqueName="[session_data]" displayFolder="" count="0" memberValueDatatype="7" unbalanced="0"/>
    <cacheHierarchy uniqueName="[session_data].[Date]" caption="Date" attribute="1" time="1" defaultMemberUniqueName="[session_data].[Date].[All]" allUniqueName="[session_data].[Date].[All]" dimensionUniqueName="[session_data]" displayFolder="" count="0" memberValueDatatype="7" unbalanced="0"/>
    <cacheHierarchy uniqueName="[session_data].[Time]" caption="Time" attribute="1" time="1" defaultMemberUniqueName="[session_data].[Time].[All]" allUniqueName="[session_data].[Time].[All]" dimensionUniqueName="[session_data]" displayFolder="" count="0" memberValueDatatype="7" unbalanced="0"/>
    <cacheHierarchy uniqueName="[session_data].[Time_of_Day]" caption="Time_of_Day" attribute="1" defaultMemberUniqueName="[session_data].[Time_of_Day].[All]" allUniqueName="[session_data].[Time_of_Day].[All]" dimensionUniqueName="[session_data]" displayFolder="" count="2" memberValueDatatype="130" unbalanced="0"/>
    <cacheHierarchy uniqueName="[session_data].[Year]" caption="Year" attribute="1" defaultMemberUniqueName="[session_data].[Year].[All]" allUniqueName="[session_data].[Year].[All]" dimensionUniqueName="[session_data]" displayFolder="" count="2" memberValueDatatype="20" unbalanced="0"/>
    <cacheHierarchy uniqueName="[session_data].[Month]" caption="Month" attribute="1" defaultMemberUniqueName="[session_data].[Month].[All]" allUniqueName="[session_data].[Month].[All]" dimensionUniqueName="[session_data]" displayFolder="" count="0" memberValueDatatype="130" unbalanced="0"/>
    <cacheHierarchy uniqueName="[session_data].[Day]" caption="Day" attribute="1" defaultMemberUniqueName="[session_data].[Day].[All]" allUniqueName="[session_data].[Day].[All]" dimensionUniqueName="[session_data]" displayFolder="" count="0" memberValueDatatype="130" unbalanced="0"/>
    <cacheHierarchy uniqueName="[session_data].[Traffic Source]" caption="Traffic Source" attribute="1" defaultMemberUniqueName="[session_data].[Traffic Source].[All]" allUniqueName="[session_data].[Traffic Source].[All]" dimensionUniqueName="[session_data]" displayFolder="" count="2" memberValueDatatype="130" unbalanced="0"/>
    <cacheHierarchy uniqueName="[session_data].[Device Type]" caption="Device Type" attribute="1" defaultMemberUniqueName="[session_data].[Device Type].[All]" allUniqueName="[session_data].[Device Type].[All]" dimensionUniqueName="[session_data]" displayFolder="" count="2" memberValueDatatype="130" unbalanced="0"/>
    <cacheHierarchy uniqueName="[session_data].[State]" caption="State" attribute="1" defaultMemberUniqueName="[session_data].[State].[All]" allUniqueName="[session_data].[State].[All]" dimensionUniqueName="[session_data]" displayFolder="" count="0" memberValueDatatype="130" unbalanced="0"/>
    <cacheHierarchy uniqueName="[session_data].[Country]" caption="Country" attribute="1" defaultMemberUniqueName="[session_data].[Country].[All]" allUniqueName="[session_data].[Country].[All]" dimensionUniqueName="[session_data]" displayFolder="" count="0" memberValueDatatype="130" unbalanced="0"/>
    <cacheHierarchy uniqueName="[session_data].[User Type]" caption="User Type" attribute="1" defaultMemberUniqueName="[session_data].[User Type].[All]" allUniqueName="[session_data].[User Type].[All]" dimensionUniqueName="[session_data]" displayFolder="" count="0" memberValueDatatype="130" unbalanced="0"/>
    <cacheHierarchy uniqueName="[session_data].[User Gender]" caption="User Gender" attribute="1" defaultMemberUniqueName="[session_data].[User Gender].[All]" allUniqueName="[session_data].[User Gender].[All]" dimensionUniqueName="[session_data]" displayFolder="" count="0" memberValueDatatype="130" unbalanced="0"/>
    <cacheHierarchy uniqueName="[Measures].[Count of SessionID]" caption="Count of SessionID" measure="1" displayFolder="" measureGroup="session_data" count="0">
      <extLst>
        <ext xmlns:x15="http://schemas.microsoft.com/office/spreadsheetml/2010/11/main" uri="{B97F6D7D-B522-45F9-BDA1-12C45D357490}">
          <x15:cacheHierarchy aggregatedColumn="7"/>
        </ext>
      </extLst>
    </cacheHierarchy>
    <cacheHierarchy uniqueName="[Measures].[Distinct Count of SessionID]" caption="Distinct Count of SessionID" measure="1" displayFolder="" measureGroup="session_data" count="0">
      <extLst>
        <ext xmlns:x15="http://schemas.microsoft.com/office/spreadsheetml/2010/11/main" uri="{B97F6D7D-B522-45F9-BDA1-12C45D357490}">
          <x15:cacheHierarchy aggregatedColumn="7"/>
        </ext>
      </extLst>
    </cacheHierarchy>
    <cacheHierarchy uniqueName="[Measures].[Count of UserID]" caption="Count of UserID" measure="1" displayFolder="" measureGroup="session_data" count="0">
      <extLst>
        <ext xmlns:x15="http://schemas.microsoft.com/office/spreadsheetml/2010/11/main" uri="{B97F6D7D-B522-45F9-BDA1-12C45D357490}">
          <x15:cacheHierarchy aggregatedColumn="8"/>
        </ext>
      </extLst>
    </cacheHierarchy>
    <cacheHierarchy uniqueName="[Measures].[Distinct Count of UserID]" caption="Distinct Count of UserID" measure="1" displayFolder="" measureGroup="session_data" count="0">
      <extLst>
        <ext xmlns:x15="http://schemas.microsoft.com/office/spreadsheetml/2010/11/main" uri="{B97F6D7D-B522-45F9-BDA1-12C45D357490}">
          <x15:cacheHierarchy aggregatedColumn="8"/>
        </ext>
      </extLst>
    </cacheHierarchy>
    <cacheHierarchy uniqueName="[Measures].[Count of SessionID 2]" caption="Count of SessionID 2" measure="1" displayFolder="" measureGroup="engagement" count="0">
      <extLst>
        <ext xmlns:x15="http://schemas.microsoft.com/office/spreadsheetml/2010/11/main" uri="{B97F6D7D-B522-45F9-BDA1-12C45D357490}">
          <x15:cacheHierarchy aggregatedColumn="0"/>
        </ext>
      </extLst>
    </cacheHierarchy>
    <cacheHierarchy uniqueName="[Measures].[Sum of Conversion Flag]" caption="Sum of Conversion Flag" measure="1" displayFolder="" measureGroup="engagement" count="0">
      <extLst>
        <ext xmlns:x15="http://schemas.microsoft.com/office/spreadsheetml/2010/11/main" uri="{B97F6D7D-B522-45F9-BDA1-12C45D357490}">
          <x15:cacheHierarchy aggregatedColumn="4"/>
        </ext>
      </extLst>
    </cacheHierarchy>
    <cacheHierarchy uniqueName="[Measures].[Count of Traffic Source]" caption="Count of Traffic Source" measure="1" displayFolder="" measureGroup="session_data" count="0">
      <extLst>
        <ext xmlns:x15="http://schemas.microsoft.com/office/spreadsheetml/2010/11/main" uri="{B97F6D7D-B522-45F9-BDA1-12C45D357490}">
          <x15:cacheHierarchy aggregatedColumn="16"/>
        </ext>
      </extLst>
    </cacheHierarchy>
    <cacheHierarchy uniqueName="[Measures].[Sum of Session Duration]" caption="Sum of Session Duration" measure="1" displayFolder="" measureGroup="engagement" count="0">
      <extLst>
        <ext xmlns:x15="http://schemas.microsoft.com/office/spreadsheetml/2010/11/main" uri="{B97F6D7D-B522-45F9-BDA1-12C45D357490}">
          <x15:cacheHierarchy aggregatedColumn="1"/>
        </ext>
      </extLst>
    </cacheHierarchy>
    <cacheHierarchy uniqueName="[Measures].[Average of Session Duration]" caption="Average of Session Duration" measure="1" displayFolder="" measureGroup="engagement" count="0" oneField="1">
      <fieldsUsage count="1">
        <fieldUsage x="0"/>
      </fieldsUsage>
      <extLst>
        <ext xmlns:x15="http://schemas.microsoft.com/office/spreadsheetml/2010/11/main" uri="{B97F6D7D-B522-45F9-BDA1-12C45D357490}">
          <x15:cacheHierarchy aggregatedColumn="1"/>
        </ext>
      </extLst>
    </cacheHierarchy>
    <cacheHierarchy uniqueName="[Measures].[Conversion_Rate]" caption="Conversion_Rate" measure="1" displayFolder="" measureGroup="session_data" count="0"/>
    <cacheHierarchy uniqueName="[Measures].[__XL_Count session_data]" caption="__XL_Count session_data" measure="1" displayFolder="" measureGroup="session_data" count="0" hidden="1"/>
    <cacheHierarchy uniqueName="[Measures].[__XL_Count engagement]" caption="__XL_Count engagement" measure="1" displayFolder="" measureGroup="engagement" count="0" hidden="1"/>
    <cacheHierarchy uniqueName="[Measures].[__No measures defined]" caption="__No measures defined" measure="1" displayFolder="" count="0" hidden="1"/>
  </cacheHierarchies>
  <kpis count="0"/>
  <dimensions count="3">
    <dimension name="engagement" uniqueName="[engagement]" caption="engagement"/>
    <dimension measure="1" name="Measures" uniqueName="[Measures]" caption="Measures"/>
    <dimension name="session_data" uniqueName="[session_data]" caption="session_data"/>
  </dimensions>
  <measureGroups count="2">
    <measureGroup name="engagement" caption="engagement"/>
    <measureGroup name="session_data" caption="session_data"/>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5.151408333331" backgroundQuery="1" createdVersion="3" refreshedVersion="8" minRefreshableVersion="3" recordCount="0" supportSubquery="1" supportAdvancedDrill="1" xr:uid="{C5BB4F21-5755-4092-B3E4-0A3A981B646F}">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engagement].[SessionID]" caption="SessionID" attribute="1" defaultMemberUniqueName="[engagement].[SessionID].[All]" allUniqueName="[engagement].[SessionID].[All]" dimensionUniqueName="[engagement]" displayFolder="" count="0" memberValueDatatype="130" unbalanced="0"/>
    <cacheHierarchy uniqueName="[engagement].[Session Duration]" caption="Session Duration" attribute="1" defaultMemberUniqueName="[engagement].[Session Duration].[All]" allUniqueName="[engagement].[Session Duration].[All]" dimensionUniqueName="[engagement]" displayFolder="" count="0" memberValueDatatype="20" unbalanced="0"/>
    <cacheHierarchy uniqueName="[engagement].[Page Views]" caption="Page Views" attribute="1" defaultMemberUniqueName="[engagement].[Page Views].[All]" allUniqueName="[engagement].[Page Views].[All]" dimensionUniqueName="[engagement]" displayFolder="" count="0" memberValueDatatype="20" unbalanced="0"/>
    <cacheHierarchy uniqueName="[engagement].[Unique Page Views]" caption="Unique Page Views" attribute="1" defaultMemberUniqueName="[engagement].[Unique Page Views].[All]" allUniqueName="[engagement].[Unique Page Views].[All]" dimensionUniqueName="[engagement]" displayFolder="" count="0" memberValueDatatype="20" unbalanced="0"/>
    <cacheHierarchy uniqueName="[engagement].[Conversion Flag]" caption="Conversion Flag" attribute="1" defaultMemberUniqueName="[engagement].[Conversion Flag].[All]" allUniqueName="[engagement].[Conversion Flag].[All]" dimensionUniqueName="[engagement]" displayFolder="" count="0" memberValueDatatype="20" unbalanced="0"/>
    <cacheHierarchy uniqueName="[engagement].[Page URL]" caption="Page URL" attribute="1" defaultMemberUniqueName="[engagement].[Page URL].[All]" allUniqueName="[engagement].[Page URL].[All]" dimensionUniqueName="[engagement]" displayFolder="" count="0" memberValueDatatype="130" unbalanced="0"/>
    <cacheHierarchy uniqueName="[engagement].[Traffic source]" caption="Traffic source" attribute="1" defaultMemberUniqueName="[engagement].[Traffic source].[All]" allUniqueName="[engagement].[Traffic source].[All]" dimensionUniqueName="[engagement]" displayFolder="" count="0" memberValueDatatype="130" unbalanced="0"/>
    <cacheHierarchy uniqueName="[session_data].[SessionID]" caption="SessionID" attribute="1" defaultMemberUniqueName="[session_data].[SessionID].[All]" allUniqueName="[session_data].[SessionID].[All]" dimensionUniqueName="[session_data]" displayFolder="" count="0" memberValueDatatype="130" unbalanced="0"/>
    <cacheHierarchy uniqueName="[session_data].[UserID]" caption="UserID" attribute="1" defaultMemberUniqueName="[session_data].[UserID].[All]" allUniqueName="[session_data].[UserID].[All]" dimensionUniqueName="[session_data]" displayFolder="" count="0" memberValueDatatype="130" unbalanced="0"/>
    <cacheHierarchy uniqueName="[session_data].[Timestamp]" caption="Timestamp" attribute="1" time="1" defaultMemberUniqueName="[session_data].[Timestamp].[All]" allUniqueName="[session_data].[Timestamp].[All]" dimensionUniqueName="[session_data]" displayFolder="" count="0" memberValueDatatype="7" unbalanced="0"/>
    <cacheHierarchy uniqueName="[session_data].[Date]" caption="Date" attribute="1" time="1" defaultMemberUniqueName="[session_data].[Date].[All]" allUniqueName="[session_data].[Date].[All]" dimensionUniqueName="[session_data]" displayFolder="" count="0" memberValueDatatype="7" unbalanced="0"/>
    <cacheHierarchy uniqueName="[session_data].[Time]" caption="Time" attribute="1" time="1" defaultMemberUniqueName="[session_data].[Time].[All]" allUniqueName="[session_data].[Time].[All]" dimensionUniqueName="[session_data]" displayFolder="" count="0" memberValueDatatype="7" unbalanced="0"/>
    <cacheHierarchy uniqueName="[session_data].[Time_of_Day]" caption="Time_of_Day" attribute="1" defaultMemberUniqueName="[session_data].[Time_of_Day].[All]" allUniqueName="[session_data].[Time_of_Day].[All]" dimensionUniqueName="[session_data]" displayFolder="" count="0" memberValueDatatype="130" unbalanced="0"/>
    <cacheHierarchy uniqueName="[session_data].[Year]" caption="Year" attribute="1" defaultMemberUniqueName="[session_data].[Year].[All]" allUniqueName="[session_data].[Year].[All]" dimensionUniqueName="[session_data]" displayFolder="" count="2" memberValueDatatype="20" unbalanced="0"/>
    <cacheHierarchy uniqueName="[session_data].[Month]" caption="Month" attribute="1" defaultMemberUniqueName="[session_data].[Month].[All]" allUniqueName="[session_data].[Month].[All]" dimensionUniqueName="[session_data]" displayFolder="" count="0" memberValueDatatype="130" unbalanced="0"/>
    <cacheHierarchy uniqueName="[session_data].[Day]" caption="Day" attribute="1" defaultMemberUniqueName="[session_data].[Day].[All]" allUniqueName="[session_data].[Day].[All]" dimensionUniqueName="[session_data]" displayFolder="" count="0" memberValueDatatype="130" unbalanced="0"/>
    <cacheHierarchy uniqueName="[session_data].[Traffic Source]" caption="Traffic Source" attribute="1" defaultMemberUniqueName="[session_data].[Traffic Source].[All]" allUniqueName="[session_data].[Traffic Source].[All]" dimensionUniqueName="[session_data]" displayFolder="" count="2" memberValueDatatype="130" unbalanced="0"/>
    <cacheHierarchy uniqueName="[session_data].[Device Type]" caption="Device Type" attribute="1" defaultMemberUniqueName="[session_data].[Device Type].[All]" allUniqueName="[session_data].[Device Type].[All]" dimensionUniqueName="[session_data]" displayFolder="" count="2" memberValueDatatype="130" unbalanced="0"/>
    <cacheHierarchy uniqueName="[session_data].[State]" caption="State" attribute="1" defaultMemberUniqueName="[session_data].[State].[All]" allUniqueName="[session_data].[State].[All]" dimensionUniqueName="[session_data]" displayFolder="" count="0" memberValueDatatype="130" unbalanced="0"/>
    <cacheHierarchy uniqueName="[session_data].[Country]" caption="Country" attribute="1" defaultMemberUniqueName="[session_data].[Country].[All]" allUniqueName="[session_data].[Country].[All]" dimensionUniqueName="[session_data]" displayFolder="" count="0" memberValueDatatype="130" unbalanced="0"/>
    <cacheHierarchy uniqueName="[session_data].[User Type]" caption="User Type" attribute="1" defaultMemberUniqueName="[session_data].[User Type].[All]" allUniqueName="[session_data].[User Type].[All]" dimensionUniqueName="[session_data]" displayFolder="" count="0" memberValueDatatype="130" unbalanced="0"/>
    <cacheHierarchy uniqueName="[session_data].[User Gender]" caption="User Gender" attribute="1" defaultMemberUniqueName="[session_data].[User Gender].[All]" allUniqueName="[session_data].[User Gender].[All]" dimensionUniqueName="[session_data]" displayFolder="" count="0" memberValueDatatype="130" unbalanced="0"/>
    <cacheHierarchy uniqueName="[Measures].[Count of SessionID]" caption="Count of SessionID" measure="1" displayFolder="" measureGroup="session_data" count="0">
      <extLst>
        <ext xmlns:x15="http://schemas.microsoft.com/office/spreadsheetml/2010/11/main" uri="{B97F6D7D-B522-45F9-BDA1-12C45D357490}">
          <x15:cacheHierarchy aggregatedColumn="7"/>
        </ext>
      </extLst>
    </cacheHierarchy>
    <cacheHierarchy uniqueName="[Measures].[Distinct Count of SessionID]" caption="Distinct Count of SessionID" measure="1" displayFolder="" measureGroup="session_data" count="0">
      <extLst>
        <ext xmlns:x15="http://schemas.microsoft.com/office/spreadsheetml/2010/11/main" uri="{B97F6D7D-B522-45F9-BDA1-12C45D357490}">
          <x15:cacheHierarchy aggregatedColumn="7"/>
        </ext>
      </extLst>
    </cacheHierarchy>
    <cacheHierarchy uniqueName="[Measures].[Count of UserID]" caption="Count of UserID" measure="1" displayFolder="" measureGroup="session_data" count="0">
      <extLst>
        <ext xmlns:x15="http://schemas.microsoft.com/office/spreadsheetml/2010/11/main" uri="{B97F6D7D-B522-45F9-BDA1-12C45D357490}">
          <x15:cacheHierarchy aggregatedColumn="8"/>
        </ext>
      </extLst>
    </cacheHierarchy>
    <cacheHierarchy uniqueName="[Measures].[Distinct Count of UserID]" caption="Distinct Count of UserID" measure="1" displayFolder="" measureGroup="session_data" count="0">
      <extLst>
        <ext xmlns:x15="http://schemas.microsoft.com/office/spreadsheetml/2010/11/main" uri="{B97F6D7D-B522-45F9-BDA1-12C45D357490}">
          <x15:cacheHierarchy aggregatedColumn="8"/>
        </ext>
      </extLst>
    </cacheHierarchy>
    <cacheHierarchy uniqueName="[Measures].[Count of SessionID 2]" caption="Count of SessionID 2" measure="1" displayFolder="" measureGroup="engagement" count="0">
      <extLst>
        <ext xmlns:x15="http://schemas.microsoft.com/office/spreadsheetml/2010/11/main" uri="{B97F6D7D-B522-45F9-BDA1-12C45D357490}">
          <x15:cacheHierarchy aggregatedColumn="0"/>
        </ext>
      </extLst>
    </cacheHierarchy>
    <cacheHierarchy uniqueName="[Measures].[Sum of Conversion Flag]" caption="Sum of Conversion Flag" measure="1" displayFolder="" measureGroup="engagement" count="0">
      <extLst>
        <ext xmlns:x15="http://schemas.microsoft.com/office/spreadsheetml/2010/11/main" uri="{B97F6D7D-B522-45F9-BDA1-12C45D357490}">
          <x15:cacheHierarchy aggregatedColumn="4"/>
        </ext>
      </extLst>
    </cacheHierarchy>
    <cacheHierarchy uniqueName="[Measures].[Count of Traffic Source]" caption="Count of Traffic Source" measure="1" displayFolder="" measureGroup="session_data" count="0">
      <extLst>
        <ext xmlns:x15="http://schemas.microsoft.com/office/spreadsheetml/2010/11/main" uri="{B97F6D7D-B522-45F9-BDA1-12C45D357490}">
          <x15:cacheHierarchy aggregatedColumn="16"/>
        </ext>
      </extLst>
    </cacheHierarchy>
    <cacheHierarchy uniqueName="[Measures].[Sum of Session Duration]" caption="Sum of Session Duration" measure="1" displayFolder="" measureGroup="engagement" count="0">
      <extLst>
        <ext xmlns:x15="http://schemas.microsoft.com/office/spreadsheetml/2010/11/main" uri="{B97F6D7D-B522-45F9-BDA1-12C45D357490}">
          <x15:cacheHierarchy aggregatedColumn="1"/>
        </ext>
      </extLst>
    </cacheHierarchy>
    <cacheHierarchy uniqueName="[Measures].[Average of Session Duration]" caption="Average of Session Duration" measure="1" displayFolder="" measureGroup="engagement" count="0">
      <extLst>
        <ext xmlns:x15="http://schemas.microsoft.com/office/spreadsheetml/2010/11/main" uri="{B97F6D7D-B522-45F9-BDA1-12C45D357490}">
          <x15:cacheHierarchy aggregatedColumn="1"/>
        </ext>
      </extLst>
    </cacheHierarchy>
    <cacheHierarchy uniqueName="[Measures].[Conversion_Rate]" caption="Conversion_Rate" measure="1" displayFolder="" measureGroup="session_data" count="0"/>
    <cacheHierarchy uniqueName="[Measures].[__XL_Count session_data]" caption="__XL_Count session_data" measure="1" displayFolder="" measureGroup="session_data" count="0" hidden="1"/>
    <cacheHierarchy uniqueName="[Measures].[__XL_Count engagement]" caption="__XL_Count engagement" measure="1" displayFolder="" measureGroup="engagemen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285435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B3ED8F-299E-4B45-91D0-110CD0D84AFB}" name="PivotTable8" cacheId="13" applyNumberFormats="0" applyBorderFormats="0" applyFontFormats="0" applyPatternFormats="0" applyAlignmentFormats="0" applyWidthHeightFormats="1" dataCaption="Values" tag="7249ec9d-0183-41f7-813c-1d435ec75c2c" updatedVersion="8" minRefreshableVersion="3" useAutoFormatting="1" subtotalHiddenItems="1" itemPrintTitles="1" createdVersion="8" indent="0" outline="1" outlineData="1" multipleFieldFilters="0" chartFormat="11">
  <location ref="J2:J3" firstHeaderRow="1" firstDataRow="1" firstDataCol="0"/>
  <pivotFields count="1">
    <pivotField dataField="1" subtotalTop="0" showAll="0" defaultSubtotal="0"/>
  </pivotFields>
  <rowItems count="1">
    <i/>
  </rowItems>
  <colItems count="1">
    <i/>
  </colItems>
  <dataFields count="1">
    <dataField name="Average of Session Duration" fld="0" subtotal="average"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UserID"/>
    <pivotHierarchy dragToData="1"/>
    <pivotHierarchy dragToData="1"/>
    <pivotHierarchy dragToData="1"/>
    <pivotHierarchy dragToData="1"/>
    <pivotHierarchy dragToData="1" caption="Average of Session Duration"/>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ession_data]"/>
        <x15:activeTabTopLevelEntity name="[engage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4CC82B-4B68-4EFC-A9DB-310672DBA8AC}"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SessionID" fld="0"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Cart.xlsx!session_data">
        <x15:activeTabTopLevelEntity name="[sess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ADED96-375C-44CB-BC1B-EA44953137CC}" name="PivotTable7" cacheId="11" applyNumberFormats="0" applyBorderFormats="0" applyFontFormats="0" applyPatternFormats="0" applyAlignmentFormats="0" applyWidthHeightFormats="1" dataCaption="Values" tag="aff9b696-ea43-4a59-b2c8-37e4d09dfe2f" updatedVersion="8" minRefreshableVersion="3" useAutoFormatting="1" subtotalHiddenItems="1" itemPrintTitles="1" createdVersion="8" indent="0" outline="1" outlineData="1" multipleFieldFilters="0">
  <location ref="H2:H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User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ess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E0BF7D-7DC4-4D30-92D4-614D07E252A2}" name="PivotTable4" cacheId="9" applyNumberFormats="0" applyBorderFormats="0" applyFontFormats="0" applyPatternFormats="0" applyAlignmentFormats="0" applyWidthHeightFormats="1" dataCaption="Values" tag="de49e61e-e78a-49d1-9a37-b575997d17d5" updatedVersion="8" minRefreshableVersion="3" useAutoFormatting="1" subtotalHiddenItems="1" itemPrintTitles="1" createdVersion="8" indent="0" outline="1" outlineData="1" multipleFieldFilters="0" chartFormat="12">
  <location ref="T10:U16"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i>
    <i>
      <x v="3"/>
    </i>
    <i>
      <x v="2"/>
    </i>
    <i>
      <x v="4"/>
    </i>
    <i t="grand">
      <x/>
    </i>
  </rowItems>
  <colItems count="1">
    <i/>
  </colItems>
  <dataFields count="1">
    <dataField fld="1" subtotal="count" baseField="0" baseItem="0" numFmtId="166"/>
  </dataFields>
  <chartFormats count="1">
    <chartFormat chart="4"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User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ession_data]"/>
        <x15:activeTabTopLevelEntity name="[engage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EA1AAF-9B25-498A-9047-035C43ADE28D}" name="PivotTable10" cacheId="1" applyNumberFormats="0" applyBorderFormats="0" applyFontFormats="0" applyPatternFormats="0" applyAlignmentFormats="0" applyWidthHeightFormats="1" dataCaption="Values" tag="b311f3fd-29eb-45ca-9266-61350758f925" updatedVersion="8" minRefreshableVersion="3" useAutoFormatting="1" subtotalHiddenItems="1" itemPrintTitles="1" createdVersion="8" indent="0" outline="1" outlineData="1" multipleFieldFilters="0" chartFormat="12">
  <location ref="D10:E18" firstHeaderRow="1" firstDataRow="1" firstDataCol="1"/>
  <pivotFields count="4">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
    <i>
      <x v="1"/>
    </i>
    <i>
      <x v="2"/>
    </i>
    <i>
      <x v="3"/>
    </i>
    <i>
      <x/>
    </i>
    <i>
      <x v="5"/>
    </i>
    <i>
      <x v="4"/>
    </i>
    <i>
      <x v="6"/>
    </i>
    <i t="grand">
      <x/>
    </i>
  </rowItems>
  <colItems count="1">
    <i/>
  </colItems>
  <dataFields count="1">
    <dataField name="Count of SessionID" fld="0" subtotal="count" baseField="1" baseItem="2"/>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4"/>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User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Cart.xlsx!session_data">
        <x15:activeTabTopLevelEntity name="[sess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1318CC-992B-4D42-AEA8-1222BC0483F4}" name="PivotTable3" cacheId="7" applyNumberFormats="0" applyBorderFormats="0" applyFontFormats="0" applyPatternFormats="0" applyAlignmentFormats="0" applyWidthHeightFormats="1" dataCaption="Values" tag="e4d8f253-d2bf-4b2b-9b1d-987223a6f853" updatedVersion="8" minRefreshableVersion="3" useAutoFormatting="1" subtotalHiddenItems="1" itemPrintTitles="1" createdVersion="8" indent="0" outline="1" outlineData="1" multipleFieldFilters="0">
  <location ref="E3:F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essionID" fld="1" subtotal="count" showDataAs="percentOfTotal" baseField="0" baseItem="0" numFmtId="9"/>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User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Cart.xlsx!session_data">
        <x15:activeTabTopLevelEntity name="[sess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D81307-FCE0-4CB6-A33E-7211AC2A54C4}" name="PivotTable16" cacheId="12" applyNumberFormats="0" applyBorderFormats="0" applyFontFormats="0" applyPatternFormats="0" applyAlignmentFormats="0" applyWidthHeightFormats="1" dataCaption="Values" tag="7249ec9d-0183-41f7-813c-1d435ec75c2c" updatedVersion="8" minRefreshableVersion="3" useAutoFormatting="1" subtotalHiddenItems="1" itemPrintTitles="1" createdVersion="8" indent="0" outline="1" outlineData="1" multipleFieldFilters="0" chartFormat="11">
  <location ref="J10:K14" firstHeaderRow="1" firstDataRow="1" firstDataCol="1"/>
  <pivotFields count="3">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2"/>
  </rowFields>
  <rowItems count="4">
    <i>
      <x v="1"/>
    </i>
    <i>
      <x/>
    </i>
    <i>
      <x v="2"/>
    </i>
    <i t="grand">
      <x/>
    </i>
  </rowItems>
  <colItems count="1">
    <i/>
  </colItems>
  <dataFields count="1">
    <dataField name="Count of SessionID" fld="0" subtotal="count" baseField="1" baseItem="2"/>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2"/>
          </reference>
        </references>
      </pivotArea>
    </chartFormat>
    <chartFormat chart="4" format="4">
      <pivotArea type="data" outline="0" fieldPosition="0">
        <references count="2">
          <reference field="4294967294" count="1" selected="0">
            <x v="0"/>
          </reference>
          <reference field="2" count="1" selected="0">
            <x v="0"/>
          </reference>
        </references>
      </pivotArea>
    </chartFormat>
    <chartFormat chart="4" format="5">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User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Cart.xlsx!session_data">
        <x15:activeTabTopLevelEntity name="[sess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4FBC6B-EA87-450D-A499-E6365020E27B}" name="PivotTable17" cacheId="5" applyNumberFormats="0" applyBorderFormats="0" applyFontFormats="0" applyPatternFormats="0" applyAlignmentFormats="0" applyWidthHeightFormats="1" dataCaption="Values" tag="610a8005-77ba-40ff-b6a1-de8eb5155169" updatedVersion="8" minRefreshableVersion="3" useAutoFormatting="1" subtotalHiddenItems="1" itemPrintTitles="1" createdVersion="8" indent="0" outline="1" outlineData="1" multipleFieldFilters="0" chartFormat="18">
  <location ref="M10:N14" firstHeaderRow="1" firstDataRow="1" firstDataCol="1"/>
  <pivotFields count="4">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4">
    <i>
      <x/>
    </i>
    <i>
      <x v="2"/>
    </i>
    <i>
      <x v="1"/>
    </i>
    <i t="grand">
      <x/>
    </i>
  </rowItems>
  <colItems count="1">
    <i/>
  </colItems>
  <dataFields count="1">
    <dataField name="Count of SessionID" fld="0" subtotal="count" baseField="1" baseItem="2"/>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User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Cart.xlsx!session_data">
        <x15:activeTabTopLevelEntity name="[sess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68FC48-76B6-441F-ABF3-E0CA19359C5B}" name="PivotTable9" cacheId="8" applyNumberFormats="0" applyBorderFormats="0" applyFontFormats="0" applyPatternFormats="0" applyAlignmentFormats="0" applyWidthHeightFormats="1" dataCaption="Values" tag="2e2fb0e4-4e31-4307-a782-34accf580b0d" updatedVersion="8" minRefreshableVersion="3" useAutoFormatting="1" subtotalHiddenItems="1" colGrandTotals="0" itemPrintTitles="1" createdVersion="8" indent="0" outline="1" outlineData="1" multipleFieldFilters="0" chartFormat="18">
  <location ref="P10:R16" firstHeaderRow="1" firstDataRow="2" firstDataCol="1"/>
  <pivotFields count="4">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5">
    <i>
      <x v="3"/>
    </i>
    <i>
      <x v="2"/>
    </i>
    <i>
      <x/>
    </i>
    <i>
      <x v="1"/>
    </i>
    <i t="grand">
      <x/>
    </i>
  </rowItems>
  <colFields count="1">
    <field x="2"/>
  </colFields>
  <colItems count="2">
    <i>
      <x/>
    </i>
    <i>
      <x v="1"/>
    </i>
  </colItems>
  <dataFields count="1">
    <dataField name="Count of SessionID" fld="0" subtotal="count" baseField="1" baseItem="2"/>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13" format="4" series="1">
      <pivotArea type="data" outline="0" fieldPosition="0">
        <references count="2">
          <reference field="4294967294" count="1" selected="0">
            <x v="0"/>
          </reference>
          <reference field="2" count="1" selected="0">
            <x v="0"/>
          </reference>
        </references>
      </pivotArea>
    </chartFormat>
    <chartFormat chart="13" format="5" series="1">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User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Cart.xlsx!session_data">
        <x15:activeTabTopLevelEntity name="[sess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79946A-8F26-4736-9971-FA11B1D6CC8D}" name="PivotTable6" cacheId="10" applyNumberFormats="0" applyBorderFormats="0" applyFontFormats="0" applyPatternFormats="0" applyAlignmentFormats="0" applyWidthHeightFormats="1" dataCaption="Values" tag="a9c185f8-0333-4bb8-bcfe-58a2e6b51a3d" updatedVersion="8" minRefreshableVersion="3" useAutoFormatting="1" subtotalHiddenItems="1" itemPrintTitles="1" createdVersion="8" indent="0" outline="1" outlineData="1" multipleFieldFilters="0" chartFormat="7">
  <location ref="W10:X15" firstHeaderRow="1" firstDataRow="1" firstDataCol="1"/>
  <pivotFields count="4">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v="2"/>
    </i>
    <i>
      <x v="3"/>
    </i>
    <i>
      <x/>
    </i>
    <i>
      <x v="1"/>
    </i>
    <i t="grand">
      <x/>
    </i>
  </rowItems>
  <colItems count="1">
    <i/>
  </colItems>
  <dataFields count="1">
    <dataField fld="1" subtotal="count" baseField="0" baseItem="0" numFmtId="166"/>
  </dataField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User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ession_data]"/>
        <x15:activeTabTopLevelEntity name="[engage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645BC6-C491-4281-AD39-57270A32C6FD}" name="PivotTable11" cacheId="2" applyNumberFormats="0" applyBorderFormats="0" applyFontFormats="0" applyPatternFormats="0" applyAlignmentFormats="0" applyWidthHeightFormats="1" dataCaption="Values" tag="8b61f42b-5656-4e6c-ba5c-6ea49405159f" updatedVersion="8" minRefreshableVersion="3" useAutoFormatting="1" subtotalHiddenItems="1" itemPrintTitles="1" createdVersion="8" indent="0" outline="1" outlineData="1" multipleFieldFilters="0" chartFormat="10">
  <location ref="A10:B16" firstHeaderRow="1" firstDataRow="1" firstDataCol="1"/>
  <pivotFields count="4">
    <pivotField dataField="1" subtotalTop="0" showAll="0" defaultSubtotal="0"/>
    <pivotField allDrilled="1" subtotalTop="0" showAll="0" sortType="descending" defaultSubtotal="0" defaultAttributeDrillState="1">
      <items count="4">
        <item x="0"/>
        <item x="1"/>
        <item s="1" x="2"/>
        <item s="1" x="3"/>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1"/>
    </i>
    <i>
      <x/>
    </i>
    <i>
      <x v="3"/>
    </i>
    <i>
      <x v="4"/>
    </i>
    <i>
      <x v="2"/>
    </i>
    <i t="grand">
      <x/>
    </i>
  </rowItems>
  <colItems count="1">
    <i/>
  </colItems>
  <dataFields count="1">
    <dataField name="Count of SessionID" fld="0" subtotal="count" baseField="1" baseItem="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User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Cart.xlsx!session_data">
        <x15:activeTabTopLevelEntity name="[sess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65CBE2-A963-4B95-AAF1-569757696500}" name="PivotTable15" cacheId="4" applyNumberFormats="0" applyBorderFormats="0" applyFontFormats="0" applyPatternFormats="0" applyAlignmentFormats="0" applyWidthHeightFormats="1" dataCaption="Values" tag="1bc3029c-9066-460b-9582-16f055be81d6" updatedVersion="8" minRefreshableVersion="3" useAutoFormatting="1" subtotalHiddenItems="1" itemPrintTitles="1" createdVersion="8" indent="0" outline="1" outlineData="1" multipleFieldFilters="0" chartFormat="6">
  <location ref="G10:H13" firstHeaderRow="1" firstDataRow="1" firstDataCol="1"/>
  <pivotFields count="4">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3">
    <i>
      <x v="1"/>
    </i>
    <i>
      <x/>
    </i>
    <i t="grand">
      <x/>
    </i>
  </rowItems>
  <colItems count="1">
    <i/>
  </colItems>
  <dataFields count="1">
    <dataField name="Count of SessionID" fld="0" subtotal="count" showDataAs="percentOfTotal" baseField="2" baseItem="0" numFmtId="10"/>
  </dataFields>
  <formats count="2">
    <format dxfId="3">
      <pivotArea collapsedLevelsAreSubtotals="1" fieldPosition="0">
        <references count="1">
          <reference field="2" count="1">
            <x v="0"/>
          </reference>
        </references>
      </pivotArea>
    </format>
    <format dxfId="2">
      <pivotArea collapsedLevelsAreSubtotals="1" fieldPosition="0">
        <references count="1">
          <reference field="2"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User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Cart.xlsx!session_data">
        <x15:activeTabTopLevelEntity name="[sess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BD1E77B-22E2-40CB-AF46-D76CC36C539F}" name="PivotTable2"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User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User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ightCart.xlsx!session_data">
        <x15:activeTabTopLevelEntity name="[session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ffic_Source" xr10:uid="{817EA421-22DB-47A3-91C2-AFCDD84153FC}" sourceName="[session_data].[Traffic Source]">
  <pivotTables>
    <pivotTable tabId="3" name="PivotTable1"/>
    <pivotTable tabId="3" name="PivotTable10"/>
    <pivotTable tabId="3" name="PivotTable11"/>
    <pivotTable tabId="3" name="PivotTable15"/>
    <pivotTable tabId="3" name="PivotTable16"/>
    <pivotTable tabId="3" name="PivotTable17"/>
    <pivotTable tabId="3" name="PivotTable2"/>
    <pivotTable tabId="3" name="PivotTable3"/>
    <pivotTable tabId="3" name="PivotTable9"/>
    <pivotTable tabId="3" name="PivotTable4"/>
    <pivotTable tabId="3" name="PivotTable6"/>
    <pivotTable tabId="3" name="PivotTable7"/>
    <pivotTable tabId="3" name="PivotTable8"/>
  </pivotTables>
  <data>
    <olap pivotCacheId="2028543528">
      <levels count="2">
        <level uniqueName="[session_data].[Traffic Source].[(All)]" sourceCaption="(All)" count="0"/>
        <level uniqueName="[session_data].[Traffic Source].[Traffic Source]" sourceCaption="Traffic Source" count="5">
          <ranges>
            <range startItem="0">
              <i n="[session_data].[Traffic Source].&amp;[Direct]" c="Direct"/>
              <i n="[session_data].[Traffic Source].&amp;[Organic Search]" c="Organic Search"/>
              <i n="[session_data].[Traffic Source].&amp;[Paid Ads]" c="Paid Ads"/>
              <i n="[session_data].[Traffic Source].&amp;[Referral]" c="Referral"/>
              <i n="[session_data].[Traffic Source].&amp;[Social Media]" c="Social Media"/>
            </range>
          </ranges>
        </level>
      </levels>
      <selections count="1">
        <selection n="[session_data].[Traffic Sourc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Type" xr10:uid="{947A89EA-DAED-4A25-9E2A-CF6F43059558}" sourceName="[session_data].[Device Type]">
  <pivotTables>
    <pivotTable tabId="3" name="PivotTable1"/>
    <pivotTable tabId="3" name="PivotTable10"/>
    <pivotTable tabId="3" name="PivotTable11"/>
    <pivotTable tabId="3" name="PivotTable15"/>
    <pivotTable tabId="3" name="PivotTable16"/>
    <pivotTable tabId="3" name="PivotTable17"/>
    <pivotTable tabId="3" name="PivotTable2"/>
    <pivotTable tabId="3" name="PivotTable3"/>
    <pivotTable tabId="3" name="PivotTable9"/>
    <pivotTable tabId="3" name="PivotTable4"/>
    <pivotTable tabId="3" name="PivotTable6"/>
    <pivotTable tabId="3" name="PivotTable7"/>
    <pivotTable tabId="3" name="PivotTable8"/>
  </pivotTables>
  <data>
    <olap pivotCacheId="2028543528">
      <levels count="2">
        <level uniqueName="[session_data].[Device Type].[(All)]" sourceCaption="(All)" count="0"/>
        <level uniqueName="[session_data].[Device Type].[Device Type]" sourceCaption="Device Type" count="3">
          <ranges>
            <range startItem="0">
              <i n="[session_data].[Device Type].&amp;[Desktop]" c="Desktop"/>
              <i n="[session_data].[Device Type].&amp;[Mobile]" c="Mobile"/>
              <i n="[session_data].[Device Type].&amp;[Tablet]" c="Tablet"/>
            </range>
          </ranges>
        </level>
      </levels>
      <selections count="1">
        <selection n="[session_data].[Device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8AFB9B4-A7C7-4277-A0F6-8C50399F2D8C}" sourceName="[session_data].[Year]">
  <pivotTables>
    <pivotTable tabId="3" name="PivotTable1"/>
    <pivotTable tabId="3" name="PivotTable10"/>
    <pivotTable tabId="3" name="PivotTable11"/>
    <pivotTable tabId="3" name="PivotTable15"/>
    <pivotTable tabId="3" name="PivotTable16"/>
    <pivotTable tabId="3" name="PivotTable17"/>
    <pivotTable tabId="3" name="PivotTable2"/>
    <pivotTable tabId="3" name="PivotTable3"/>
    <pivotTable tabId="3" name="PivotTable9"/>
    <pivotTable tabId="3" name="PivotTable4"/>
    <pivotTable tabId="3" name="PivotTable6"/>
    <pivotTable tabId="3" name="PivotTable7"/>
    <pivotTable tabId="3" name="PivotTable8"/>
  </pivotTables>
  <data>
    <olap pivotCacheId="2028543528">
      <levels count="2">
        <level uniqueName="[session_data].[Year].[(All)]" sourceCaption="(All)" count="0"/>
        <level uniqueName="[session_data].[Year].[Year]" sourceCaption="Year" count="3">
          <ranges>
            <range startItem="0">
              <i n="[session_data].[Year].&amp;[2022]" c="2022"/>
              <i n="[session_data].[Year].&amp;[2023]" c="2023"/>
              <i n="[session_data].[Year].&amp;[2024]" c="2024"/>
            </range>
          </ranges>
        </level>
      </levels>
      <selections count="1">
        <selection n="[session_data].[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ffic Source" xr10:uid="{B48CEF34-3020-499D-85AF-9CF751BBF9E3}" cache="Slicer_Traffic_Source" caption="Traffic Source" columnCount="5" showCaption="0" level="1" rowHeight="182880"/>
  <slicer name="Device Type" xr10:uid="{E4C321CA-5034-43A1-9CA9-531FDCAA45BE}" cache="Slicer_Device_Type" caption="Device Type" columnCount="3" showCaption="0" level="1" rowHeight="182880"/>
  <slicer name="Year" xr10:uid="{018B307B-CBA8-4100-9DCB-93C6F58EB769}" cache="Slicer_Year" caption="Year" columnCount="3" showCaption="0" level="1" rowHeight="1989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F22EE6-0B0E-46F6-ACB9-FE369BC62884}" name="session_data" displayName="session_data" ref="A1:O1080" totalsRowShown="0" headerRowDxfId="19" dataDxfId="18">
  <autoFilter ref="A1:O1080" xr:uid="{FFF22EE6-0B0E-46F6-ACB9-FE369BC62884}"/>
  <tableColumns count="15">
    <tableColumn id="1" xr3:uid="{D2A388D2-8EE7-4A2D-B840-BEA5EAF5531D}" name="SessionID" dataDxfId="17"/>
    <tableColumn id="2" xr3:uid="{EA870C8E-C024-4933-B1A4-97FC52F46C9D}" name="UserID" dataDxfId="16"/>
    <tableColumn id="3" xr3:uid="{8D43D18F-5136-478D-B952-B2F4D7E799EE}" name="Timestamp" dataDxfId="15"/>
    <tableColumn id="4" xr3:uid="{DD9BBF1B-5CBA-45BD-BF59-EDC04AE60067}" name="Date" dataDxfId="14">
      <calculatedColumnFormula>INT(C2)</calculatedColumnFormula>
    </tableColumn>
    <tableColumn id="5" xr3:uid="{DD440022-CC7E-4CC1-94ED-0A16BCA9EC60}" name="Time" dataDxfId="13">
      <calculatedColumnFormula>MOD(C2,1)</calculatedColumnFormula>
    </tableColumn>
    <tableColumn id="16" xr3:uid="{43524979-36AA-41E8-A211-94304AF3C325}" name="Time_of_Day" dataDxfId="12">
      <calculatedColumnFormula array="1">_xlfn.IFS(
     AND(HOUR(session_data[[#This Row],[Time]])&gt;5,HOUR(session_data[[#This Row],[Time]])&lt;12),"Morning",
     AND(HOUR(session_data[[#This Row],[Time]])&gt;=12,HOUR(session_data[[#This Row],[Time]])&lt;17),"Afternoon",
     AND(HOUR(session_data[[#This Row],[Time]])&gt;=17,HOUR(session_data[[#This Row],[Time]])&lt;21),"Evening",
     TRUE,"Night"
)</calculatedColumnFormula>
    </tableColumn>
    <tableColumn id="6" xr3:uid="{C72D61A6-B554-4C67-9082-CF26B63E4A2D}" name="Year" dataDxfId="11">
      <calculatedColumnFormula>YEAR(D2)</calculatedColumnFormula>
    </tableColumn>
    <tableColumn id="7" xr3:uid="{BB12A3C7-A260-4E30-B500-A114564D70E5}" name="Month" dataDxfId="10">
      <calculatedColumnFormula>TEXT(D2,"MMM")</calculatedColumnFormula>
    </tableColumn>
    <tableColumn id="8" xr3:uid="{B80C55D2-8BFE-4E1D-9BF4-8AFDA060828D}" name="Day" dataDxfId="9">
      <calculatedColumnFormula>TEXT(D2,"DDD")</calculatedColumnFormula>
    </tableColumn>
    <tableColumn id="9" xr3:uid="{94624244-AA44-4531-8672-78FBEE1ECD61}" name="Traffic Source" dataDxfId="8"/>
    <tableColumn id="10" xr3:uid="{4004BF96-3432-40FA-871D-64763037D962}" name="Device Type" dataDxfId="7"/>
    <tableColumn id="11" xr3:uid="{4C0CDA4F-058B-4D08-8391-6E6E84A6D761}" name="State" dataDxfId="6"/>
    <tableColumn id="12" xr3:uid="{B51BFD95-E561-4377-BD6B-72DB4261992C}" name="Country" dataDxfId="5"/>
    <tableColumn id="13" xr3:uid="{F798D409-31B8-4FB0-AE5D-F8C92F610EEA}" name="User Type" dataDxfId="4"/>
    <tableColumn id="15" xr3:uid="{DEF9BF54-9031-451E-8000-44955226D3DC}" name="User Gender"/>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14259A-D67F-46A5-9BDE-D09E77BEB1B6}" name="engagement" displayName="engagement" ref="A1:G1080" totalsRowShown="0" headerRowDxfId="27" dataDxfId="26">
  <autoFilter ref="A1:G1080" xr:uid="{ED14259A-D67F-46A5-9BDE-D09E77BEB1B6}"/>
  <tableColumns count="7">
    <tableColumn id="1" xr3:uid="{E09E4790-9F17-4BA8-BCCF-507821E0078D}" name="SessionID" dataDxfId="25"/>
    <tableColumn id="2" xr3:uid="{60A1585F-25F0-4014-A62B-154D3EBC7549}" name="Session Duration" dataDxfId="24"/>
    <tableColumn id="3" xr3:uid="{9C180B75-C864-49AC-8848-09433AF43189}" name="Page Views" dataDxfId="23"/>
    <tableColumn id="4" xr3:uid="{4302EE3D-B6CA-49A3-97B3-6A02F5B4E0D3}" name="Unique Page Views" dataDxfId="22"/>
    <tableColumn id="5" xr3:uid="{4F773F2A-D4AC-432C-AD9A-B42F3E3675BC}" name="Conversion Flag" dataDxfId="21"/>
    <tableColumn id="6" xr3:uid="{F47CF653-B3B3-4A5F-8812-45757A8317A1}" name="Page URL"/>
    <tableColumn id="7" xr3:uid="{80F86EDA-65AF-40DE-97F0-58F4AA8E1F44}" name="Traffic source" dataDxfId="20">
      <calculatedColumnFormula>_xlfn.XLOOKUP(engagement[[#This Row],[SessionID]],session_data[SessionID],session_data[Traffic Source])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8" tint="0.39997558519241921"/>
    <outlinePr summaryBelow="0" summaryRight="0"/>
  </sheetPr>
  <dimension ref="A1:O1183"/>
  <sheetViews>
    <sheetView topLeftCell="A6" zoomScale="66" zoomScaleNormal="66" workbookViewId="0">
      <selection activeCell="A32" sqref="A32:O32"/>
    </sheetView>
  </sheetViews>
  <sheetFormatPr defaultColWidth="12.6328125" defaultRowHeight="15.75" customHeight="1" x14ac:dyDescent="0.25"/>
  <cols>
    <col min="3" max="3" width="19.90625" customWidth="1"/>
    <col min="4" max="9" width="19.90625" style="5" customWidth="1"/>
    <col min="10" max="10" width="15.08984375" customWidth="1"/>
    <col min="11" max="11" width="13.36328125" customWidth="1"/>
    <col min="12" max="12" width="13.7265625" bestFit="1" customWidth="1"/>
    <col min="15" max="15" width="14.7265625" customWidth="1"/>
  </cols>
  <sheetData>
    <row r="1" spans="1:15" x14ac:dyDescent="0.25">
      <c r="A1" s="1" t="s">
        <v>0</v>
      </c>
      <c r="B1" s="1" t="s">
        <v>1</v>
      </c>
      <c r="C1" s="1" t="s">
        <v>2</v>
      </c>
      <c r="D1" s="4" t="s">
        <v>1617</v>
      </c>
      <c r="E1" s="4" t="s">
        <v>1618</v>
      </c>
      <c r="F1" s="4" t="s">
        <v>1627</v>
      </c>
      <c r="G1" s="4" t="s">
        <v>1619</v>
      </c>
      <c r="H1" s="4" t="s">
        <v>1620</v>
      </c>
      <c r="I1" s="4" t="s">
        <v>1621</v>
      </c>
      <c r="J1" s="1" t="s">
        <v>3</v>
      </c>
      <c r="K1" s="1" t="s">
        <v>4</v>
      </c>
      <c r="L1" s="1" t="s">
        <v>6</v>
      </c>
      <c r="M1" s="1" t="s">
        <v>5</v>
      </c>
      <c r="N1" s="1" t="s">
        <v>7</v>
      </c>
      <c r="O1" s="1" t="s">
        <v>8</v>
      </c>
    </row>
    <row r="2" spans="1:15" x14ac:dyDescent="0.25">
      <c r="A2" s="1" t="s">
        <v>9</v>
      </c>
      <c r="B2" s="1" t="s">
        <v>10</v>
      </c>
      <c r="C2" s="2">
        <v>45353.619444444441</v>
      </c>
      <c r="D2" s="4">
        <v>45353</v>
      </c>
      <c r="E2" s="6">
        <v>0.61944444444088731</v>
      </c>
      <c r="F2" s="6" t="str" cm="1">
        <f t="array" ref="F2">_xlfn.IFS(
     AND(HOUR(session_data[[#This Row],[Time]])&gt;5,HOUR(session_data[[#This Row],[Time]])&lt;12),"Morning",
     AND(HOUR(session_data[[#This Row],[Time]])&gt;=12,HOUR(session_data[[#This Row],[Time]])&lt;17),"Afternoon",
     AND(HOUR(session_data[[#This Row],[Time]])&gt;=17,HOUR(session_data[[#This Row],[Time]])&lt;21),"Evening",
     TRUE,"Night"
)</f>
        <v>Afternoon</v>
      </c>
      <c r="G2" s="1">
        <f>YEAR(D2)</f>
        <v>2024</v>
      </c>
      <c r="H2" s="1" t="str">
        <f>TEXT(D2,"MMM")</f>
        <v>Mar</v>
      </c>
      <c r="I2" s="1" t="str">
        <f t="shared" ref="I2:I65" si="0">TEXT(D2,"DDD")</f>
        <v>Sat</v>
      </c>
      <c r="J2" s="1" t="s">
        <v>11</v>
      </c>
      <c r="K2" s="1" t="s">
        <v>12</v>
      </c>
      <c r="L2" s="1" t="s">
        <v>13</v>
      </c>
      <c r="M2" s="1" t="s">
        <v>32</v>
      </c>
      <c r="N2" s="1" t="s">
        <v>14</v>
      </c>
      <c r="O2" t="s">
        <v>15</v>
      </c>
    </row>
    <row r="3" spans="1:15" x14ac:dyDescent="0.25">
      <c r="A3" s="1" t="s">
        <v>16</v>
      </c>
      <c r="B3" s="1" t="s">
        <v>17</v>
      </c>
      <c r="C3" s="2">
        <v>45358.094444444447</v>
      </c>
      <c r="D3" s="4">
        <f t="shared" ref="D3:D66" si="1">INT(C3)</f>
        <v>45358</v>
      </c>
      <c r="E3" s="6">
        <v>0.66111111110755405</v>
      </c>
      <c r="F3" s="6" t="str" cm="1">
        <f t="array" ref="F3">_xlfn.IFS(
     AND(HOUR(session_data[[#This Row],[Time]])&gt;5,HOUR(session_data[[#This Row],[Time]])&lt;12),"Morning",
     AND(HOUR(session_data[[#This Row],[Time]])&gt;=12,HOUR(session_data[[#This Row],[Time]])&lt;17),"Afternoon",
     AND(HOUR(session_data[[#This Row],[Time]])&gt;=17,HOUR(session_data[[#This Row],[Time]])&lt;21),"Evening",
     TRUE,"Night"
)</f>
        <v>Afternoon</v>
      </c>
      <c r="G3" s="1">
        <f t="shared" ref="G3:G66" si="2">YEAR(D3)</f>
        <v>2024</v>
      </c>
      <c r="H3" s="1" t="str">
        <f t="shared" ref="H3:H66" si="3">TEXT(D3,"MMM")</f>
        <v>Mar</v>
      </c>
      <c r="I3" s="1" t="str">
        <f t="shared" si="0"/>
        <v>Thu</v>
      </c>
      <c r="J3" s="1" t="s">
        <v>18</v>
      </c>
      <c r="K3" s="1" t="s">
        <v>12</v>
      </c>
      <c r="L3" s="1" t="s">
        <v>20</v>
      </c>
      <c r="M3" s="1" t="s">
        <v>19</v>
      </c>
      <c r="N3" s="1" t="s">
        <v>14</v>
      </c>
      <c r="O3" t="s">
        <v>45</v>
      </c>
    </row>
    <row r="4" spans="1:15" x14ac:dyDescent="0.25">
      <c r="A4" s="1" t="s">
        <v>21</v>
      </c>
      <c r="B4" s="1" t="s">
        <v>17</v>
      </c>
      <c r="C4" s="2">
        <v>45330.969444444447</v>
      </c>
      <c r="D4" s="4">
        <f t="shared" si="1"/>
        <v>45330</v>
      </c>
      <c r="E4" s="6">
        <v>0.70277777777422101</v>
      </c>
      <c r="F4" s="6" t="str" cm="1">
        <f t="array" ref="F4">_xlfn.IFS(
     AND(HOUR(session_data[[#This Row],[Time]])&gt;5,HOUR(session_data[[#This Row],[Time]])&lt;12),"Morning",
     AND(HOUR(session_data[[#This Row],[Time]])&gt;=12,HOUR(session_data[[#This Row],[Time]])&lt;17),"Afternoon",
     AND(HOUR(session_data[[#This Row],[Time]])&gt;=17,HOUR(session_data[[#This Row],[Time]])&lt;21),"Evening",
     TRUE,"Night"
)</f>
        <v>Afternoon</v>
      </c>
      <c r="G4" s="1">
        <f t="shared" si="2"/>
        <v>2024</v>
      </c>
      <c r="H4" s="1" t="str">
        <f t="shared" si="3"/>
        <v>Feb</v>
      </c>
      <c r="I4" s="1" t="str">
        <f t="shared" si="0"/>
        <v>Thu</v>
      </c>
      <c r="J4" s="1" t="s">
        <v>18</v>
      </c>
      <c r="K4" s="1" t="s">
        <v>12</v>
      </c>
      <c r="L4" s="1" t="s">
        <v>20</v>
      </c>
      <c r="M4" s="1" t="s">
        <v>19</v>
      </c>
      <c r="N4" s="1" t="s">
        <v>22</v>
      </c>
      <c r="O4" t="s">
        <v>45</v>
      </c>
    </row>
    <row r="5" spans="1:15" x14ac:dyDescent="0.25">
      <c r="A5" s="1" t="s">
        <v>23</v>
      </c>
      <c r="B5" s="1" t="s">
        <v>17</v>
      </c>
      <c r="C5" s="2">
        <v>45512.427777777775</v>
      </c>
      <c r="D5" s="4">
        <f t="shared" si="1"/>
        <v>45512</v>
      </c>
      <c r="E5" s="6">
        <v>0.74444444444088698</v>
      </c>
      <c r="F5" s="6" t="str" cm="1">
        <f t="array" ref="F5">_xlfn.IFS(
     AND(HOUR(session_data[[#This Row],[Time]])&gt;5,HOUR(session_data[[#This Row],[Time]])&lt;12),"Morning",
     AND(HOUR(session_data[[#This Row],[Time]])&gt;=12,HOUR(session_data[[#This Row],[Time]])&lt;17),"Afternoon",
     AND(HOUR(session_data[[#This Row],[Time]])&gt;=17,HOUR(session_data[[#This Row],[Time]])&lt;21),"Evening",
     TRUE,"Night"
)</f>
        <v>Evening</v>
      </c>
      <c r="G5" s="1">
        <f t="shared" si="2"/>
        <v>2024</v>
      </c>
      <c r="H5" s="1" t="str">
        <f t="shared" si="3"/>
        <v>Aug</v>
      </c>
      <c r="I5" s="1" t="str">
        <f t="shared" si="0"/>
        <v>Thu</v>
      </c>
      <c r="J5" s="1" t="s">
        <v>18</v>
      </c>
      <c r="K5" s="1" t="s">
        <v>12</v>
      </c>
      <c r="L5" s="1" t="s">
        <v>20</v>
      </c>
      <c r="M5" s="1" t="s">
        <v>19</v>
      </c>
      <c r="N5" s="1" t="s">
        <v>22</v>
      </c>
      <c r="O5" t="s">
        <v>45</v>
      </c>
    </row>
    <row r="6" spans="1:15" x14ac:dyDescent="0.25">
      <c r="A6" s="1" t="s">
        <v>24</v>
      </c>
      <c r="B6" s="1" t="s">
        <v>17</v>
      </c>
      <c r="C6" s="2">
        <v>45421.261111111111</v>
      </c>
      <c r="D6" s="4">
        <f t="shared" si="1"/>
        <v>45421</v>
      </c>
      <c r="E6" s="6">
        <v>0.78611111110755405</v>
      </c>
      <c r="F6" s="6" t="str" cm="1">
        <f t="array" ref="F6">_xlfn.IFS(
     AND(HOUR(session_data[[#This Row],[Time]])&gt;5,HOUR(session_data[[#This Row],[Time]])&lt;12),"Morning",
     AND(HOUR(session_data[[#This Row],[Time]])&gt;=12,HOUR(session_data[[#This Row],[Time]])&lt;17),"Afternoon",
     AND(HOUR(session_data[[#This Row],[Time]])&gt;=17,HOUR(session_data[[#This Row],[Time]])&lt;21),"Evening",
     TRUE,"Night"
)</f>
        <v>Evening</v>
      </c>
      <c r="G6" s="1">
        <f t="shared" si="2"/>
        <v>2024</v>
      </c>
      <c r="H6" s="1" t="str">
        <f t="shared" si="3"/>
        <v>May</v>
      </c>
      <c r="I6" s="1" t="str">
        <f t="shared" si="0"/>
        <v>Thu</v>
      </c>
      <c r="J6" s="1" t="s">
        <v>18</v>
      </c>
      <c r="K6" s="1" t="s">
        <v>12</v>
      </c>
      <c r="L6" s="1" t="s">
        <v>20</v>
      </c>
      <c r="M6" s="1" t="s">
        <v>19</v>
      </c>
      <c r="N6" s="1" t="s">
        <v>22</v>
      </c>
      <c r="O6" t="s">
        <v>45</v>
      </c>
    </row>
    <row r="7" spans="1:15" x14ac:dyDescent="0.25">
      <c r="A7" s="1" t="s">
        <v>25</v>
      </c>
      <c r="B7" s="1" t="s">
        <v>17</v>
      </c>
      <c r="C7" s="2">
        <v>45422.261111111111</v>
      </c>
      <c r="D7" s="4">
        <f t="shared" si="1"/>
        <v>45422</v>
      </c>
      <c r="E7" s="6">
        <v>0.82777777777422101</v>
      </c>
      <c r="F7" s="6" t="str" cm="1">
        <f t="array" ref="F7">_xlfn.IFS(
     AND(HOUR(session_data[[#This Row],[Time]])&gt;5,HOUR(session_data[[#This Row],[Time]])&lt;12),"Morning",
     AND(HOUR(session_data[[#This Row],[Time]])&gt;=12,HOUR(session_data[[#This Row],[Time]])&lt;17),"Afternoon",
     AND(HOUR(session_data[[#This Row],[Time]])&gt;=17,HOUR(session_data[[#This Row],[Time]])&lt;21),"Evening",
     TRUE,"Night"
)</f>
        <v>Evening</v>
      </c>
      <c r="G7" s="1">
        <f t="shared" si="2"/>
        <v>2024</v>
      </c>
      <c r="H7" s="1" t="str">
        <f t="shared" si="3"/>
        <v>May</v>
      </c>
      <c r="I7" s="1" t="str">
        <f t="shared" si="0"/>
        <v>Fri</v>
      </c>
      <c r="J7" s="1" t="s">
        <v>18</v>
      </c>
      <c r="K7" s="1" t="s">
        <v>12</v>
      </c>
      <c r="L7" s="1" t="s">
        <v>20</v>
      </c>
      <c r="M7" s="1" t="s">
        <v>19</v>
      </c>
      <c r="N7" s="1" t="s">
        <v>22</v>
      </c>
      <c r="O7" t="s">
        <v>45</v>
      </c>
    </row>
    <row r="8" spans="1:15" x14ac:dyDescent="0.25">
      <c r="A8" s="1" t="s">
        <v>26</v>
      </c>
      <c r="B8" s="1" t="s">
        <v>27</v>
      </c>
      <c r="C8" s="2">
        <v>45448.20416666667</v>
      </c>
      <c r="D8" s="4">
        <f t="shared" si="1"/>
        <v>45448</v>
      </c>
      <c r="E8" s="6">
        <v>0.86944444444088698</v>
      </c>
      <c r="F8" s="6" t="str" cm="1">
        <f t="array" ref="F8">_xlfn.IFS(
     AND(HOUR(session_data[[#This Row],[Time]])&gt;5,HOUR(session_data[[#This Row],[Time]])&lt;12),"Morning",
     AND(HOUR(session_data[[#This Row],[Time]])&gt;=12,HOUR(session_data[[#This Row],[Time]])&lt;17),"Afternoon",
     AND(HOUR(session_data[[#This Row],[Time]])&gt;=17,HOUR(session_data[[#This Row],[Time]])&lt;21),"Evening",
     TRUE,"Night"
)</f>
        <v>Evening</v>
      </c>
      <c r="G8" s="1">
        <f t="shared" si="2"/>
        <v>2024</v>
      </c>
      <c r="H8" s="1" t="str">
        <f t="shared" si="3"/>
        <v>Jun</v>
      </c>
      <c r="I8" s="1" t="str">
        <f t="shared" si="0"/>
        <v>Wed</v>
      </c>
      <c r="J8" s="1" t="s">
        <v>28</v>
      </c>
      <c r="K8" s="1" t="s">
        <v>29</v>
      </c>
      <c r="L8" s="1" t="s">
        <v>30</v>
      </c>
      <c r="M8" s="1" t="s">
        <v>32</v>
      </c>
      <c r="N8" s="1" t="s">
        <v>14</v>
      </c>
      <c r="O8" t="s">
        <v>15</v>
      </c>
    </row>
    <row r="9" spans="1:15" x14ac:dyDescent="0.25">
      <c r="A9" s="1" t="s">
        <v>31</v>
      </c>
      <c r="B9" s="1" t="s">
        <v>27</v>
      </c>
      <c r="C9" s="3">
        <v>45411.995833333334</v>
      </c>
      <c r="D9" s="4">
        <f t="shared" si="1"/>
        <v>45411</v>
      </c>
      <c r="E9" s="6">
        <v>0.91111111110755405</v>
      </c>
      <c r="F9" s="6" t="str" cm="1">
        <f t="array" ref="F9">_xlfn.IFS(
     AND(HOUR(session_data[[#This Row],[Time]])&gt;5,HOUR(session_data[[#This Row],[Time]])&lt;12),"Morning",
     AND(HOUR(session_data[[#This Row],[Time]])&gt;=12,HOUR(session_data[[#This Row],[Time]])&lt;17),"Afternoon",
     AND(HOUR(session_data[[#This Row],[Time]])&gt;=17,HOUR(session_data[[#This Row],[Time]])&lt;21),"Evening",
     TRUE,"Night"
)</f>
        <v>Night</v>
      </c>
      <c r="G9" s="1">
        <f t="shared" si="2"/>
        <v>2024</v>
      </c>
      <c r="H9" s="1" t="str">
        <f t="shared" si="3"/>
        <v>Apr</v>
      </c>
      <c r="I9" s="1" t="str">
        <f t="shared" si="0"/>
        <v>Mon</v>
      </c>
      <c r="J9" s="1" t="s">
        <v>28</v>
      </c>
      <c r="K9" s="1" t="s">
        <v>29</v>
      </c>
      <c r="L9" s="1" t="s">
        <v>30</v>
      </c>
      <c r="M9" s="1" t="s">
        <v>32</v>
      </c>
      <c r="N9" s="1" t="s">
        <v>22</v>
      </c>
      <c r="O9" t="s">
        <v>15</v>
      </c>
    </row>
    <row r="10" spans="1:15" x14ac:dyDescent="0.25">
      <c r="A10" s="1" t="s">
        <v>33</v>
      </c>
      <c r="B10" s="1" t="s">
        <v>27</v>
      </c>
      <c r="C10" s="2">
        <v>45602.07916666667</v>
      </c>
      <c r="D10" s="4">
        <f t="shared" si="1"/>
        <v>45602</v>
      </c>
      <c r="E10" s="6">
        <v>0.95277777777422101</v>
      </c>
      <c r="F10" s="6" t="str" cm="1">
        <f t="array" ref="F10">_xlfn.IFS(
     AND(HOUR(session_data[[#This Row],[Time]])&gt;5,HOUR(session_data[[#This Row],[Time]])&lt;12),"Morning",
     AND(HOUR(session_data[[#This Row],[Time]])&gt;=12,HOUR(session_data[[#This Row],[Time]])&lt;17),"Afternoon",
     AND(HOUR(session_data[[#This Row],[Time]])&gt;=17,HOUR(session_data[[#This Row],[Time]])&lt;21),"Evening",
     TRUE,"Night"
)</f>
        <v>Night</v>
      </c>
      <c r="G10" s="1">
        <f t="shared" si="2"/>
        <v>2024</v>
      </c>
      <c r="H10" s="1" t="str">
        <f t="shared" si="3"/>
        <v>Nov</v>
      </c>
      <c r="I10" s="1" t="str">
        <f t="shared" si="0"/>
        <v>Wed</v>
      </c>
      <c r="J10" s="1" t="s">
        <v>28</v>
      </c>
      <c r="K10" s="1" t="s">
        <v>29</v>
      </c>
      <c r="L10" s="1" t="s">
        <v>30</v>
      </c>
      <c r="M10" s="1" t="s">
        <v>32</v>
      </c>
      <c r="N10" s="1" t="s">
        <v>22</v>
      </c>
      <c r="O10" t="s">
        <v>15</v>
      </c>
    </row>
    <row r="11" spans="1:15" x14ac:dyDescent="0.25">
      <c r="A11" s="1" t="s">
        <v>34</v>
      </c>
      <c r="B11" s="1" t="s">
        <v>35</v>
      </c>
      <c r="C11" s="2">
        <v>45019.364583333336</v>
      </c>
      <c r="D11" s="4">
        <f t="shared" si="1"/>
        <v>45019</v>
      </c>
      <c r="E11" s="6">
        <v>0.99444444444088698</v>
      </c>
      <c r="F11" s="6" t="str" cm="1">
        <f t="array" ref="F11">_xlfn.IFS(
     AND(HOUR(session_data[[#This Row],[Time]])&gt;5,HOUR(session_data[[#This Row],[Time]])&lt;12),"Morning",
     AND(HOUR(session_data[[#This Row],[Time]])&gt;=12,HOUR(session_data[[#This Row],[Time]])&lt;17),"Afternoon",
     AND(HOUR(session_data[[#This Row],[Time]])&gt;=17,HOUR(session_data[[#This Row],[Time]])&lt;21),"Evening",
     TRUE,"Night"
)</f>
        <v>Night</v>
      </c>
      <c r="G11" s="1">
        <f t="shared" si="2"/>
        <v>2023</v>
      </c>
      <c r="H11" s="1" t="str">
        <f t="shared" si="3"/>
        <v>Apr</v>
      </c>
      <c r="I11" s="1" t="str">
        <f t="shared" si="0"/>
        <v>Mon</v>
      </c>
      <c r="J11" s="1" t="s">
        <v>18</v>
      </c>
      <c r="K11" s="1" t="s">
        <v>36</v>
      </c>
      <c r="L11" s="1" t="s">
        <v>13</v>
      </c>
      <c r="M11" s="1" t="s">
        <v>32</v>
      </c>
      <c r="N11" s="1" t="s">
        <v>14</v>
      </c>
      <c r="O11" t="s">
        <v>15</v>
      </c>
    </row>
    <row r="12" spans="1:15" x14ac:dyDescent="0.25">
      <c r="A12" s="1" t="s">
        <v>37</v>
      </c>
      <c r="B12" s="1" t="s">
        <v>35</v>
      </c>
      <c r="C12" s="3">
        <v>45004.197916666664</v>
      </c>
      <c r="D12" s="4">
        <f t="shared" si="1"/>
        <v>45004</v>
      </c>
      <c r="E12" s="6">
        <v>1.0361111111075501</v>
      </c>
      <c r="F12" s="6" t="str" cm="1">
        <f t="array" ref="F12">_xlfn.IFS(
     AND(HOUR(session_data[[#This Row],[Time]])&gt;5,HOUR(session_data[[#This Row],[Time]])&lt;12),"Morning",
     AND(HOUR(session_data[[#This Row],[Time]])&gt;=12,HOUR(session_data[[#This Row],[Time]])&lt;17),"Afternoon",
     AND(HOUR(session_data[[#This Row],[Time]])&gt;=17,HOUR(session_data[[#This Row],[Time]])&lt;21),"Evening",
     TRUE,"Night"
)</f>
        <v>Night</v>
      </c>
      <c r="G12" s="1">
        <f t="shared" si="2"/>
        <v>2023</v>
      </c>
      <c r="H12" s="1" t="str">
        <f t="shared" si="3"/>
        <v>Mar</v>
      </c>
      <c r="I12" s="1" t="str">
        <f t="shared" si="0"/>
        <v>Sun</v>
      </c>
      <c r="J12" s="1" t="s">
        <v>18</v>
      </c>
      <c r="K12" s="1" t="s">
        <v>36</v>
      </c>
      <c r="L12" s="1" t="s">
        <v>13</v>
      </c>
      <c r="M12" s="1" t="s">
        <v>32</v>
      </c>
      <c r="N12" s="1" t="s">
        <v>22</v>
      </c>
      <c r="O12" t="s">
        <v>15</v>
      </c>
    </row>
    <row r="13" spans="1:15" x14ac:dyDescent="0.25">
      <c r="A13" s="1" t="s">
        <v>38</v>
      </c>
      <c r="B13" s="1" t="s">
        <v>39</v>
      </c>
      <c r="C13" s="3">
        <v>45500.570138888892</v>
      </c>
      <c r="D13" s="4">
        <f t="shared" si="1"/>
        <v>45500</v>
      </c>
      <c r="E13" s="6">
        <v>1.0777777777742199</v>
      </c>
      <c r="F13" s="6" t="str" cm="1">
        <f t="array" ref="F13">_xlfn.IFS(
     AND(HOUR(session_data[[#This Row],[Time]])&gt;5,HOUR(session_data[[#This Row],[Time]])&lt;12),"Morning",
     AND(HOUR(session_data[[#This Row],[Time]])&gt;=12,HOUR(session_data[[#This Row],[Time]])&lt;17),"Afternoon",
     AND(HOUR(session_data[[#This Row],[Time]])&gt;=17,HOUR(session_data[[#This Row],[Time]])&lt;21),"Evening",
     TRUE,"Night"
)</f>
        <v>Night</v>
      </c>
      <c r="G13" s="1">
        <f t="shared" si="2"/>
        <v>2024</v>
      </c>
      <c r="H13" s="1" t="str">
        <f t="shared" si="3"/>
        <v>Jul</v>
      </c>
      <c r="I13" s="1" t="str">
        <f t="shared" si="0"/>
        <v>Sat</v>
      </c>
      <c r="J13" s="1" t="s">
        <v>11</v>
      </c>
      <c r="K13" s="1" t="s">
        <v>29</v>
      </c>
      <c r="L13" s="1" t="s">
        <v>41</v>
      </c>
      <c r="M13" s="1" t="s">
        <v>40</v>
      </c>
      <c r="N13" s="1" t="s">
        <v>14</v>
      </c>
      <c r="O13" t="s">
        <v>15</v>
      </c>
    </row>
    <row r="14" spans="1:15" x14ac:dyDescent="0.25">
      <c r="A14" s="1" t="s">
        <v>42</v>
      </c>
      <c r="B14" s="1" t="s">
        <v>43</v>
      </c>
      <c r="C14" s="2">
        <v>45330.427777777775</v>
      </c>
      <c r="D14" s="4">
        <f t="shared" si="1"/>
        <v>45330</v>
      </c>
      <c r="E14" s="6">
        <v>1.11944444444089</v>
      </c>
      <c r="F14" s="6" t="str" cm="1">
        <f t="array" ref="F14">_xlfn.IFS(
     AND(HOUR(session_data[[#This Row],[Time]])&gt;5,HOUR(session_data[[#This Row],[Time]])&lt;12),"Morning",
     AND(HOUR(session_data[[#This Row],[Time]])&gt;=12,HOUR(session_data[[#This Row],[Time]])&lt;17),"Afternoon",
     AND(HOUR(session_data[[#This Row],[Time]])&gt;=17,HOUR(session_data[[#This Row],[Time]])&lt;21),"Evening",
     TRUE,"Night"
)</f>
        <v>Night</v>
      </c>
      <c r="G14" s="1">
        <f t="shared" si="2"/>
        <v>2024</v>
      </c>
      <c r="H14" s="1" t="str">
        <f t="shared" si="3"/>
        <v>Feb</v>
      </c>
      <c r="I14" s="1" t="str">
        <f t="shared" si="0"/>
        <v>Thu</v>
      </c>
      <c r="J14" s="1" t="s">
        <v>44</v>
      </c>
      <c r="K14" s="1" t="s">
        <v>12</v>
      </c>
      <c r="L14" s="1" t="s">
        <v>30</v>
      </c>
      <c r="M14" s="1" t="s">
        <v>32</v>
      </c>
      <c r="N14" s="1" t="s">
        <v>14</v>
      </c>
      <c r="O14" t="s">
        <v>45</v>
      </c>
    </row>
    <row r="15" spans="1:15" x14ac:dyDescent="0.25">
      <c r="A15" s="1" t="s">
        <v>46</v>
      </c>
      <c r="B15" s="1" t="s">
        <v>47</v>
      </c>
      <c r="C15" s="2">
        <v>45474.837500000001</v>
      </c>
      <c r="D15" s="4">
        <f t="shared" si="1"/>
        <v>45474</v>
      </c>
      <c r="E15" s="6">
        <v>1.1611111111075501</v>
      </c>
      <c r="F15" s="6" t="str" cm="1">
        <f t="array" ref="F15">_xlfn.IFS(
     AND(HOUR(session_data[[#This Row],[Time]])&gt;5,HOUR(session_data[[#This Row],[Time]])&lt;12),"Morning",
     AND(HOUR(session_data[[#This Row],[Time]])&gt;=12,HOUR(session_data[[#This Row],[Time]])&lt;17),"Afternoon",
     AND(HOUR(session_data[[#This Row],[Time]])&gt;=17,HOUR(session_data[[#This Row],[Time]])&lt;21),"Evening",
     TRUE,"Night"
)</f>
        <v>Night</v>
      </c>
      <c r="G15" s="1">
        <f t="shared" si="2"/>
        <v>2024</v>
      </c>
      <c r="H15" s="1" t="str">
        <f t="shared" si="3"/>
        <v>Jul</v>
      </c>
      <c r="I15" s="1" t="str">
        <f t="shared" si="0"/>
        <v>Mon</v>
      </c>
      <c r="J15" s="1" t="s">
        <v>28</v>
      </c>
      <c r="K15" s="1" t="s">
        <v>29</v>
      </c>
      <c r="L15" s="1" t="s">
        <v>20</v>
      </c>
      <c r="M15" s="1" t="s">
        <v>19</v>
      </c>
      <c r="N15" s="1" t="s">
        <v>14</v>
      </c>
      <c r="O15" t="s">
        <v>45</v>
      </c>
    </row>
    <row r="16" spans="1:15" x14ac:dyDescent="0.25">
      <c r="A16" s="1" t="s">
        <v>48</v>
      </c>
      <c r="B16" s="1" t="s">
        <v>49</v>
      </c>
      <c r="C16" s="3">
        <v>45375.513888888891</v>
      </c>
      <c r="D16" s="4">
        <f t="shared" si="1"/>
        <v>45375</v>
      </c>
      <c r="E16" s="6">
        <v>1.2027777777742199</v>
      </c>
      <c r="F16" s="6" t="str" cm="1">
        <f t="array" ref="F16">_xlfn.IFS(
     AND(HOUR(session_data[[#This Row],[Time]])&gt;5,HOUR(session_data[[#This Row],[Time]])&lt;12),"Morning",
     AND(HOUR(session_data[[#This Row],[Time]])&gt;=12,HOUR(session_data[[#This Row],[Time]])&lt;17),"Afternoon",
     AND(HOUR(session_data[[#This Row],[Time]])&gt;=17,HOUR(session_data[[#This Row],[Time]])&lt;21),"Evening",
     TRUE,"Night"
)</f>
        <v>Night</v>
      </c>
      <c r="G16" s="1">
        <f t="shared" si="2"/>
        <v>2024</v>
      </c>
      <c r="H16" s="1" t="str">
        <f t="shared" si="3"/>
        <v>Mar</v>
      </c>
      <c r="I16" s="1" t="str">
        <f t="shared" si="0"/>
        <v>Sun</v>
      </c>
      <c r="J16" s="1" t="s">
        <v>18</v>
      </c>
      <c r="K16" s="1" t="s">
        <v>12</v>
      </c>
      <c r="L16" s="1" t="s">
        <v>50</v>
      </c>
      <c r="M16" s="1" t="s">
        <v>19</v>
      </c>
      <c r="N16" s="1" t="s">
        <v>14</v>
      </c>
      <c r="O16" t="s">
        <v>45</v>
      </c>
    </row>
    <row r="17" spans="1:15" x14ac:dyDescent="0.25">
      <c r="A17" s="1" t="s">
        <v>51</v>
      </c>
      <c r="B17" s="1" t="s">
        <v>49</v>
      </c>
      <c r="C17" s="3">
        <v>45396.888888888891</v>
      </c>
      <c r="D17" s="4">
        <f t="shared" si="1"/>
        <v>45396</v>
      </c>
      <c r="E17" s="6">
        <v>1.24444444444089</v>
      </c>
      <c r="F17" s="6" t="str" cm="1">
        <f t="array" ref="F17">_xlfn.IFS(
     AND(HOUR(session_data[[#This Row],[Time]])&gt;5,HOUR(session_data[[#This Row],[Time]])&lt;12),"Morning",
     AND(HOUR(session_data[[#This Row],[Time]])&gt;=12,HOUR(session_data[[#This Row],[Time]])&lt;17),"Afternoon",
     AND(HOUR(session_data[[#This Row],[Time]])&gt;=17,HOUR(session_data[[#This Row],[Time]])&lt;21),"Evening",
     TRUE,"Night"
)</f>
        <v>Night</v>
      </c>
      <c r="G17" s="1">
        <f t="shared" si="2"/>
        <v>2024</v>
      </c>
      <c r="H17" s="1" t="str">
        <f t="shared" si="3"/>
        <v>Apr</v>
      </c>
      <c r="I17" s="1" t="str">
        <f t="shared" si="0"/>
        <v>Sun</v>
      </c>
      <c r="J17" s="1" t="s">
        <v>18</v>
      </c>
      <c r="K17" s="1" t="s">
        <v>12</v>
      </c>
      <c r="L17" s="1" t="s">
        <v>50</v>
      </c>
      <c r="M17" s="1" t="s">
        <v>19</v>
      </c>
      <c r="N17" s="1" t="s">
        <v>22</v>
      </c>
      <c r="O17" t="s">
        <v>45</v>
      </c>
    </row>
    <row r="18" spans="1:15" x14ac:dyDescent="0.25">
      <c r="A18" s="1" t="s">
        <v>52</v>
      </c>
      <c r="B18" s="1" t="s">
        <v>49</v>
      </c>
      <c r="C18" s="2">
        <v>45448.597222222219</v>
      </c>
      <c r="D18" s="4">
        <f t="shared" si="1"/>
        <v>45448</v>
      </c>
      <c r="E18" s="6">
        <v>1.2861111111075501</v>
      </c>
      <c r="F18" s="6" t="str" cm="1">
        <f t="array" ref="F18">_xlfn.IFS(
     AND(HOUR(session_data[[#This Row],[Time]])&gt;5,HOUR(session_data[[#This Row],[Time]])&lt;12),"Morning",
     AND(HOUR(session_data[[#This Row],[Time]])&gt;=12,HOUR(session_data[[#This Row],[Time]])&lt;17),"Afternoon",
     AND(HOUR(session_data[[#This Row],[Time]])&gt;=17,HOUR(session_data[[#This Row],[Time]])&lt;21),"Evening",
     TRUE,"Night"
)</f>
        <v>Morning</v>
      </c>
      <c r="G18" s="1">
        <f t="shared" si="2"/>
        <v>2024</v>
      </c>
      <c r="H18" s="1" t="str">
        <f t="shared" si="3"/>
        <v>Jun</v>
      </c>
      <c r="I18" s="1" t="str">
        <f t="shared" si="0"/>
        <v>Wed</v>
      </c>
      <c r="J18" s="1" t="s">
        <v>18</v>
      </c>
      <c r="K18" s="1" t="s">
        <v>12</v>
      </c>
      <c r="L18" s="1" t="s">
        <v>50</v>
      </c>
      <c r="M18" s="1" t="s">
        <v>19</v>
      </c>
      <c r="N18" s="1" t="s">
        <v>22</v>
      </c>
      <c r="O18" t="s">
        <v>45</v>
      </c>
    </row>
    <row r="19" spans="1:15" x14ac:dyDescent="0.25">
      <c r="A19" s="1" t="s">
        <v>53</v>
      </c>
      <c r="B19" s="1" t="s">
        <v>49</v>
      </c>
      <c r="C19" s="3">
        <v>45439.055555555555</v>
      </c>
      <c r="D19" s="4">
        <f t="shared" si="1"/>
        <v>45439</v>
      </c>
      <c r="E19" s="6">
        <v>1.3277777777742199</v>
      </c>
      <c r="F19" s="6" t="str" cm="1">
        <f t="array" ref="F19">_xlfn.IFS(
     AND(HOUR(session_data[[#This Row],[Time]])&gt;5,HOUR(session_data[[#This Row],[Time]])&lt;12),"Morning",
     AND(HOUR(session_data[[#This Row],[Time]])&gt;=12,HOUR(session_data[[#This Row],[Time]])&lt;17),"Afternoon",
     AND(HOUR(session_data[[#This Row],[Time]])&gt;=17,HOUR(session_data[[#This Row],[Time]])&lt;21),"Evening",
     TRUE,"Night"
)</f>
        <v>Morning</v>
      </c>
      <c r="G19" s="1">
        <f t="shared" si="2"/>
        <v>2024</v>
      </c>
      <c r="H19" s="1" t="str">
        <f t="shared" si="3"/>
        <v>May</v>
      </c>
      <c r="I19" s="1" t="str">
        <f t="shared" si="0"/>
        <v>Mon</v>
      </c>
      <c r="J19" s="1" t="s">
        <v>18</v>
      </c>
      <c r="K19" s="1" t="s">
        <v>12</v>
      </c>
      <c r="L19" s="1" t="s">
        <v>50</v>
      </c>
      <c r="M19" s="1" t="s">
        <v>19</v>
      </c>
      <c r="N19" s="1" t="s">
        <v>22</v>
      </c>
      <c r="O19" t="s">
        <v>45</v>
      </c>
    </row>
    <row r="20" spans="1:15" x14ac:dyDescent="0.25">
      <c r="A20" s="1" t="s">
        <v>54</v>
      </c>
      <c r="B20" s="1" t="s">
        <v>55</v>
      </c>
      <c r="C20" s="3">
        <v>45337.671527777777</v>
      </c>
      <c r="D20" s="4">
        <f t="shared" si="1"/>
        <v>45337</v>
      </c>
      <c r="E20" s="6">
        <v>1.36944444444089</v>
      </c>
      <c r="F20" s="6" t="str" cm="1">
        <f t="array" ref="F20">_xlfn.IFS(
     AND(HOUR(session_data[[#This Row],[Time]])&gt;5,HOUR(session_data[[#This Row],[Time]])&lt;12),"Morning",
     AND(HOUR(session_data[[#This Row],[Time]])&gt;=12,HOUR(session_data[[#This Row],[Time]])&lt;17),"Afternoon",
     AND(HOUR(session_data[[#This Row],[Time]])&gt;=17,HOUR(session_data[[#This Row],[Time]])&lt;21),"Evening",
     TRUE,"Night"
)</f>
        <v>Morning</v>
      </c>
      <c r="G20" s="1">
        <f t="shared" si="2"/>
        <v>2024</v>
      </c>
      <c r="H20" s="1" t="str">
        <f t="shared" si="3"/>
        <v>Feb</v>
      </c>
      <c r="I20" s="1" t="str">
        <f t="shared" si="0"/>
        <v>Thu</v>
      </c>
      <c r="J20" s="1" t="s">
        <v>44</v>
      </c>
      <c r="K20" s="1" t="s">
        <v>29</v>
      </c>
      <c r="L20" s="1" t="s">
        <v>50</v>
      </c>
      <c r="M20" s="1" t="s">
        <v>19</v>
      </c>
      <c r="N20" s="1" t="s">
        <v>14</v>
      </c>
      <c r="O20" t="s">
        <v>15</v>
      </c>
    </row>
    <row r="21" spans="1:15" x14ac:dyDescent="0.25">
      <c r="A21" s="1" t="s">
        <v>56</v>
      </c>
      <c r="B21" s="1" t="s">
        <v>55</v>
      </c>
      <c r="C21" s="3">
        <v>45343.546527777777</v>
      </c>
      <c r="D21" s="4">
        <f t="shared" si="1"/>
        <v>45343</v>
      </c>
      <c r="E21" s="6">
        <v>1.4111111111075501</v>
      </c>
      <c r="F21" s="6" t="str" cm="1">
        <f t="array" ref="F21">_xlfn.IFS(
     AND(HOUR(session_data[[#This Row],[Time]])&gt;5,HOUR(session_data[[#This Row],[Time]])&lt;12),"Morning",
     AND(HOUR(session_data[[#This Row],[Time]])&gt;=12,HOUR(session_data[[#This Row],[Time]])&lt;17),"Afternoon",
     AND(HOUR(session_data[[#This Row],[Time]])&gt;=17,HOUR(session_data[[#This Row],[Time]])&lt;21),"Evening",
     TRUE,"Night"
)</f>
        <v>Morning</v>
      </c>
      <c r="G21" s="1">
        <f t="shared" si="2"/>
        <v>2024</v>
      </c>
      <c r="H21" s="1" t="str">
        <f t="shared" si="3"/>
        <v>Feb</v>
      </c>
      <c r="I21" s="1" t="str">
        <f t="shared" si="0"/>
        <v>Wed</v>
      </c>
      <c r="J21" s="1" t="s">
        <v>44</v>
      </c>
      <c r="K21" s="1" t="s">
        <v>29</v>
      </c>
      <c r="L21" s="1" t="s">
        <v>50</v>
      </c>
      <c r="M21" s="1" t="s">
        <v>19</v>
      </c>
      <c r="N21" s="1" t="s">
        <v>22</v>
      </c>
      <c r="O21" t="s">
        <v>15</v>
      </c>
    </row>
    <row r="22" spans="1:15" x14ac:dyDescent="0.25">
      <c r="A22" s="1" t="s">
        <v>57</v>
      </c>
      <c r="B22" s="1" t="s">
        <v>58</v>
      </c>
      <c r="C22" s="3">
        <v>45460.560416666667</v>
      </c>
      <c r="D22" s="4">
        <f t="shared" si="1"/>
        <v>45460</v>
      </c>
      <c r="E22" s="6">
        <v>1.4527777777742199</v>
      </c>
      <c r="F22" s="6" t="str" cm="1">
        <f t="array" ref="F22">_xlfn.IFS(
     AND(HOUR(session_data[[#This Row],[Time]])&gt;5,HOUR(session_data[[#This Row],[Time]])&lt;12),"Morning",
     AND(HOUR(session_data[[#This Row],[Time]])&gt;=12,HOUR(session_data[[#This Row],[Time]])&lt;17),"Afternoon",
     AND(HOUR(session_data[[#This Row],[Time]])&gt;=17,HOUR(session_data[[#This Row],[Time]])&lt;21),"Evening",
     TRUE,"Night"
)</f>
        <v>Morning</v>
      </c>
      <c r="G22" s="1">
        <f t="shared" si="2"/>
        <v>2024</v>
      </c>
      <c r="H22" s="1" t="str">
        <f t="shared" si="3"/>
        <v>Jun</v>
      </c>
      <c r="I22" s="1" t="str">
        <f t="shared" si="0"/>
        <v>Mon</v>
      </c>
      <c r="J22" s="1" t="s">
        <v>11</v>
      </c>
      <c r="K22" s="1" t="s">
        <v>12</v>
      </c>
      <c r="L22" s="1" t="s">
        <v>59</v>
      </c>
      <c r="M22" s="1" t="s">
        <v>19</v>
      </c>
      <c r="N22" s="1" t="s">
        <v>14</v>
      </c>
      <c r="O22" t="s">
        <v>15</v>
      </c>
    </row>
    <row r="23" spans="1:15" x14ac:dyDescent="0.25">
      <c r="A23" s="1" t="s">
        <v>60</v>
      </c>
      <c r="B23" s="1" t="s">
        <v>58</v>
      </c>
      <c r="C23" s="3">
        <v>45463.143750000003</v>
      </c>
      <c r="D23" s="4">
        <f t="shared" si="1"/>
        <v>45463</v>
      </c>
      <c r="E23" s="6">
        <v>1.49444444444089</v>
      </c>
      <c r="F23" s="6" t="str" cm="1">
        <f t="array" ref="F23">_xlfn.IFS(
     AND(HOUR(session_data[[#This Row],[Time]])&gt;5,HOUR(session_data[[#This Row],[Time]])&lt;12),"Morning",
     AND(HOUR(session_data[[#This Row],[Time]])&gt;=12,HOUR(session_data[[#This Row],[Time]])&lt;17),"Afternoon",
     AND(HOUR(session_data[[#This Row],[Time]])&gt;=17,HOUR(session_data[[#This Row],[Time]])&lt;21),"Evening",
     TRUE,"Night"
)</f>
        <v>Morning</v>
      </c>
      <c r="G23" s="1">
        <f t="shared" si="2"/>
        <v>2024</v>
      </c>
      <c r="H23" s="1" t="str">
        <f t="shared" si="3"/>
        <v>Jun</v>
      </c>
      <c r="I23" s="1" t="str">
        <f t="shared" si="0"/>
        <v>Thu</v>
      </c>
      <c r="J23" s="1" t="s">
        <v>11</v>
      </c>
      <c r="K23" s="1" t="s">
        <v>12</v>
      </c>
      <c r="L23" s="1" t="s">
        <v>59</v>
      </c>
      <c r="M23" s="1" t="s">
        <v>19</v>
      </c>
      <c r="N23" s="1" t="s">
        <v>22</v>
      </c>
      <c r="O23" t="s">
        <v>15</v>
      </c>
    </row>
    <row r="24" spans="1:15" x14ac:dyDescent="0.25">
      <c r="A24" s="1" t="s">
        <v>61</v>
      </c>
      <c r="B24" s="1" t="s">
        <v>58</v>
      </c>
      <c r="C24" s="2">
        <v>45358.102083333331</v>
      </c>
      <c r="D24" s="4">
        <f t="shared" si="1"/>
        <v>45358</v>
      </c>
      <c r="E24" s="6">
        <v>1.5361111111075501</v>
      </c>
      <c r="F24" s="6" t="str" cm="1">
        <f t="array" ref="F24">_xlfn.IFS(
     AND(HOUR(session_data[[#This Row],[Time]])&gt;5,HOUR(session_data[[#This Row],[Time]])&lt;12),"Morning",
     AND(HOUR(session_data[[#This Row],[Time]])&gt;=12,HOUR(session_data[[#This Row],[Time]])&lt;17),"Afternoon",
     AND(HOUR(session_data[[#This Row],[Time]])&gt;=17,HOUR(session_data[[#This Row],[Time]])&lt;21),"Evening",
     TRUE,"Night"
)</f>
        <v>Afternoon</v>
      </c>
      <c r="G24" s="1">
        <f t="shared" si="2"/>
        <v>2024</v>
      </c>
      <c r="H24" s="1" t="str">
        <f t="shared" si="3"/>
        <v>Mar</v>
      </c>
      <c r="I24" s="1" t="str">
        <f t="shared" si="0"/>
        <v>Thu</v>
      </c>
      <c r="J24" s="1" t="s">
        <v>11</v>
      </c>
      <c r="K24" s="1" t="s">
        <v>12</v>
      </c>
      <c r="L24" s="1" t="s">
        <v>59</v>
      </c>
      <c r="M24" s="1" t="s">
        <v>19</v>
      </c>
      <c r="N24" s="1" t="s">
        <v>22</v>
      </c>
      <c r="O24" t="s">
        <v>15</v>
      </c>
    </row>
    <row r="25" spans="1:15" x14ac:dyDescent="0.25">
      <c r="A25" s="1" t="s">
        <v>62</v>
      </c>
      <c r="B25" s="1" t="s">
        <v>63</v>
      </c>
      <c r="C25" s="2">
        <v>45383.794444444444</v>
      </c>
      <c r="D25" s="4">
        <f t="shared" si="1"/>
        <v>45383</v>
      </c>
      <c r="E25" s="6">
        <v>1.5777777777742199</v>
      </c>
      <c r="F25" s="6" t="str" cm="1">
        <f t="array" ref="F25">_xlfn.IFS(
     AND(HOUR(session_data[[#This Row],[Time]])&gt;5,HOUR(session_data[[#This Row],[Time]])&lt;12),"Morning",
     AND(HOUR(session_data[[#This Row],[Time]])&gt;=12,HOUR(session_data[[#This Row],[Time]])&lt;17),"Afternoon",
     AND(HOUR(session_data[[#This Row],[Time]])&gt;=17,HOUR(session_data[[#This Row],[Time]])&lt;21),"Evening",
     TRUE,"Night"
)</f>
        <v>Afternoon</v>
      </c>
      <c r="G25" s="1">
        <f t="shared" si="2"/>
        <v>2024</v>
      </c>
      <c r="H25" s="1" t="str">
        <f t="shared" si="3"/>
        <v>Apr</v>
      </c>
      <c r="I25" s="1" t="str">
        <f t="shared" si="0"/>
        <v>Mon</v>
      </c>
      <c r="J25" s="1" t="s">
        <v>11</v>
      </c>
      <c r="K25" s="1" t="s">
        <v>12</v>
      </c>
      <c r="L25" s="1" t="s">
        <v>41</v>
      </c>
      <c r="M25" s="1" t="s">
        <v>40</v>
      </c>
      <c r="N25" s="1" t="s">
        <v>14</v>
      </c>
      <c r="O25" t="s">
        <v>15</v>
      </c>
    </row>
    <row r="26" spans="1:15" x14ac:dyDescent="0.25">
      <c r="A26" s="1" t="s">
        <v>64</v>
      </c>
      <c r="B26" s="1" t="s">
        <v>65</v>
      </c>
      <c r="C26" s="2">
        <v>45383.088194444441</v>
      </c>
      <c r="D26" s="4">
        <f t="shared" si="1"/>
        <v>45383</v>
      </c>
      <c r="E26" s="6">
        <v>1.61944444444089</v>
      </c>
      <c r="F26" s="6" t="str" cm="1">
        <f t="array" ref="F26">_xlfn.IFS(
     AND(HOUR(session_data[[#This Row],[Time]])&gt;5,HOUR(session_data[[#This Row],[Time]])&lt;12),"Morning",
     AND(HOUR(session_data[[#This Row],[Time]])&gt;=12,HOUR(session_data[[#This Row],[Time]])&lt;17),"Afternoon",
     AND(HOUR(session_data[[#This Row],[Time]])&gt;=17,HOUR(session_data[[#This Row],[Time]])&lt;21),"Evening",
     TRUE,"Night"
)</f>
        <v>Afternoon</v>
      </c>
      <c r="G26" s="1">
        <f t="shared" si="2"/>
        <v>2024</v>
      </c>
      <c r="H26" s="1" t="str">
        <f t="shared" si="3"/>
        <v>Apr</v>
      </c>
      <c r="I26" s="1" t="str">
        <f t="shared" si="0"/>
        <v>Mon</v>
      </c>
      <c r="J26" s="1" t="s">
        <v>66</v>
      </c>
      <c r="K26" s="1" t="s">
        <v>12</v>
      </c>
      <c r="L26" s="1" t="s">
        <v>50</v>
      </c>
      <c r="M26" s="1" t="s">
        <v>19</v>
      </c>
      <c r="N26" s="1" t="s">
        <v>14</v>
      </c>
      <c r="O26" t="s">
        <v>15</v>
      </c>
    </row>
    <row r="27" spans="1:15" x14ac:dyDescent="0.25">
      <c r="A27" s="1" t="s">
        <v>67</v>
      </c>
      <c r="B27" s="1" t="s">
        <v>65</v>
      </c>
      <c r="C27" s="3">
        <v>45316.171527777777</v>
      </c>
      <c r="D27" s="4">
        <f t="shared" si="1"/>
        <v>45316</v>
      </c>
      <c r="E27" s="6">
        <v>1.6611111111075501</v>
      </c>
      <c r="F27" s="6" t="str" cm="1">
        <f t="array" ref="F27">_xlfn.IFS(
     AND(HOUR(session_data[[#This Row],[Time]])&gt;5,HOUR(session_data[[#This Row],[Time]])&lt;12),"Morning",
     AND(HOUR(session_data[[#This Row],[Time]])&gt;=12,HOUR(session_data[[#This Row],[Time]])&lt;17),"Afternoon",
     AND(HOUR(session_data[[#This Row],[Time]])&gt;=17,HOUR(session_data[[#This Row],[Time]])&lt;21),"Evening",
     TRUE,"Night"
)</f>
        <v>Afternoon</v>
      </c>
      <c r="G27" s="1">
        <f t="shared" si="2"/>
        <v>2024</v>
      </c>
      <c r="H27" s="1" t="str">
        <f t="shared" si="3"/>
        <v>Jan</v>
      </c>
      <c r="I27" s="1" t="str">
        <f t="shared" si="0"/>
        <v>Thu</v>
      </c>
      <c r="J27" s="1" t="s">
        <v>66</v>
      </c>
      <c r="K27" s="1" t="s">
        <v>12</v>
      </c>
      <c r="L27" s="1" t="s">
        <v>50</v>
      </c>
      <c r="M27" s="1" t="s">
        <v>19</v>
      </c>
      <c r="N27" s="1" t="s">
        <v>22</v>
      </c>
      <c r="O27" t="s">
        <v>15</v>
      </c>
    </row>
    <row r="28" spans="1:15" x14ac:dyDescent="0.25">
      <c r="A28" s="1" t="s">
        <v>68</v>
      </c>
      <c r="B28" s="1" t="s">
        <v>65</v>
      </c>
      <c r="C28" s="3">
        <v>45337.754861111112</v>
      </c>
      <c r="D28" s="4">
        <f t="shared" si="1"/>
        <v>45337</v>
      </c>
      <c r="E28" s="6">
        <v>1.7027777777742199</v>
      </c>
      <c r="F28" s="6" t="str" cm="1">
        <f t="array" ref="F28">_xlfn.IFS(
     AND(HOUR(session_data[[#This Row],[Time]])&gt;5,HOUR(session_data[[#This Row],[Time]])&lt;12),"Morning",
     AND(HOUR(session_data[[#This Row],[Time]])&gt;=12,HOUR(session_data[[#This Row],[Time]])&lt;17),"Afternoon",
     AND(HOUR(session_data[[#This Row],[Time]])&gt;=17,HOUR(session_data[[#This Row],[Time]])&lt;21),"Evening",
     TRUE,"Night"
)</f>
        <v>Afternoon</v>
      </c>
      <c r="G28" s="1">
        <f t="shared" si="2"/>
        <v>2024</v>
      </c>
      <c r="H28" s="1" t="str">
        <f t="shared" si="3"/>
        <v>Feb</v>
      </c>
      <c r="I28" s="1" t="str">
        <f t="shared" si="0"/>
        <v>Thu</v>
      </c>
      <c r="J28" s="1" t="s">
        <v>66</v>
      </c>
      <c r="K28" s="1" t="s">
        <v>12</v>
      </c>
      <c r="L28" s="1" t="s">
        <v>50</v>
      </c>
      <c r="M28" s="1" t="s">
        <v>19</v>
      </c>
      <c r="N28" s="1" t="s">
        <v>22</v>
      </c>
      <c r="O28" t="s">
        <v>15</v>
      </c>
    </row>
    <row r="29" spans="1:15" x14ac:dyDescent="0.25">
      <c r="A29" s="1" t="s">
        <v>69</v>
      </c>
      <c r="B29" s="1" t="s">
        <v>65</v>
      </c>
      <c r="C29" s="2">
        <v>45629.338194444441</v>
      </c>
      <c r="D29" s="4">
        <f t="shared" si="1"/>
        <v>45629</v>
      </c>
      <c r="E29" s="6">
        <v>1.74444444444089</v>
      </c>
      <c r="F29" s="6" t="str" cm="1">
        <f t="array" ref="F29">_xlfn.IFS(
     AND(HOUR(session_data[[#This Row],[Time]])&gt;5,HOUR(session_data[[#This Row],[Time]])&lt;12),"Morning",
     AND(HOUR(session_data[[#This Row],[Time]])&gt;=12,HOUR(session_data[[#This Row],[Time]])&lt;17),"Afternoon",
     AND(HOUR(session_data[[#This Row],[Time]])&gt;=17,HOUR(session_data[[#This Row],[Time]])&lt;21),"Evening",
     TRUE,"Night"
)</f>
        <v>Evening</v>
      </c>
      <c r="G29" s="1">
        <f t="shared" si="2"/>
        <v>2024</v>
      </c>
      <c r="H29" s="1" t="str">
        <f t="shared" si="3"/>
        <v>Dec</v>
      </c>
      <c r="I29" s="1" t="str">
        <f t="shared" si="0"/>
        <v>Tue</v>
      </c>
      <c r="J29" s="1" t="s">
        <v>66</v>
      </c>
      <c r="K29" s="1" t="s">
        <v>12</v>
      </c>
      <c r="L29" s="1" t="s">
        <v>50</v>
      </c>
      <c r="M29" s="1" t="s">
        <v>19</v>
      </c>
      <c r="N29" s="1" t="s">
        <v>22</v>
      </c>
      <c r="O29" t="s">
        <v>15</v>
      </c>
    </row>
    <row r="30" spans="1:15" x14ac:dyDescent="0.25">
      <c r="A30" s="1" t="s">
        <v>70</v>
      </c>
      <c r="B30" s="1" t="s">
        <v>65</v>
      </c>
      <c r="C30" s="3">
        <v>45381.004861111112</v>
      </c>
      <c r="D30" s="4">
        <f t="shared" si="1"/>
        <v>45381</v>
      </c>
      <c r="E30" s="6">
        <v>1.7861111111075501</v>
      </c>
      <c r="F30" s="6" t="str" cm="1">
        <f t="array" ref="F30">_xlfn.IFS(
     AND(HOUR(session_data[[#This Row],[Time]])&gt;5,HOUR(session_data[[#This Row],[Time]])&lt;12),"Morning",
     AND(HOUR(session_data[[#This Row],[Time]])&gt;=12,HOUR(session_data[[#This Row],[Time]])&lt;17),"Afternoon",
     AND(HOUR(session_data[[#This Row],[Time]])&gt;=17,HOUR(session_data[[#This Row],[Time]])&lt;21),"Evening",
     TRUE,"Night"
)</f>
        <v>Evening</v>
      </c>
      <c r="G30" s="1">
        <f t="shared" si="2"/>
        <v>2024</v>
      </c>
      <c r="H30" s="1" t="str">
        <f t="shared" si="3"/>
        <v>Mar</v>
      </c>
      <c r="I30" s="1" t="str">
        <f t="shared" si="0"/>
        <v>Sat</v>
      </c>
      <c r="J30" s="1" t="s">
        <v>66</v>
      </c>
      <c r="K30" s="1" t="s">
        <v>12</v>
      </c>
      <c r="L30" s="1" t="s">
        <v>50</v>
      </c>
      <c r="M30" s="1" t="s">
        <v>19</v>
      </c>
      <c r="N30" s="1" t="s">
        <v>22</v>
      </c>
      <c r="O30" t="s">
        <v>15</v>
      </c>
    </row>
    <row r="31" spans="1:15" x14ac:dyDescent="0.25">
      <c r="A31" s="1" t="s">
        <v>71</v>
      </c>
      <c r="B31" s="1" t="s">
        <v>72</v>
      </c>
      <c r="C31" s="2">
        <v>45353.299305555556</v>
      </c>
      <c r="D31" s="4">
        <f t="shared" si="1"/>
        <v>45353</v>
      </c>
      <c r="E31" s="6">
        <v>1.8277777777742199</v>
      </c>
      <c r="F31" s="6" t="str" cm="1">
        <f t="array" ref="F31">_xlfn.IFS(
     AND(HOUR(session_data[[#This Row],[Time]])&gt;5,HOUR(session_data[[#This Row],[Time]])&lt;12),"Morning",
     AND(HOUR(session_data[[#This Row],[Time]])&gt;=12,HOUR(session_data[[#This Row],[Time]])&lt;17),"Afternoon",
     AND(HOUR(session_data[[#This Row],[Time]])&gt;=17,HOUR(session_data[[#This Row],[Time]])&lt;21),"Evening",
     TRUE,"Night"
)</f>
        <v>Evening</v>
      </c>
      <c r="G31" s="1">
        <f t="shared" si="2"/>
        <v>2024</v>
      </c>
      <c r="H31" s="1" t="str">
        <f t="shared" si="3"/>
        <v>Mar</v>
      </c>
      <c r="I31" s="1" t="str">
        <f t="shared" si="0"/>
        <v>Sat</v>
      </c>
      <c r="J31" s="1" t="s">
        <v>18</v>
      </c>
      <c r="K31" s="1" t="s">
        <v>29</v>
      </c>
      <c r="L31" s="1" t="s">
        <v>13</v>
      </c>
      <c r="M31" s="1" t="s">
        <v>32</v>
      </c>
      <c r="N31" s="1" t="s">
        <v>14</v>
      </c>
      <c r="O31" t="s">
        <v>15</v>
      </c>
    </row>
    <row r="32" spans="1:15" x14ac:dyDescent="0.25">
      <c r="A32" s="1" t="s">
        <v>73</v>
      </c>
      <c r="B32" s="1" t="s">
        <v>72</v>
      </c>
      <c r="C32" s="3">
        <v>45346.34097222222</v>
      </c>
      <c r="D32" s="4">
        <f t="shared" si="1"/>
        <v>45346</v>
      </c>
      <c r="E32" s="6">
        <v>1.86944444444089</v>
      </c>
      <c r="F32" s="6" t="str" cm="1">
        <f t="array" ref="F32">_xlfn.IFS(
     AND(HOUR(session_data[[#This Row],[Time]])&gt;5,HOUR(session_data[[#This Row],[Time]])&lt;12),"Morning",
     AND(HOUR(session_data[[#This Row],[Time]])&gt;=12,HOUR(session_data[[#This Row],[Time]])&lt;17),"Afternoon",
     AND(HOUR(session_data[[#This Row],[Time]])&gt;=17,HOUR(session_data[[#This Row],[Time]])&lt;21),"Evening",
     TRUE,"Night"
)</f>
        <v>Evening</v>
      </c>
      <c r="G32" s="1">
        <f t="shared" si="2"/>
        <v>2024</v>
      </c>
      <c r="H32" s="1" t="str">
        <f t="shared" si="3"/>
        <v>Feb</v>
      </c>
      <c r="I32" s="1" t="str">
        <f t="shared" si="0"/>
        <v>Sat</v>
      </c>
      <c r="J32" s="1" t="s">
        <v>18</v>
      </c>
      <c r="K32" s="1" t="s">
        <v>29</v>
      </c>
      <c r="L32" s="1" t="s">
        <v>13</v>
      </c>
      <c r="M32" s="1" t="s">
        <v>32</v>
      </c>
      <c r="N32" s="1" t="s">
        <v>22</v>
      </c>
      <c r="O32" t="s">
        <v>15</v>
      </c>
    </row>
    <row r="33" spans="1:15" x14ac:dyDescent="0.25">
      <c r="A33" s="1" t="s">
        <v>74</v>
      </c>
      <c r="B33" s="1" t="s">
        <v>72</v>
      </c>
      <c r="C33" s="3">
        <v>45375.59097222222</v>
      </c>
      <c r="D33" s="4">
        <f t="shared" si="1"/>
        <v>45375</v>
      </c>
      <c r="E33" s="6">
        <v>1.9111111111075501</v>
      </c>
      <c r="F33" s="6" t="str" cm="1">
        <f t="array" ref="F33">_xlfn.IFS(
     AND(HOUR(session_data[[#This Row],[Time]])&gt;5,HOUR(session_data[[#This Row],[Time]])&lt;12),"Morning",
     AND(HOUR(session_data[[#This Row],[Time]])&gt;=12,HOUR(session_data[[#This Row],[Time]])&lt;17),"Afternoon",
     AND(HOUR(session_data[[#This Row],[Time]])&gt;=17,HOUR(session_data[[#This Row],[Time]])&lt;21),"Evening",
     TRUE,"Night"
)</f>
        <v>Night</v>
      </c>
      <c r="G33" s="1">
        <f t="shared" si="2"/>
        <v>2024</v>
      </c>
      <c r="H33" s="1" t="str">
        <f t="shared" si="3"/>
        <v>Mar</v>
      </c>
      <c r="I33" s="1" t="str">
        <f t="shared" si="0"/>
        <v>Sun</v>
      </c>
      <c r="J33" s="1" t="s">
        <v>18</v>
      </c>
      <c r="K33" s="1" t="s">
        <v>29</v>
      </c>
      <c r="L33" s="1" t="s">
        <v>13</v>
      </c>
      <c r="M33" s="1" t="s">
        <v>32</v>
      </c>
      <c r="N33" s="1" t="s">
        <v>22</v>
      </c>
      <c r="O33" t="s">
        <v>15</v>
      </c>
    </row>
    <row r="34" spans="1:15" x14ac:dyDescent="0.25">
      <c r="A34" s="1" t="s">
        <v>75</v>
      </c>
      <c r="B34" s="1" t="s">
        <v>76</v>
      </c>
      <c r="C34" s="3">
        <v>45442.425000000003</v>
      </c>
      <c r="D34" s="4">
        <f t="shared" si="1"/>
        <v>45442</v>
      </c>
      <c r="E34" s="6">
        <v>1.9527777777742199</v>
      </c>
      <c r="F34" s="6" t="str" cm="1">
        <f t="array" ref="F34">_xlfn.IFS(
     AND(HOUR(session_data[[#This Row],[Time]])&gt;5,HOUR(session_data[[#This Row],[Time]])&lt;12),"Morning",
     AND(HOUR(session_data[[#This Row],[Time]])&gt;=12,HOUR(session_data[[#This Row],[Time]])&lt;17),"Afternoon",
     AND(HOUR(session_data[[#This Row],[Time]])&gt;=17,HOUR(session_data[[#This Row],[Time]])&lt;21),"Evening",
     TRUE,"Night"
)</f>
        <v>Night</v>
      </c>
      <c r="G34" s="1">
        <f t="shared" si="2"/>
        <v>2024</v>
      </c>
      <c r="H34" s="1" t="str">
        <f t="shared" si="3"/>
        <v>May</v>
      </c>
      <c r="I34" s="1" t="str">
        <f t="shared" si="0"/>
        <v>Thu</v>
      </c>
      <c r="J34" s="1" t="s">
        <v>18</v>
      </c>
      <c r="K34" s="1" t="s">
        <v>29</v>
      </c>
      <c r="L34" s="1" t="s">
        <v>59</v>
      </c>
      <c r="M34" s="1" t="s">
        <v>19</v>
      </c>
      <c r="N34" s="1" t="s">
        <v>14</v>
      </c>
      <c r="O34" t="s">
        <v>45</v>
      </c>
    </row>
    <row r="35" spans="1:15" x14ac:dyDescent="0.25">
      <c r="A35" s="1" t="s">
        <v>77</v>
      </c>
      <c r="B35" s="1" t="s">
        <v>78</v>
      </c>
      <c r="C35" s="2">
        <v>45353.007638888892</v>
      </c>
      <c r="D35" s="4">
        <f t="shared" si="1"/>
        <v>45353</v>
      </c>
      <c r="E35" s="6">
        <v>1.99444444444089</v>
      </c>
      <c r="F35" s="6" t="str" cm="1">
        <f t="array" ref="F35">_xlfn.IFS(
     AND(HOUR(session_data[[#This Row],[Time]])&gt;5,HOUR(session_data[[#This Row],[Time]])&lt;12),"Morning",
     AND(HOUR(session_data[[#This Row],[Time]])&gt;=12,HOUR(session_data[[#This Row],[Time]])&lt;17),"Afternoon",
     AND(HOUR(session_data[[#This Row],[Time]])&gt;=17,HOUR(session_data[[#This Row],[Time]])&lt;21),"Evening",
     TRUE,"Night"
)</f>
        <v>Night</v>
      </c>
      <c r="G35" s="1">
        <f t="shared" si="2"/>
        <v>2024</v>
      </c>
      <c r="H35" s="1" t="str">
        <f t="shared" si="3"/>
        <v>Mar</v>
      </c>
      <c r="I35" s="1" t="str">
        <f t="shared" si="0"/>
        <v>Sat</v>
      </c>
      <c r="J35" s="1" t="s">
        <v>18</v>
      </c>
      <c r="K35" s="1" t="s">
        <v>36</v>
      </c>
      <c r="L35" s="1" t="s">
        <v>79</v>
      </c>
      <c r="M35" s="1" t="s">
        <v>40</v>
      </c>
      <c r="N35" s="1" t="s">
        <v>14</v>
      </c>
      <c r="O35" t="s">
        <v>15</v>
      </c>
    </row>
    <row r="36" spans="1:15" x14ac:dyDescent="0.25">
      <c r="A36" s="1" t="s">
        <v>80</v>
      </c>
      <c r="B36" s="1" t="s">
        <v>81</v>
      </c>
      <c r="C36" s="2">
        <v>45418.672222222223</v>
      </c>
      <c r="D36" s="4">
        <f t="shared" si="1"/>
        <v>45418</v>
      </c>
      <c r="E36" s="6">
        <v>2.0361111111075498</v>
      </c>
      <c r="F36" s="6" t="str" cm="1">
        <f t="array" ref="F36">_xlfn.IFS(
     AND(HOUR(session_data[[#This Row],[Time]])&gt;5,HOUR(session_data[[#This Row],[Time]])&lt;12),"Morning",
     AND(HOUR(session_data[[#This Row],[Time]])&gt;=12,HOUR(session_data[[#This Row],[Time]])&lt;17),"Afternoon",
     AND(HOUR(session_data[[#This Row],[Time]])&gt;=17,HOUR(session_data[[#This Row],[Time]])&lt;21),"Evening",
     TRUE,"Night"
)</f>
        <v>Night</v>
      </c>
      <c r="G36" s="1">
        <f t="shared" si="2"/>
        <v>2024</v>
      </c>
      <c r="H36" s="1" t="str">
        <f t="shared" si="3"/>
        <v>May</v>
      </c>
      <c r="I36" s="1" t="str">
        <f t="shared" si="0"/>
        <v>Mon</v>
      </c>
      <c r="J36" s="1" t="s">
        <v>66</v>
      </c>
      <c r="K36" s="1" t="s">
        <v>12</v>
      </c>
      <c r="L36" s="1" t="s">
        <v>50</v>
      </c>
      <c r="M36" s="1" t="s">
        <v>19</v>
      </c>
      <c r="N36" s="1" t="s">
        <v>14</v>
      </c>
      <c r="O36" t="s">
        <v>45</v>
      </c>
    </row>
    <row r="37" spans="1:15" x14ac:dyDescent="0.25">
      <c r="A37" s="1" t="s">
        <v>82</v>
      </c>
      <c r="B37" s="1" t="s">
        <v>83</v>
      </c>
      <c r="C37" s="2">
        <v>45292.479861111111</v>
      </c>
      <c r="D37" s="4">
        <f t="shared" si="1"/>
        <v>45292</v>
      </c>
      <c r="E37" s="6">
        <v>2.0777777777742199</v>
      </c>
      <c r="F37" s="6" t="str" cm="1">
        <f t="array" ref="F37">_xlfn.IFS(
     AND(HOUR(session_data[[#This Row],[Time]])&gt;5,HOUR(session_data[[#This Row],[Time]])&lt;12),"Morning",
     AND(HOUR(session_data[[#This Row],[Time]])&gt;=12,HOUR(session_data[[#This Row],[Time]])&lt;17),"Afternoon",
     AND(HOUR(session_data[[#This Row],[Time]])&gt;=17,HOUR(session_data[[#This Row],[Time]])&lt;21),"Evening",
     TRUE,"Night"
)</f>
        <v>Night</v>
      </c>
      <c r="G37" s="1">
        <f t="shared" si="2"/>
        <v>2024</v>
      </c>
      <c r="H37" s="1" t="str">
        <f t="shared" si="3"/>
        <v>Jan</v>
      </c>
      <c r="I37" s="1" t="str">
        <f t="shared" si="0"/>
        <v>Mon</v>
      </c>
      <c r="J37" s="1" t="s">
        <v>18</v>
      </c>
      <c r="K37" s="1" t="s">
        <v>12</v>
      </c>
      <c r="L37" s="1" t="s">
        <v>13</v>
      </c>
      <c r="M37" s="1" t="s">
        <v>32</v>
      </c>
      <c r="N37" s="1" t="s">
        <v>14</v>
      </c>
      <c r="O37" t="s">
        <v>15</v>
      </c>
    </row>
    <row r="38" spans="1:15" x14ac:dyDescent="0.25">
      <c r="A38" s="1" t="s">
        <v>84</v>
      </c>
      <c r="B38" s="1" t="s">
        <v>85</v>
      </c>
      <c r="C38" s="3">
        <v>45313.467361111114</v>
      </c>
      <c r="D38" s="4">
        <f t="shared" si="1"/>
        <v>45313</v>
      </c>
      <c r="E38" s="6">
        <v>2.11944444444089</v>
      </c>
      <c r="F38" s="6" t="str" cm="1">
        <f t="array" ref="F38">_xlfn.IFS(
     AND(HOUR(session_data[[#This Row],[Time]])&gt;5,HOUR(session_data[[#This Row],[Time]])&lt;12),"Morning",
     AND(HOUR(session_data[[#This Row],[Time]])&gt;=12,HOUR(session_data[[#This Row],[Time]])&lt;17),"Afternoon",
     AND(HOUR(session_data[[#This Row],[Time]])&gt;=17,HOUR(session_data[[#This Row],[Time]])&lt;21),"Evening",
     TRUE,"Night"
)</f>
        <v>Night</v>
      </c>
      <c r="G38" s="1">
        <f t="shared" si="2"/>
        <v>2024</v>
      </c>
      <c r="H38" s="1" t="str">
        <f t="shared" si="3"/>
        <v>Jan</v>
      </c>
      <c r="I38" s="1" t="str">
        <f t="shared" si="0"/>
        <v>Mon</v>
      </c>
      <c r="J38" s="1" t="s">
        <v>11</v>
      </c>
      <c r="K38" s="1" t="s">
        <v>12</v>
      </c>
      <c r="L38" s="1" t="s">
        <v>59</v>
      </c>
      <c r="M38" s="1" t="s">
        <v>19</v>
      </c>
      <c r="N38" s="1" t="s">
        <v>14</v>
      </c>
      <c r="O38" t="s">
        <v>45</v>
      </c>
    </row>
    <row r="39" spans="1:15" x14ac:dyDescent="0.25">
      <c r="A39" s="1" t="s">
        <v>86</v>
      </c>
      <c r="B39" s="1" t="s">
        <v>85</v>
      </c>
      <c r="C39" s="3">
        <v>45310.592361111114</v>
      </c>
      <c r="D39" s="4">
        <f t="shared" si="1"/>
        <v>45310</v>
      </c>
      <c r="E39" s="6">
        <v>2.1611111111075498</v>
      </c>
      <c r="F39" s="6" t="str" cm="1">
        <f t="array" ref="F39">_xlfn.IFS(
     AND(HOUR(session_data[[#This Row],[Time]])&gt;5,HOUR(session_data[[#This Row],[Time]])&lt;12),"Morning",
     AND(HOUR(session_data[[#This Row],[Time]])&gt;=12,HOUR(session_data[[#This Row],[Time]])&lt;17),"Afternoon",
     AND(HOUR(session_data[[#This Row],[Time]])&gt;=17,HOUR(session_data[[#This Row],[Time]])&lt;21),"Evening",
     TRUE,"Night"
)</f>
        <v>Night</v>
      </c>
      <c r="G39" s="1">
        <f t="shared" si="2"/>
        <v>2024</v>
      </c>
      <c r="H39" s="1" t="str">
        <f t="shared" si="3"/>
        <v>Jan</v>
      </c>
      <c r="I39" s="1" t="str">
        <f t="shared" si="0"/>
        <v>Fri</v>
      </c>
      <c r="J39" s="1" t="s">
        <v>11</v>
      </c>
      <c r="K39" s="1" t="s">
        <v>12</v>
      </c>
      <c r="L39" s="1" t="s">
        <v>59</v>
      </c>
      <c r="M39" s="1" t="s">
        <v>19</v>
      </c>
      <c r="N39" s="1" t="s">
        <v>22</v>
      </c>
      <c r="O39" t="s">
        <v>45</v>
      </c>
    </row>
    <row r="40" spans="1:15" x14ac:dyDescent="0.25">
      <c r="A40" s="1" t="s">
        <v>87</v>
      </c>
      <c r="B40" s="1" t="s">
        <v>88</v>
      </c>
      <c r="C40" s="3">
        <v>45381.209027777775</v>
      </c>
      <c r="D40" s="4">
        <f t="shared" si="1"/>
        <v>45381</v>
      </c>
      <c r="E40" s="6">
        <v>2.2027777777742199</v>
      </c>
      <c r="F40" s="6" t="str" cm="1">
        <f t="array" ref="F40">_xlfn.IFS(
     AND(HOUR(session_data[[#This Row],[Time]])&gt;5,HOUR(session_data[[#This Row],[Time]])&lt;12),"Morning",
     AND(HOUR(session_data[[#This Row],[Time]])&gt;=12,HOUR(session_data[[#This Row],[Time]])&lt;17),"Afternoon",
     AND(HOUR(session_data[[#This Row],[Time]])&gt;=17,HOUR(session_data[[#This Row],[Time]])&lt;21),"Evening",
     TRUE,"Night"
)</f>
        <v>Night</v>
      </c>
      <c r="G40" s="1">
        <f t="shared" si="2"/>
        <v>2024</v>
      </c>
      <c r="H40" s="1" t="str">
        <f t="shared" si="3"/>
        <v>Mar</v>
      </c>
      <c r="I40" s="1" t="str">
        <f t="shared" si="0"/>
        <v>Sat</v>
      </c>
      <c r="J40" s="1" t="s">
        <v>18</v>
      </c>
      <c r="K40" s="1" t="s">
        <v>12</v>
      </c>
      <c r="L40" s="1" t="s">
        <v>13</v>
      </c>
      <c r="M40" s="1" t="s">
        <v>32</v>
      </c>
      <c r="N40" s="1" t="s">
        <v>14</v>
      </c>
      <c r="O40" t="s">
        <v>45</v>
      </c>
    </row>
    <row r="41" spans="1:15" x14ac:dyDescent="0.25">
      <c r="A41" s="1" t="s">
        <v>89</v>
      </c>
      <c r="B41" s="1" t="s">
        <v>88</v>
      </c>
      <c r="C41" s="3">
        <v>45402.459027777775</v>
      </c>
      <c r="D41" s="4">
        <f t="shared" si="1"/>
        <v>45402</v>
      </c>
      <c r="E41" s="6">
        <v>2.24444444444089</v>
      </c>
      <c r="F41" s="6" t="str" cm="1">
        <f t="array" ref="F41">_xlfn.IFS(
     AND(HOUR(session_data[[#This Row],[Time]])&gt;5,HOUR(session_data[[#This Row],[Time]])&lt;12),"Morning",
     AND(HOUR(session_data[[#This Row],[Time]])&gt;=12,HOUR(session_data[[#This Row],[Time]])&lt;17),"Afternoon",
     AND(HOUR(session_data[[#This Row],[Time]])&gt;=17,HOUR(session_data[[#This Row],[Time]])&lt;21),"Evening",
     TRUE,"Night"
)</f>
        <v>Night</v>
      </c>
      <c r="G41" s="1">
        <f t="shared" si="2"/>
        <v>2024</v>
      </c>
      <c r="H41" s="1" t="str">
        <f t="shared" si="3"/>
        <v>Apr</v>
      </c>
      <c r="I41" s="1" t="str">
        <f t="shared" si="0"/>
        <v>Sat</v>
      </c>
      <c r="J41" s="1" t="s">
        <v>18</v>
      </c>
      <c r="K41" s="1" t="s">
        <v>12</v>
      </c>
      <c r="L41" s="1" t="s">
        <v>13</v>
      </c>
      <c r="M41" s="1" t="s">
        <v>32</v>
      </c>
      <c r="N41" s="1" t="s">
        <v>22</v>
      </c>
      <c r="O41" t="s">
        <v>45</v>
      </c>
    </row>
    <row r="42" spans="1:15" x14ac:dyDescent="0.25">
      <c r="A42" s="1" t="s">
        <v>90</v>
      </c>
      <c r="B42" s="1" t="s">
        <v>91</v>
      </c>
      <c r="C42" s="3">
        <v>45343.22152777778</v>
      </c>
      <c r="D42" s="4">
        <f t="shared" si="1"/>
        <v>45343</v>
      </c>
      <c r="E42" s="6">
        <v>2.2861111111075498</v>
      </c>
      <c r="F42" s="6" t="str" cm="1">
        <f t="array" ref="F42">_xlfn.IFS(
     AND(HOUR(session_data[[#This Row],[Time]])&gt;5,HOUR(session_data[[#This Row],[Time]])&lt;12),"Morning",
     AND(HOUR(session_data[[#This Row],[Time]])&gt;=12,HOUR(session_data[[#This Row],[Time]])&lt;17),"Afternoon",
     AND(HOUR(session_data[[#This Row],[Time]])&gt;=17,HOUR(session_data[[#This Row],[Time]])&lt;21),"Evening",
     TRUE,"Night"
)</f>
        <v>Morning</v>
      </c>
      <c r="G42" s="1">
        <f t="shared" si="2"/>
        <v>2024</v>
      </c>
      <c r="H42" s="1" t="str">
        <f t="shared" si="3"/>
        <v>Feb</v>
      </c>
      <c r="I42" s="1" t="str">
        <f t="shared" si="0"/>
        <v>Wed</v>
      </c>
      <c r="J42" s="1" t="s">
        <v>18</v>
      </c>
      <c r="K42" s="1" t="s">
        <v>12</v>
      </c>
      <c r="L42" s="1" t="s">
        <v>79</v>
      </c>
      <c r="M42" s="1" t="s">
        <v>40</v>
      </c>
      <c r="N42" s="1" t="s">
        <v>14</v>
      </c>
      <c r="O42" t="s">
        <v>45</v>
      </c>
    </row>
    <row r="43" spans="1:15" x14ac:dyDescent="0.25">
      <c r="A43" s="1" t="s">
        <v>92</v>
      </c>
      <c r="B43" s="1" t="s">
        <v>93</v>
      </c>
      <c r="C43" s="2">
        <v>45537.802083333336</v>
      </c>
      <c r="D43" s="4">
        <f t="shared" si="1"/>
        <v>45537</v>
      </c>
      <c r="E43" s="6">
        <v>2.3277777777742199</v>
      </c>
      <c r="F43" s="6" t="str" cm="1">
        <f t="array" ref="F43">_xlfn.IFS(
     AND(HOUR(session_data[[#This Row],[Time]])&gt;5,HOUR(session_data[[#This Row],[Time]])&lt;12),"Morning",
     AND(HOUR(session_data[[#This Row],[Time]])&gt;=12,HOUR(session_data[[#This Row],[Time]])&lt;17),"Afternoon",
     AND(HOUR(session_data[[#This Row],[Time]])&gt;=17,HOUR(session_data[[#This Row],[Time]])&lt;21),"Evening",
     TRUE,"Night"
)</f>
        <v>Morning</v>
      </c>
      <c r="G43" s="1">
        <f t="shared" si="2"/>
        <v>2024</v>
      </c>
      <c r="H43" s="1" t="str">
        <f t="shared" si="3"/>
        <v>Sep</v>
      </c>
      <c r="I43" s="1" t="str">
        <f t="shared" si="0"/>
        <v>Mon</v>
      </c>
      <c r="J43" s="1" t="s">
        <v>11</v>
      </c>
      <c r="K43" s="1" t="s">
        <v>29</v>
      </c>
      <c r="L43" s="1" t="s">
        <v>94</v>
      </c>
      <c r="M43" s="1" t="s">
        <v>32</v>
      </c>
      <c r="N43" s="1" t="s">
        <v>14</v>
      </c>
      <c r="O43" t="s">
        <v>45</v>
      </c>
    </row>
    <row r="44" spans="1:15" x14ac:dyDescent="0.25">
      <c r="A44" s="1" t="s">
        <v>95</v>
      </c>
      <c r="B44" s="1" t="s">
        <v>93</v>
      </c>
      <c r="C44" s="3">
        <v>45349.177083333336</v>
      </c>
      <c r="D44" s="4">
        <f t="shared" si="1"/>
        <v>45349</v>
      </c>
      <c r="E44" s="6">
        <v>2.36944444444089</v>
      </c>
      <c r="F44" s="6" t="str" cm="1">
        <f t="array" ref="F44">_xlfn.IFS(
     AND(HOUR(session_data[[#This Row],[Time]])&gt;5,HOUR(session_data[[#This Row],[Time]])&lt;12),"Morning",
     AND(HOUR(session_data[[#This Row],[Time]])&gt;=12,HOUR(session_data[[#This Row],[Time]])&lt;17),"Afternoon",
     AND(HOUR(session_data[[#This Row],[Time]])&gt;=17,HOUR(session_data[[#This Row],[Time]])&lt;21),"Evening",
     TRUE,"Night"
)</f>
        <v>Morning</v>
      </c>
      <c r="G44" s="1">
        <f t="shared" si="2"/>
        <v>2024</v>
      </c>
      <c r="H44" s="1" t="str">
        <f t="shared" si="3"/>
        <v>Feb</v>
      </c>
      <c r="I44" s="1" t="str">
        <f t="shared" si="0"/>
        <v>Tue</v>
      </c>
      <c r="J44" s="1" t="s">
        <v>11</v>
      </c>
      <c r="K44" s="1" t="s">
        <v>29</v>
      </c>
      <c r="L44" s="1" t="s">
        <v>94</v>
      </c>
      <c r="M44" s="1" t="s">
        <v>32</v>
      </c>
      <c r="N44" s="1" t="s">
        <v>22</v>
      </c>
      <c r="O44" t="s">
        <v>45</v>
      </c>
    </row>
    <row r="45" spans="1:15" x14ac:dyDescent="0.25">
      <c r="A45" s="1" t="s">
        <v>96</v>
      </c>
      <c r="B45" s="1" t="s">
        <v>97</v>
      </c>
      <c r="C45" s="3">
        <v>45322.1875</v>
      </c>
      <c r="D45" s="4">
        <f t="shared" si="1"/>
        <v>45322</v>
      </c>
      <c r="E45" s="6">
        <v>2.4111111111075498</v>
      </c>
      <c r="F45" s="6" t="str" cm="1">
        <f t="array" ref="F45">_xlfn.IFS(
     AND(HOUR(session_data[[#This Row],[Time]])&gt;5,HOUR(session_data[[#This Row],[Time]])&lt;12),"Morning",
     AND(HOUR(session_data[[#This Row],[Time]])&gt;=12,HOUR(session_data[[#This Row],[Time]])&lt;17),"Afternoon",
     AND(HOUR(session_data[[#This Row],[Time]])&gt;=17,HOUR(session_data[[#This Row],[Time]])&lt;21),"Evening",
     TRUE,"Night"
)</f>
        <v>Morning</v>
      </c>
      <c r="G45" s="1">
        <f t="shared" si="2"/>
        <v>2024</v>
      </c>
      <c r="H45" s="1" t="str">
        <f t="shared" si="3"/>
        <v>Jan</v>
      </c>
      <c r="I45" s="1" t="str">
        <f t="shared" si="0"/>
        <v>Wed</v>
      </c>
      <c r="J45" s="1" t="s">
        <v>18</v>
      </c>
      <c r="K45" s="1" t="s">
        <v>36</v>
      </c>
      <c r="L45" s="1" t="s">
        <v>30</v>
      </c>
      <c r="M45" s="1" t="s">
        <v>32</v>
      </c>
      <c r="N45" s="1" t="s">
        <v>14</v>
      </c>
      <c r="O45" t="s">
        <v>45</v>
      </c>
    </row>
    <row r="46" spans="1:15" x14ac:dyDescent="0.25">
      <c r="A46" s="1" t="s">
        <v>98</v>
      </c>
      <c r="B46" s="1" t="s">
        <v>99</v>
      </c>
      <c r="C46" s="3">
        <v>44985.456250000003</v>
      </c>
      <c r="D46" s="4">
        <f t="shared" si="1"/>
        <v>44985</v>
      </c>
      <c r="E46" s="6">
        <v>2.4527777777742199</v>
      </c>
      <c r="F46" s="6" t="str" cm="1">
        <f t="array" ref="F46">_xlfn.IFS(
     AND(HOUR(session_data[[#This Row],[Time]])&gt;5,HOUR(session_data[[#This Row],[Time]])&lt;12),"Morning",
     AND(HOUR(session_data[[#This Row],[Time]])&gt;=12,HOUR(session_data[[#This Row],[Time]])&lt;17),"Afternoon",
     AND(HOUR(session_data[[#This Row],[Time]])&gt;=17,HOUR(session_data[[#This Row],[Time]])&lt;21),"Evening",
     TRUE,"Night"
)</f>
        <v>Morning</v>
      </c>
      <c r="G46" s="1">
        <f t="shared" si="2"/>
        <v>2023</v>
      </c>
      <c r="H46" s="1" t="str">
        <f t="shared" si="3"/>
        <v>Feb</v>
      </c>
      <c r="I46" s="1" t="str">
        <f t="shared" si="0"/>
        <v>Tue</v>
      </c>
      <c r="J46" s="1" t="s">
        <v>44</v>
      </c>
      <c r="K46" s="1" t="s">
        <v>36</v>
      </c>
      <c r="L46" s="1" t="s">
        <v>13</v>
      </c>
      <c r="M46" s="1" t="s">
        <v>32</v>
      </c>
      <c r="N46" s="1" t="s">
        <v>14</v>
      </c>
      <c r="O46" t="s">
        <v>45</v>
      </c>
    </row>
    <row r="47" spans="1:15" x14ac:dyDescent="0.25">
      <c r="A47" s="1" t="s">
        <v>100</v>
      </c>
      <c r="B47" s="1" t="s">
        <v>101</v>
      </c>
      <c r="C47" s="3">
        <v>45472.088888888888</v>
      </c>
      <c r="D47" s="4">
        <f t="shared" si="1"/>
        <v>45472</v>
      </c>
      <c r="E47" s="6">
        <v>2.49444444444089</v>
      </c>
      <c r="F47" s="6" t="str" cm="1">
        <f t="array" ref="F47">_xlfn.IFS(
     AND(HOUR(session_data[[#This Row],[Time]])&gt;5,HOUR(session_data[[#This Row],[Time]])&lt;12),"Morning",
     AND(HOUR(session_data[[#This Row],[Time]])&gt;=12,HOUR(session_data[[#This Row],[Time]])&lt;17),"Afternoon",
     AND(HOUR(session_data[[#This Row],[Time]])&gt;=17,HOUR(session_data[[#This Row],[Time]])&lt;21),"Evening",
     TRUE,"Night"
)</f>
        <v>Morning</v>
      </c>
      <c r="G47" s="1">
        <f t="shared" si="2"/>
        <v>2024</v>
      </c>
      <c r="H47" s="1" t="str">
        <f t="shared" si="3"/>
        <v>Jun</v>
      </c>
      <c r="I47" s="1" t="str">
        <f t="shared" si="0"/>
        <v>Sat</v>
      </c>
      <c r="J47" s="1" t="s">
        <v>11</v>
      </c>
      <c r="K47" s="1" t="s">
        <v>12</v>
      </c>
      <c r="L47" s="1" t="s">
        <v>94</v>
      </c>
      <c r="M47" s="1" t="s">
        <v>32</v>
      </c>
      <c r="N47" s="1" t="s">
        <v>14</v>
      </c>
      <c r="O47" t="s">
        <v>15</v>
      </c>
    </row>
    <row r="48" spans="1:15" x14ac:dyDescent="0.25">
      <c r="A48" s="1" t="s">
        <v>102</v>
      </c>
      <c r="B48" s="1" t="s">
        <v>103</v>
      </c>
      <c r="C48" s="2">
        <v>44991.119444444441</v>
      </c>
      <c r="D48" s="4">
        <f t="shared" si="1"/>
        <v>44991</v>
      </c>
      <c r="E48" s="6">
        <v>2.5361111111075498</v>
      </c>
      <c r="F48" s="6" t="str" cm="1">
        <f t="array" ref="F48">_xlfn.IFS(
     AND(HOUR(session_data[[#This Row],[Time]])&gt;5,HOUR(session_data[[#This Row],[Time]])&lt;12),"Morning",
     AND(HOUR(session_data[[#This Row],[Time]])&gt;=12,HOUR(session_data[[#This Row],[Time]])&lt;17),"Afternoon",
     AND(HOUR(session_data[[#This Row],[Time]])&gt;=17,HOUR(session_data[[#This Row],[Time]])&lt;21),"Evening",
     TRUE,"Night"
)</f>
        <v>Afternoon</v>
      </c>
      <c r="G48" s="1">
        <f t="shared" si="2"/>
        <v>2023</v>
      </c>
      <c r="H48" s="1" t="str">
        <f t="shared" si="3"/>
        <v>Mar</v>
      </c>
      <c r="I48" s="1" t="str">
        <f t="shared" si="0"/>
        <v>Mon</v>
      </c>
      <c r="J48" s="1" t="s">
        <v>11</v>
      </c>
      <c r="K48" s="1" t="s">
        <v>12</v>
      </c>
      <c r="L48" s="1" t="s">
        <v>13</v>
      </c>
      <c r="M48" s="1" t="s">
        <v>32</v>
      </c>
      <c r="N48" s="1" t="s">
        <v>14</v>
      </c>
      <c r="O48" t="s">
        <v>45</v>
      </c>
    </row>
    <row r="49" spans="1:15" x14ac:dyDescent="0.25">
      <c r="A49" s="1" t="s">
        <v>104</v>
      </c>
      <c r="B49" s="1" t="s">
        <v>103</v>
      </c>
      <c r="C49" s="2">
        <v>45206.786111111112</v>
      </c>
      <c r="D49" s="4">
        <f t="shared" si="1"/>
        <v>45206</v>
      </c>
      <c r="E49" s="6">
        <v>2.5777777777742199</v>
      </c>
      <c r="F49" s="6" t="str" cm="1">
        <f t="array" ref="F49">_xlfn.IFS(
     AND(HOUR(session_data[[#This Row],[Time]])&gt;5,HOUR(session_data[[#This Row],[Time]])&lt;12),"Morning",
     AND(HOUR(session_data[[#This Row],[Time]])&gt;=12,HOUR(session_data[[#This Row],[Time]])&lt;17),"Afternoon",
     AND(HOUR(session_data[[#This Row],[Time]])&gt;=17,HOUR(session_data[[#This Row],[Time]])&lt;21),"Evening",
     TRUE,"Night"
)</f>
        <v>Afternoon</v>
      </c>
      <c r="G49" s="1">
        <f t="shared" si="2"/>
        <v>2023</v>
      </c>
      <c r="H49" s="1" t="str">
        <f t="shared" si="3"/>
        <v>Oct</v>
      </c>
      <c r="I49" s="1" t="str">
        <f t="shared" si="0"/>
        <v>Sat</v>
      </c>
      <c r="J49" s="1" t="s">
        <v>11</v>
      </c>
      <c r="K49" s="1" t="s">
        <v>12</v>
      </c>
      <c r="L49" s="1" t="s">
        <v>13</v>
      </c>
      <c r="M49" s="1" t="s">
        <v>32</v>
      </c>
      <c r="N49" s="1" t="s">
        <v>22</v>
      </c>
      <c r="O49" t="s">
        <v>45</v>
      </c>
    </row>
    <row r="50" spans="1:15" x14ac:dyDescent="0.25">
      <c r="A50" s="1" t="s">
        <v>105</v>
      </c>
      <c r="B50" s="1" t="s">
        <v>106</v>
      </c>
      <c r="C50" s="3">
        <v>45610.180555555555</v>
      </c>
      <c r="D50" s="4">
        <f t="shared" si="1"/>
        <v>45610</v>
      </c>
      <c r="E50" s="6">
        <v>2.61944444444089</v>
      </c>
      <c r="F50" s="6" t="str" cm="1">
        <f t="array" ref="F50">_xlfn.IFS(
     AND(HOUR(session_data[[#This Row],[Time]])&gt;5,HOUR(session_data[[#This Row],[Time]])&lt;12),"Morning",
     AND(HOUR(session_data[[#This Row],[Time]])&gt;=12,HOUR(session_data[[#This Row],[Time]])&lt;17),"Afternoon",
     AND(HOUR(session_data[[#This Row],[Time]])&gt;=17,HOUR(session_data[[#This Row],[Time]])&lt;21),"Evening",
     TRUE,"Night"
)</f>
        <v>Afternoon</v>
      </c>
      <c r="G50" s="1">
        <f t="shared" si="2"/>
        <v>2024</v>
      </c>
      <c r="H50" s="1" t="str">
        <f t="shared" si="3"/>
        <v>Nov</v>
      </c>
      <c r="I50" s="1" t="str">
        <f t="shared" si="0"/>
        <v>Thu</v>
      </c>
      <c r="J50" s="1" t="s">
        <v>11</v>
      </c>
      <c r="K50" s="1" t="s">
        <v>29</v>
      </c>
      <c r="L50" s="1" t="s">
        <v>30</v>
      </c>
      <c r="M50" s="1" t="s">
        <v>32</v>
      </c>
      <c r="N50" s="1" t="s">
        <v>14</v>
      </c>
      <c r="O50" t="s">
        <v>15</v>
      </c>
    </row>
    <row r="51" spans="1:15" x14ac:dyDescent="0.25">
      <c r="A51" s="1" t="s">
        <v>107</v>
      </c>
      <c r="B51" s="1" t="s">
        <v>106</v>
      </c>
      <c r="C51" s="3">
        <v>45619.097222222219</v>
      </c>
      <c r="D51" s="4">
        <f t="shared" si="1"/>
        <v>45619</v>
      </c>
      <c r="E51" s="6">
        <v>2.6611111111075498</v>
      </c>
      <c r="F51" s="6" t="str" cm="1">
        <f t="array" ref="F51">_xlfn.IFS(
     AND(HOUR(session_data[[#This Row],[Time]])&gt;5,HOUR(session_data[[#This Row],[Time]])&lt;12),"Morning",
     AND(HOUR(session_data[[#This Row],[Time]])&gt;=12,HOUR(session_data[[#This Row],[Time]])&lt;17),"Afternoon",
     AND(HOUR(session_data[[#This Row],[Time]])&gt;=17,HOUR(session_data[[#This Row],[Time]])&lt;21),"Evening",
     TRUE,"Night"
)</f>
        <v>Afternoon</v>
      </c>
      <c r="G51" s="1">
        <f t="shared" si="2"/>
        <v>2024</v>
      </c>
      <c r="H51" s="1" t="str">
        <f t="shared" si="3"/>
        <v>Nov</v>
      </c>
      <c r="I51" s="1" t="str">
        <f t="shared" si="0"/>
        <v>Sat</v>
      </c>
      <c r="J51" s="1" t="s">
        <v>11</v>
      </c>
      <c r="K51" s="1" t="s">
        <v>29</v>
      </c>
      <c r="L51" s="1" t="s">
        <v>30</v>
      </c>
      <c r="M51" s="1" t="s">
        <v>32</v>
      </c>
      <c r="N51" s="1" t="s">
        <v>22</v>
      </c>
      <c r="O51" t="s">
        <v>15</v>
      </c>
    </row>
    <row r="52" spans="1:15" x14ac:dyDescent="0.25">
      <c r="A52" s="1" t="s">
        <v>108</v>
      </c>
      <c r="B52" s="1" t="s">
        <v>106</v>
      </c>
      <c r="C52" s="3">
        <v>45643.638888888891</v>
      </c>
      <c r="D52" s="4">
        <f t="shared" si="1"/>
        <v>45643</v>
      </c>
      <c r="E52" s="6">
        <v>2.7027777777742199</v>
      </c>
      <c r="F52" s="6" t="str" cm="1">
        <f t="array" ref="F52">_xlfn.IFS(
     AND(HOUR(session_data[[#This Row],[Time]])&gt;5,HOUR(session_data[[#This Row],[Time]])&lt;12),"Morning",
     AND(HOUR(session_data[[#This Row],[Time]])&gt;=12,HOUR(session_data[[#This Row],[Time]])&lt;17),"Afternoon",
     AND(HOUR(session_data[[#This Row],[Time]])&gt;=17,HOUR(session_data[[#This Row],[Time]])&lt;21),"Evening",
     TRUE,"Night"
)</f>
        <v>Afternoon</v>
      </c>
      <c r="G52" s="1">
        <f t="shared" si="2"/>
        <v>2024</v>
      </c>
      <c r="H52" s="1" t="str">
        <f t="shared" si="3"/>
        <v>Dec</v>
      </c>
      <c r="I52" s="1" t="str">
        <f t="shared" si="0"/>
        <v>Tue</v>
      </c>
      <c r="J52" s="1" t="s">
        <v>11</v>
      </c>
      <c r="K52" s="1" t="s">
        <v>29</v>
      </c>
      <c r="L52" s="1" t="s">
        <v>30</v>
      </c>
      <c r="M52" s="1" t="s">
        <v>32</v>
      </c>
      <c r="N52" s="1" t="s">
        <v>22</v>
      </c>
      <c r="O52" t="s">
        <v>15</v>
      </c>
    </row>
    <row r="53" spans="1:15" x14ac:dyDescent="0.25">
      <c r="A53" s="1" t="s">
        <v>109</v>
      </c>
      <c r="B53" s="1" t="s">
        <v>110</v>
      </c>
      <c r="C53" s="2">
        <v>45631.005555555559</v>
      </c>
      <c r="D53" s="4">
        <f t="shared" si="1"/>
        <v>45631</v>
      </c>
      <c r="E53" s="6">
        <v>2.74444444444089</v>
      </c>
      <c r="F53" s="6" t="str" cm="1">
        <f t="array" ref="F53">_xlfn.IFS(
     AND(HOUR(session_data[[#This Row],[Time]])&gt;5,HOUR(session_data[[#This Row],[Time]])&lt;12),"Morning",
     AND(HOUR(session_data[[#This Row],[Time]])&gt;=12,HOUR(session_data[[#This Row],[Time]])&lt;17),"Afternoon",
     AND(HOUR(session_data[[#This Row],[Time]])&gt;=17,HOUR(session_data[[#This Row],[Time]])&lt;21),"Evening",
     TRUE,"Night"
)</f>
        <v>Evening</v>
      </c>
      <c r="G53" s="1">
        <f t="shared" si="2"/>
        <v>2024</v>
      </c>
      <c r="H53" s="1" t="str">
        <f t="shared" si="3"/>
        <v>Dec</v>
      </c>
      <c r="I53" s="1" t="str">
        <f t="shared" si="0"/>
        <v>Thu</v>
      </c>
      <c r="J53" s="1" t="s">
        <v>66</v>
      </c>
      <c r="K53" s="1" t="s">
        <v>12</v>
      </c>
      <c r="L53" s="1" t="s">
        <v>20</v>
      </c>
      <c r="M53" s="1" t="s">
        <v>19</v>
      </c>
      <c r="N53" s="1" t="s">
        <v>14</v>
      </c>
      <c r="O53" t="s">
        <v>15</v>
      </c>
    </row>
    <row r="54" spans="1:15" x14ac:dyDescent="0.25">
      <c r="A54" s="1" t="s">
        <v>111</v>
      </c>
      <c r="B54" s="1" t="s">
        <v>112</v>
      </c>
      <c r="C54" s="2">
        <v>45332.573611111111</v>
      </c>
      <c r="D54" s="4">
        <f t="shared" si="1"/>
        <v>45332</v>
      </c>
      <c r="E54" s="6">
        <v>2.7861111111075498</v>
      </c>
      <c r="F54" s="6" t="str" cm="1">
        <f t="array" ref="F54">_xlfn.IFS(
     AND(HOUR(session_data[[#This Row],[Time]])&gt;5,HOUR(session_data[[#This Row],[Time]])&lt;12),"Morning",
     AND(HOUR(session_data[[#This Row],[Time]])&gt;=12,HOUR(session_data[[#This Row],[Time]])&lt;17),"Afternoon",
     AND(HOUR(session_data[[#This Row],[Time]])&gt;=17,HOUR(session_data[[#This Row],[Time]])&lt;21),"Evening",
     TRUE,"Night"
)</f>
        <v>Evening</v>
      </c>
      <c r="G54" s="1">
        <f t="shared" si="2"/>
        <v>2024</v>
      </c>
      <c r="H54" s="1" t="str">
        <f t="shared" si="3"/>
        <v>Feb</v>
      </c>
      <c r="I54" s="1" t="str">
        <f t="shared" si="0"/>
        <v>Sat</v>
      </c>
      <c r="J54" s="1" t="s">
        <v>44</v>
      </c>
      <c r="K54" s="1" t="s">
        <v>12</v>
      </c>
      <c r="L54" s="1" t="s">
        <v>41</v>
      </c>
      <c r="M54" s="1" t="s">
        <v>40</v>
      </c>
      <c r="N54" s="1" t="s">
        <v>14</v>
      </c>
      <c r="O54" t="s">
        <v>45</v>
      </c>
    </row>
    <row r="55" spans="1:15" x14ac:dyDescent="0.25">
      <c r="A55" s="1" t="s">
        <v>113</v>
      </c>
      <c r="B55" s="1" t="s">
        <v>112</v>
      </c>
      <c r="C55" s="3">
        <v>45588.948611111111</v>
      </c>
      <c r="D55" s="4">
        <f t="shared" si="1"/>
        <v>45588</v>
      </c>
      <c r="E55" s="6">
        <v>2.8277777777742199</v>
      </c>
      <c r="F55" s="6" t="str" cm="1">
        <f t="array" ref="F55">_xlfn.IFS(
     AND(HOUR(session_data[[#This Row],[Time]])&gt;5,HOUR(session_data[[#This Row],[Time]])&lt;12),"Morning",
     AND(HOUR(session_data[[#This Row],[Time]])&gt;=12,HOUR(session_data[[#This Row],[Time]])&lt;17),"Afternoon",
     AND(HOUR(session_data[[#This Row],[Time]])&gt;=17,HOUR(session_data[[#This Row],[Time]])&lt;21),"Evening",
     TRUE,"Night"
)</f>
        <v>Evening</v>
      </c>
      <c r="G55" s="1">
        <f t="shared" si="2"/>
        <v>2024</v>
      </c>
      <c r="H55" s="1" t="str">
        <f t="shared" si="3"/>
        <v>Oct</v>
      </c>
      <c r="I55" s="1" t="str">
        <f t="shared" si="0"/>
        <v>Wed</v>
      </c>
      <c r="J55" s="1" t="s">
        <v>44</v>
      </c>
      <c r="K55" s="1" t="s">
        <v>12</v>
      </c>
      <c r="L55" s="1" t="s">
        <v>41</v>
      </c>
      <c r="M55" s="1" t="s">
        <v>40</v>
      </c>
      <c r="N55" s="1" t="s">
        <v>22</v>
      </c>
      <c r="O55" t="s">
        <v>45</v>
      </c>
    </row>
    <row r="56" spans="1:15" x14ac:dyDescent="0.25">
      <c r="A56" s="1" t="s">
        <v>114</v>
      </c>
      <c r="B56" s="1" t="s">
        <v>115</v>
      </c>
      <c r="C56" s="2">
        <v>45474.688194444447</v>
      </c>
      <c r="D56" s="4">
        <f t="shared" si="1"/>
        <v>45474</v>
      </c>
      <c r="E56" s="6">
        <v>2.86944444444089</v>
      </c>
      <c r="F56" s="6" t="str" cm="1">
        <f t="array" ref="F56">_xlfn.IFS(
     AND(HOUR(session_data[[#This Row],[Time]])&gt;5,HOUR(session_data[[#This Row],[Time]])&lt;12),"Morning",
     AND(HOUR(session_data[[#This Row],[Time]])&gt;=12,HOUR(session_data[[#This Row],[Time]])&lt;17),"Afternoon",
     AND(HOUR(session_data[[#This Row],[Time]])&gt;=17,HOUR(session_data[[#This Row],[Time]])&lt;21),"Evening",
     TRUE,"Night"
)</f>
        <v>Evening</v>
      </c>
      <c r="G56" s="1">
        <f t="shared" si="2"/>
        <v>2024</v>
      </c>
      <c r="H56" s="1" t="str">
        <f t="shared" si="3"/>
        <v>Jul</v>
      </c>
      <c r="I56" s="1" t="str">
        <f t="shared" si="0"/>
        <v>Mon</v>
      </c>
      <c r="J56" s="1" t="s">
        <v>28</v>
      </c>
      <c r="K56" s="1" t="s">
        <v>29</v>
      </c>
      <c r="L56" s="1" t="s">
        <v>94</v>
      </c>
      <c r="M56" s="1" t="s">
        <v>32</v>
      </c>
      <c r="N56" s="1" t="s">
        <v>14</v>
      </c>
      <c r="O56" t="s">
        <v>45</v>
      </c>
    </row>
    <row r="57" spans="1:15" x14ac:dyDescent="0.25">
      <c r="A57" s="1" t="s">
        <v>116</v>
      </c>
      <c r="B57" s="1" t="s">
        <v>115</v>
      </c>
      <c r="C57" s="3">
        <v>45316.521527777775</v>
      </c>
      <c r="D57" s="4">
        <f t="shared" si="1"/>
        <v>45316</v>
      </c>
      <c r="E57" s="6">
        <v>2.9111111111075498</v>
      </c>
      <c r="F57" s="6" t="str" cm="1">
        <f t="array" ref="F57">_xlfn.IFS(
     AND(HOUR(session_data[[#This Row],[Time]])&gt;5,HOUR(session_data[[#This Row],[Time]])&lt;12),"Morning",
     AND(HOUR(session_data[[#This Row],[Time]])&gt;=12,HOUR(session_data[[#This Row],[Time]])&lt;17),"Afternoon",
     AND(HOUR(session_data[[#This Row],[Time]])&gt;=17,HOUR(session_data[[#This Row],[Time]])&lt;21),"Evening",
     TRUE,"Night"
)</f>
        <v>Night</v>
      </c>
      <c r="G57" s="1">
        <f t="shared" si="2"/>
        <v>2024</v>
      </c>
      <c r="H57" s="1" t="str">
        <f t="shared" si="3"/>
        <v>Jan</v>
      </c>
      <c r="I57" s="1" t="str">
        <f t="shared" si="0"/>
        <v>Thu</v>
      </c>
      <c r="J57" s="1" t="s">
        <v>28</v>
      </c>
      <c r="K57" s="1" t="s">
        <v>29</v>
      </c>
      <c r="L57" s="1" t="s">
        <v>94</v>
      </c>
      <c r="M57" s="1" t="s">
        <v>32</v>
      </c>
      <c r="N57" s="1" t="s">
        <v>22</v>
      </c>
      <c r="O57" t="s">
        <v>45</v>
      </c>
    </row>
    <row r="58" spans="1:15" x14ac:dyDescent="0.25">
      <c r="A58" s="1" t="s">
        <v>117</v>
      </c>
      <c r="B58" s="1" t="s">
        <v>118</v>
      </c>
      <c r="C58" s="3">
        <v>45408.273611111108</v>
      </c>
      <c r="D58" s="4">
        <f t="shared" si="1"/>
        <v>45408</v>
      </c>
      <c r="E58" s="6">
        <v>2.9527777777742199</v>
      </c>
      <c r="F58" s="6" t="str" cm="1">
        <f t="array" ref="F58">_xlfn.IFS(
     AND(HOUR(session_data[[#This Row],[Time]])&gt;5,HOUR(session_data[[#This Row],[Time]])&lt;12),"Morning",
     AND(HOUR(session_data[[#This Row],[Time]])&gt;=12,HOUR(session_data[[#This Row],[Time]])&lt;17),"Afternoon",
     AND(HOUR(session_data[[#This Row],[Time]])&gt;=17,HOUR(session_data[[#This Row],[Time]])&lt;21),"Evening",
     TRUE,"Night"
)</f>
        <v>Night</v>
      </c>
      <c r="G58" s="1">
        <f t="shared" si="2"/>
        <v>2024</v>
      </c>
      <c r="H58" s="1" t="str">
        <f t="shared" si="3"/>
        <v>Apr</v>
      </c>
      <c r="I58" s="1" t="str">
        <f t="shared" si="0"/>
        <v>Fri</v>
      </c>
      <c r="J58" s="1" t="s">
        <v>11</v>
      </c>
      <c r="K58" s="1" t="s">
        <v>29</v>
      </c>
      <c r="L58" s="1" t="s">
        <v>119</v>
      </c>
      <c r="M58" s="1" t="s">
        <v>40</v>
      </c>
      <c r="N58" s="1" t="s">
        <v>14</v>
      </c>
      <c r="O58" t="s">
        <v>45</v>
      </c>
    </row>
    <row r="59" spans="1:15" x14ac:dyDescent="0.25">
      <c r="A59" s="1" t="s">
        <v>120</v>
      </c>
      <c r="B59" s="1" t="s">
        <v>121</v>
      </c>
      <c r="C59" s="3">
        <v>45369.47152777778</v>
      </c>
      <c r="D59" s="4">
        <f t="shared" si="1"/>
        <v>45369</v>
      </c>
      <c r="E59" s="6">
        <v>2.99444444444089</v>
      </c>
      <c r="F59" s="6" t="str" cm="1">
        <f t="array" ref="F59">_xlfn.IFS(
     AND(HOUR(session_data[[#This Row],[Time]])&gt;5,HOUR(session_data[[#This Row],[Time]])&lt;12),"Morning",
     AND(HOUR(session_data[[#This Row],[Time]])&gt;=12,HOUR(session_data[[#This Row],[Time]])&lt;17),"Afternoon",
     AND(HOUR(session_data[[#This Row],[Time]])&gt;=17,HOUR(session_data[[#This Row],[Time]])&lt;21),"Evening",
     TRUE,"Night"
)</f>
        <v>Night</v>
      </c>
      <c r="G59" s="1">
        <f t="shared" si="2"/>
        <v>2024</v>
      </c>
      <c r="H59" s="1" t="str">
        <f t="shared" si="3"/>
        <v>Mar</v>
      </c>
      <c r="I59" s="1" t="str">
        <f t="shared" si="0"/>
        <v>Mon</v>
      </c>
      <c r="J59" s="1" t="s">
        <v>11</v>
      </c>
      <c r="K59" s="1" t="s">
        <v>29</v>
      </c>
      <c r="L59" s="1" t="s">
        <v>79</v>
      </c>
      <c r="M59" s="1" t="s">
        <v>40</v>
      </c>
      <c r="N59" s="1" t="s">
        <v>14</v>
      </c>
      <c r="O59" t="s">
        <v>15</v>
      </c>
    </row>
    <row r="60" spans="1:15" x14ac:dyDescent="0.25">
      <c r="A60" s="1" t="s">
        <v>122</v>
      </c>
      <c r="B60" s="1" t="s">
        <v>121</v>
      </c>
      <c r="C60" s="3">
        <v>45378.638194444444</v>
      </c>
      <c r="D60" s="4">
        <f t="shared" si="1"/>
        <v>45378</v>
      </c>
      <c r="E60" s="6">
        <v>3.0361111111075498</v>
      </c>
      <c r="F60" s="6" t="str" cm="1">
        <f t="array" ref="F60">_xlfn.IFS(
     AND(HOUR(session_data[[#This Row],[Time]])&gt;5,HOUR(session_data[[#This Row],[Time]])&lt;12),"Morning",
     AND(HOUR(session_data[[#This Row],[Time]])&gt;=12,HOUR(session_data[[#This Row],[Time]])&lt;17),"Afternoon",
     AND(HOUR(session_data[[#This Row],[Time]])&gt;=17,HOUR(session_data[[#This Row],[Time]])&lt;21),"Evening",
     TRUE,"Night"
)</f>
        <v>Night</v>
      </c>
      <c r="G60" s="1">
        <f t="shared" si="2"/>
        <v>2024</v>
      </c>
      <c r="H60" s="1" t="str">
        <f t="shared" si="3"/>
        <v>Mar</v>
      </c>
      <c r="I60" s="1" t="str">
        <f t="shared" si="0"/>
        <v>Wed</v>
      </c>
      <c r="J60" s="1" t="s">
        <v>11</v>
      </c>
      <c r="K60" s="1" t="s">
        <v>29</v>
      </c>
      <c r="L60" s="1" t="s">
        <v>79</v>
      </c>
      <c r="M60" s="1" t="s">
        <v>40</v>
      </c>
      <c r="N60" s="1" t="s">
        <v>22</v>
      </c>
      <c r="O60" t="s">
        <v>15</v>
      </c>
    </row>
    <row r="61" spans="1:15" x14ac:dyDescent="0.25">
      <c r="A61" s="1" t="s">
        <v>123</v>
      </c>
      <c r="B61" s="1" t="s">
        <v>124</v>
      </c>
      <c r="C61" s="3">
        <v>45497.160416666666</v>
      </c>
      <c r="D61" s="4">
        <f t="shared" si="1"/>
        <v>45497</v>
      </c>
      <c r="E61" s="6">
        <v>3.0777777777742199</v>
      </c>
      <c r="F61" s="6" t="str" cm="1">
        <f t="array" ref="F61">_xlfn.IFS(
     AND(HOUR(session_data[[#This Row],[Time]])&gt;5,HOUR(session_data[[#This Row],[Time]])&lt;12),"Morning",
     AND(HOUR(session_data[[#This Row],[Time]])&gt;=12,HOUR(session_data[[#This Row],[Time]])&lt;17),"Afternoon",
     AND(HOUR(session_data[[#This Row],[Time]])&gt;=17,HOUR(session_data[[#This Row],[Time]])&lt;21),"Evening",
     TRUE,"Night"
)</f>
        <v>Night</v>
      </c>
      <c r="G61" s="1">
        <f t="shared" si="2"/>
        <v>2024</v>
      </c>
      <c r="H61" s="1" t="str">
        <f t="shared" si="3"/>
        <v>Jul</v>
      </c>
      <c r="I61" s="1" t="str">
        <f t="shared" si="0"/>
        <v>Wed</v>
      </c>
      <c r="J61" s="1" t="s">
        <v>66</v>
      </c>
      <c r="K61" s="1" t="s">
        <v>29</v>
      </c>
      <c r="L61" s="1" t="s">
        <v>13</v>
      </c>
      <c r="M61" s="1" t="s">
        <v>32</v>
      </c>
      <c r="N61" s="1" t="s">
        <v>14</v>
      </c>
      <c r="O61" t="s">
        <v>15</v>
      </c>
    </row>
    <row r="62" spans="1:15" x14ac:dyDescent="0.25">
      <c r="A62" s="1" t="s">
        <v>125</v>
      </c>
      <c r="B62" s="1" t="s">
        <v>126</v>
      </c>
      <c r="C62" s="2">
        <v>45513.524305555555</v>
      </c>
      <c r="D62" s="4">
        <f t="shared" si="1"/>
        <v>45513</v>
      </c>
      <c r="E62" s="6">
        <v>3.11944444444089</v>
      </c>
      <c r="F62" s="6" t="str" cm="1">
        <f t="array" ref="F62">_xlfn.IFS(
     AND(HOUR(session_data[[#This Row],[Time]])&gt;5,HOUR(session_data[[#This Row],[Time]])&lt;12),"Morning",
     AND(HOUR(session_data[[#This Row],[Time]])&gt;=12,HOUR(session_data[[#This Row],[Time]])&lt;17),"Afternoon",
     AND(HOUR(session_data[[#This Row],[Time]])&gt;=17,HOUR(session_data[[#This Row],[Time]])&lt;21),"Evening",
     TRUE,"Night"
)</f>
        <v>Night</v>
      </c>
      <c r="G62" s="1">
        <f t="shared" si="2"/>
        <v>2024</v>
      </c>
      <c r="H62" s="1" t="str">
        <f t="shared" si="3"/>
        <v>Aug</v>
      </c>
      <c r="I62" s="1" t="str">
        <f t="shared" si="0"/>
        <v>Fri</v>
      </c>
      <c r="J62" s="1" t="s">
        <v>44</v>
      </c>
      <c r="K62" s="1" t="s">
        <v>12</v>
      </c>
      <c r="L62" s="1" t="s">
        <v>30</v>
      </c>
      <c r="M62" s="1" t="s">
        <v>32</v>
      </c>
      <c r="N62" s="1" t="s">
        <v>14</v>
      </c>
      <c r="O62" t="s">
        <v>15</v>
      </c>
    </row>
    <row r="63" spans="1:15" x14ac:dyDescent="0.25">
      <c r="A63" s="1" t="s">
        <v>127</v>
      </c>
      <c r="B63" s="1" t="s">
        <v>128</v>
      </c>
      <c r="C63" s="2">
        <v>45423.034722222219</v>
      </c>
      <c r="D63" s="4">
        <f t="shared" si="1"/>
        <v>45423</v>
      </c>
      <c r="E63" s="6">
        <v>3.1611111111075498</v>
      </c>
      <c r="F63" s="6" t="str" cm="1">
        <f t="array" ref="F63">_xlfn.IFS(
     AND(HOUR(session_data[[#This Row],[Time]])&gt;5,HOUR(session_data[[#This Row],[Time]])&lt;12),"Morning",
     AND(HOUR(session_data[[#This Row],[Time]])&gt;=12,HOUR(session_data[[#This Row],[Time]])&lt;17),"Afternoon",
     AND(HOUR(session_data[[#This Row],[Time]])&gt;=17,HOUR(session_data[[#This Row],[Time]])&lt;21),"Evening",
     TRUE,"Night"
)</f>
        <v>Night</v>
      </c>
      <c r="G63" s="1">
        <f t="shared" si="2"/>
        <v>2024</v>
      </c>
      <c r="H63" s="1" t="str">
        <f t="shared" si="3"/>
        <v>May</v>
      </c>
      <c r="I63" s="1" t="str">
        <f t="shared" si="0"/>
        <v>Sat</v>
      </c>
      <c r="J63" s="1" t="s">
        <v>11</v>
      </c>
      <c r="K63" s="1" t="s">
        <v>29</v>
      </c>
      <c r="L63" s="1" t="s">
        <v>119</v>
      </c>
      <c r="M63" s="1" t="s">
        <v>40</v>
      </c>
      <c r="N63" s="1" t="s">
        <v>14</v>
      </c>
      <c r="O63" t="s">
        <v>15</v>
      </c>
    </row>
    <row r="64" spans="1:15" x14ac:dyDescent="0.25">
      <c r="A64" s="1" t="s">
        <v>129</v>
      </c>
      <c r="B64" s="1" t="s">
        <v>128</v>
      </c>
      <c r="C64" s="3">
        <v>45622.451388888891</v>
      </c>
      <c r="D64" s="4">
        <f t="shared" si="1"/>
        <v>45622</v>
      </c>
      <c r="E64" s="6">
        <v>3.2027777777742199</v>
      </c>
      <c r="F64" s="6" t="str" cm="1">
        <f t="array" ref="F64">_xlfn.IFS(
     AND(HOUR(session_data[[#This Row],[Time]])&gt;5,HOUR(session_data[[#This Row],[Time]])&lt;12),"Morning",
     AND(HOUR(session_data[[#This Row],[Time]])&gt;=12,HOUR(session_data[[#This Row],[Time]])&lt;17),"Afternoon",
     AND(HOUR(session_data[[#This Row],[Time]])&gt;=17,HOUR(session_data[[#This Row],[Time]])&lt;21),"Evening",
     TRUE,"Night"
)</f>
        <v>Night</v>
      </c>
      <c r="G64" s="1">
        <f t="shared" si="2"/>
        <v>2024</v>
      </c>
      <c r="H64" s="1" t="str">
        <f t="shared" si="3"/>
        <v>Nov</v>
      </c>
      <c r="I64" s="1" t="str">
        <f t="shared" si="0"/>
        <v>Tue</v>
      </c>
      <c r="J64" s="1" t="s">
        <v>11</v>
      </c>
      <c r="K64" s="1" t="s">
        <v>29</v>
      </c>
      <c r="L64" s="1" t="s">
        <v>119</v>
      </c>
      <c r="M64" s="1" t="s">
        <v>40</v>
      </c>
      <c r="N64" s="1" t="s">
        <v>22</v>
      </c>
      <c r="O64" t="s">
        <v>15</v>
      </c>
    </row>
    <row r="65" spans="1:15" x14ac:dyDescent="0.25">
      <c r="A65" s="1" t="s">
        <v>130</v>
      </c>
      <c r="B65" s="1" t="s">
        <v>128</v>
      </c>
      <c r="C65" s="3">
        <v>45643.368055555555</v>
      </c>
      <c r="D65" s="4">
        <f t="shared" si="1"/>
        <v>45643</v>
      </c>
      <c r="E65" s="6">
        <v>3.24444444444089</v>
      </c>
      <c r="F65" s="6" t="str" cm="1">
        <f t="array" ref="F65">_xlfn.IFS(
     AND(HOUR(session_data[[#This Row],[Time]])&gt;5,HOUR(session_data[[#This Row],[Time]])&lt;12),"Morning",
     AND(HOUR(session_data[[#This Row],[Time]])&gt;=12,HOUR(session_data[[#This Row],[Time]])&lt;17),"Afternoon",
     AND(HOUR(session_data[[#This Row],[Time]])&gt;=17,HOUR(session_data[[#This Row],[Time]])&lt;21),"Evening",
     TRUE,"Night"
)</f>
        <v>Night</v>
      </c>
      <c r="G65" s="1">
        <f t="shared" si="2"/>
        <v>2024</v>
      </c>
      <c r="H65" s="1" t="str">
        <f t="shared" si="3"/>
        <v>Dec</v>
      </c>
      <c r="I65" s="1" t="str">
        <f t="shared" si="0"/>
        <v>Tue</v>
      </c>
      <c r="J65" s="1" t="s">
        <v>11</v>
      </c>
      <c r="K65" s="1" t="s">
        <v>29</v>
      </c>
      <c r="L65" s="1" t="s">
        <v>119</v>
      </c>
      <c r="M65" s="1" t="s">
        <v>40</v>
      </c>
      <c r="N65" s="1" t="s">
        <v>22</v>
      </c>
      <c r="O65" t="s">
        <v>15</v>
      </c>
    </row>
    <row r="66" spans="1:15" x14ac:dyDescent="0.25">
      <c r="A66" s="1" t="s">
        <v>131</v>
      </c>
      <c r="B66" s="1" t="s">
        <v>128</v>
      </c>
      <c r="C66" s="3">
        <v>44943.951388888891</v>
      </c>
      <c r="D66" s="4">
        <f t="shared" si="1"/>
        <v>44943</v>
      </c>
      <c r="E66" s="6">
        <v>3.2861111111075498</v>
      </c>
      <c r="F66" s="6" t="str" cm="1">
        <f t="array" ref="F66">_xlfn.IFS(
     AND(HOUR(session_data[[#This Row],[Time]])&gt;5,HOUR(session_data[[#This Row],[Time]])&lt;12),"Morning",
     AND(HOUR(session_data[[#This Row],[Time]])&gt;=12,HOUR(session_data[[#This Row],[Time]])&lt;17),"Afternoon",
     AND(HOUR(session_data[[#This Row],[Time]])&gt;=17,HOUR(session_data[[#This Row],[Time]])&lt;21),"Evening",
     TRUE,"Night"
)</f>
        <v>Morning</v>
      </c>
      <c r="G66" s="1">
        <f t="shared" si="2"/>
        <v>2023</v>
      </c>
      <c r="H66" s="1" t="str">
        <f t="shared" si="3"/>
        <v>Jan</v>
      </c>
      <c r="I66" s="1" t="str">
        <f t="shared" ref="I66:I129" si="4">TEXT(D66,"DDD")</f>
        <v>Tue</v>
      </c>
      <c r="J66" s="1" t="s">
        <v>11</v>
      </c>
      <c r="K66" s="1" t="s">
        <v>29</v>
      </c>
      <c r="L66" s="1" t="s">
        <v>119</v>
      </c>
      <c r="M66" s="1" t="s">
        <v>40</v>
      </c>
      <c r="N66" s="1" t="s">
        <v>22</v>
      </c>
      <c r="O66" t="s">
        <v>15</v>
      </c>
    </row>
    <row r="67" spans="1:15" x14ac:dyDescent="0.25">
      <c r="A67" s="1" t="s">
        <v>132</v>
      </c>
      <c r="B67" s="1" t="s">
        <v>133</v>
      </c>
      <c r="C67" s="2">
        <v>45414.672222222223</v>
      </c>
      <c r="D67" s="4">
        <f t="shared" ref="D67:D130" si="5">INT(C67)</f>
        <v>45414</v>
      </c>
      <c r="E67" s="6">
        <v>3.3277777777742199</v>
      </c>
      <c r="F67" s="6" t="str" cm="1">
        <f t="array" ref="F67">_xlfn.IFS(
     AND(HOUR(session_data[[#This Row],[Time]])&gt;5,HOUR(session_data[[#This Row],[Time]])&lt;12),"Morning",
     AND(HOUR(session_data[[#This Row],[Time]])&gt;=12,HOUR(session_data[[#This Row],[Time]])&lt;17),"Afternoon",
     AND(HOUR(session_data[[#This Row],[Time]])&gt;=17,HOUR(session_data[[#This Row],[Time]])&lt;21),"Evening",
     TRUE,"Night"
)</f>
        <v>Morning</v>
      </c>
      <c r="G67" s="1">
        <f t="shared" ref="G67:G130" si="6">YEAR(D67)</f>
        <v>2024</v>
      </c>
      <c r="H67" s="1" t="str">
        <f t="shared" ref="H67:H130" si="7">TEXT(D67,"MMM")</f>
        <v>May</v>
      </c>
      <c r="I67" s="1" t="str">
        <f t="shared" si="4"/>
        <v>Thu</v>
      </c>
      <c r="J67" s="1" t="s">
        <v>18</v>
      </c>
      <c r="K67" s="1" t="s">
        <v>29</v>
      </c>
      <c r="L67" s="1" t="s">
        <v>30</v>
      </c>
      <c r="M67" s="1" t="s">
        <v>32</v>
      </c>
      <c r="N67" s="1" t="s">
        <v>14</v>
      </c>
      <c r="O67" t="s">
        <v>15</v>
      </c>
    </row>
    <row r="68" spans="1:15" x14ac:dyDescent="0.25">
      <c r="A68" s="1" t="s">
        <v>134</v>
      </c>
      <c r="B68" s="1" t="s">
        <v>133</v>
      </c>
      <c r="C68" s="3">
        <v>45348.838888888888</v>
      </c>
      <c r="D68" s="4">
        <f t="shared" si="5"/>
        <v>45348</v>
      </c>
      <c r="E68" s="6">
        <v>3.36944444444089</v>
      </c>
      <c r="F68" s="6" t="str" cm="1">
        <f t="array" ref="F68">_xlfn.IFS(
     AND(HOUR(session_data[[#This Row],[Time]])&gt;5,HOUR(session_data[[#This Row],[Time]])&lt;12),"Morning",
     AND(HOUR(session_data[[#This Row],[Time]])&gt;=12,HOUR(session_data[[#This Row],[Time]])&lt;17),"Afternoon",
     AND(HOUR(session_data[[#This Row],[Time]])&gt;=17,HOUR(session_data[[#This Row],[Time]])&lt;21),"Evening",
     TRUE,"Night"
)</f>
        <v>Morning</v>
      </c>
      <c r="G68" s="1">
        <f t="shared" si="6"/>
        <v>2024</v>
      </c>
      <c r="H68" s="1" t="str">
        <f t="shared" si="7"/>
        <v>Feb</v>
      </c>
      <c r="I68" s="1" t="str">
        <f t="shared" si="4"/>
        <v>Mon</v>
      </c>
      <c r="J68" s="1" t="s">
        <v>18</v>
      </c>
      <c r="K68" s="1" t="s">
        <v>29</v>
      </c>
      <c r="L68" s="1" t="s">
        <v>30</v>
      </c>
      <c r="M68" s="1" t="s">
        <v>32</v>
      </c>
      <c r="N68" s="1" t="s">
        <v>22</v>
      </c>
      <c r="O68" t="s">
        <v>15</v>
      </c>
    </row>
    <row r="69" spans="1:15" x14ac:dyDescent="0.25">
      <c r="A69" s="1" t="s">
        <v>135</v>
      </c>
      <c r="B69" s="1" t="s">
        <v>133</v>
      </c>
      <c r="C69" s="3">
        <v>45373.380555555559</v>
      </c>
      <c r="D69" s="4">
        <f t="shared" si="5"/>
        <v>45373</v>
      </c>
      <c r="E69" s="6">
        <v>3.4111111111075498</v>
      </c>
      <c r="F69" s="6" t="str" cm="1">
        <f t="array" ref="F69">_xlfn.IFS(
     AND(HOUR(session_data[[#This Row],[Time]])&gt;5,HOUR(session_data[[#This Row],[Time]])&lt;12),"Morning",
     AND(HOUR(session_data[[#This Row],[Time]])&gt;=12,HOUR(session_data[[#This Row],[Time]])&lt;17),"Afternoon",
     AND(HOUR(session_data[[#This Row],[Time]])&gt;=17,HOUR(session_data[[#This Row],[Time]])&lt;21),"Evening",
     TRUE,"Night"
)</f>
        <v>Morning</v>
      </c>
      <c r="G69" s="1">
        <f t="shared" si="6"/>
        <v>2024</v>
      </c>
      <c r="H69" s="1" t="str">
        <f t="shared" si="7"/>
        <v>Mar</v>
      </c>
      <c r="I69" s="1" t="str">
        <f t="shared" si="4"/>
        <v>Fri</v>
      </c>
      <c r="J69" s="1" t="s">
        <v>18</v>
      </c>
      <c r="K69" s="1" t="s">
        <v>29</v>
      </c>
      <c r="L69" s="1" t="s">
        <v>30</v>
      </c>
      <c r="M69" s="1" t="s">
        <v>32</v>
      </c>
      <c r="N69" s="1" t="s">
        <v>22</v>
      </c>
      <c r="O69" t="s">
        <v>15</v>
      </c>
    </row>
    <row r="70" spans="1:15" x14ac:dyDescent="0.25">
      <c r="A70" s="1" t="s">
        <v>136</v>
      </c>
      <c r="B70" s="1" t="s">
        <v>133</v>
      </c>
      <c r="C70" s="3">
        <v>45379.630555555559</v>
      </c>
      <c r="D70" s="4">
        <f t="shared" si="5"/>
        <v>45379</v>
      </c>
      <c r="E70" s="6">
        <v>3.4527777777742199</v>
      </c>
      <c r="F70" s="6" t="str" cm="1">
        <f t="array" ref="F70">_xlfn.IFS(
     AND(HOUR(session_data[[#This Row],[Time]])&gt;5,HOUR(session_data[[#This Row],[Time]])&lt;12),"Morning",
     AND(HOUR(session_data[[#This Row],[Time]])&gt;=12,HOUR(session_data[[#This Row],[Time]])&lt;17),"Afternoon",
     AND(HOUR(session_data[[#This Row],[Time]])&gt;=17,HOUR(session_data[[#This Row],[Time]])&lt;21),"Evening",
     TRUE,"Night"
)</f>
        <v>Morning</v>
      </c>
      <c r="G70" s="1">
        <f t="shared" si="6"/>
        <v>2024</v>
      </c>
      <c r="H70" s="1" t="str">
        <f t="shared" si="7"/>
        <v>Mar</v>
      </c>
      <c r="I70" s="1" t="str">
        <f t="shared" si="4"/>
        <v>Thu</v>
      </c>
      <c r="J70" s="1" t="s">
        <v>18</v>
      </c>
      <c r="K70" s="1" t="s">
        <v>29</v>
      </c>
      <c r="L70" s="1" t="s">
        <v>30</v>
      </c>
      <c r="M70" s="1" t="s">
        <v>32</v>
      </c>
      <c r="N70" s="1" t="s">
        <v>22</v>
      </c>
      <c r="O70" t="s">
        <v>15</v>
      </c>
    </row>
    <row r="71" spans="1:15" x14ac:dyDescent="0.25">
      <c r="A71" s="1" t="s">
        <v>137</v>
      </c>
      <c r="B71" s="1" t="s">
        <v>133</v>
      </c>
      <c r="C71" s="3">
        <v>45403.047222222223</v>
      </c>
      <c r="D71" s="4">
        <f t="shared" si="5"/>
        <v>45403</v>
      </c>
      <c r="E71" s="6">
        <v>3.49444444444089</v>
      </c>
      <c r="F71" s="6" t="str" cm="1">
        <f t="array" ref="F71">_xlfn.IFS(
     AND(HOUR(session_data[[#This Row],[Time]])&gt;5,HOUR(session_data[[#This Row],[Time]])&lt;12),"Morning",
     AND(HOUR(session_data[[#This Row],[Time]])&gt;=12,HOUR(session_data[[#This Row],[Time]])&lt;17),"Afternoon",
     AND(HOUR(session_data[[#This Row],[Time]])&gt;=17,HOUR(session_data[[#This Row],[Time]])&lt;21),"Evening",
     TRUE,"Night"
)</f>
        <v>Morning</v>
      </c>
      <c r="G71" s="1">
        <f t="shared" si="6"/>
        <v>2024</v>
      </c>
      <c r="H71" s="1" t="str">
        <f t="shared" si="7"/>
        <v>Apr</v>
      </c>
      <c r="I71" s="1" t="str">
        <f t="shared" si="4"/>
        <v>Sun</v>
      </c>
      <c r="J71" s="1" t="s">
        <v>18</v>
      </c>
      <c r="K71" s="1" t="s">
        <v>29</v>
      </c>
      <c r="L71" s="1" t="s">
        <v>30</v>
      </c>
      <c r="M71" s="1" t="s">
        <v>32</v>
      </c>
      <c r="N71" s="1" t="s">
        <v>22</v>
      </c>
      <c r="O71" t="s">
        <v>15</v>
      </c>
    </row>
    <row r="72" spans="1:15" x14ac:dyDescent="0.25">
      <c r="A72" s="1" t="s">
        <v>138</v>
      </c>
      <c r="B72" s="1" t="s">
        <v>139</v>
      </c>
      <c r="C72" s="2">
        <v>45537.081944444442</v>
      </c>
      <c r="D72" s="4">
        <f t="shared" si="5"/>
        <v>45537</v>
      </c>
      <c r="E72" s="6">
        <v>3.5361111111075498</v>
      </c>
      <c r="F72" s="6" t="str" cm="1">
        <f t="array" ref="F72">_xlfn.IFS(
     AND(HOUR(session_data[[#This Row],[Time]])&gt;5,HOUR(session_data[[#This Row],[Time]])&lt;12),"Morning",
     AND(HOUR(session_data[[#This Row],[Time]])&gt;=12,HOUR(session_data[[#This Row],[Time]])&lt;17),"Afternoon",
     AND(HOUR(session_data[[#This Row],[Time]])&gt;=17,HOUR(session_data[[#This Row],[Time]])&lt;21),"Evening",
     TRUE,"Night"
)</f>
        <v>Afternoon</v>
      </c>
      <c r="G72" s="1">
        <f t="shared" si="6"/>
        <v>2024</v>
      </c>
      <c r="H72" s="1" t="str">
        <f t="shared" si="7"/>
        <v>Sep</v>
      </c>
      <c r="I72" s="1" t="str">
        <f t="shared" si="4"/>
        <v>Mon</v>
      </c>
      <c r="J72" s="1" t="s">
        <v>18</v>
      </c>
      <c r="K72" s="1" t="s">
        <v>36</v>
      </c>
      <c r="L72" s="1" t="s">
        <v>13</v>
      </c>
      <c r="M72" s="1" t="s">
        <v>32</v>
      </c>
      <c r="N72" s="1" t="s">
        <v>14</v>
      </c>
      <c r="O72" t="s">
        <v>45</v>
      </c>
    </row>
    <row r="73" spans="1:15" x14ac:dyDescent="0.25">
      <c r="A73" s="1" t="s">
        <v>140</v>
      </c>
      <c r="B73" s="1" t="s">
        <v>139</v>
      </c>
      <c r="C73" s="2">
        <v>45446.081944444442</v>
      </c>
      <c r="D73" s="4">
        <f t="shared" si="5"/>
        <v>45446</v>
      </c>
      <c r="E73" s="6">
        <v>3.5777777777742199</v>
      </c>
      <c r="F73" s="6" t="str" cm="1">
        <f t="array" ref="F73">_xlfn.IFS(
     AND(HOUR(session_data[[#This Row],[Time]])&gt;5,HOUR(session_data[[#This Row],[Time]])&lt;12),"Morning",
     AND(HOUR(session_data[[#This Row],[Time]])&gt;=12,HOUR(session_data[[#This Row],[Time]])&lt;17),"Afternoon",
     AND(HOUR(session_data[[#This Row],[Time]])&gt;=17,HOUR(session_data[[#This Row],[Time]])&lt;21),"Evening",
     TRUE,"Night"
)</f>
        <v>Afternoon</v>
      </c>
      <c r="G73" s="1">
        <f t="shared" si="6"/>
        <v>2024</v>
      </c>
      <c r="H73" s="1" t="str">
        <f t="shared" si="7"/>
        <v>Jun</v>
      </c>
      <c r="I73" s="1" t="str">
        <f t="shared" si="4"/>
        <v>Mon</v>
      </c>
      <c r="J73" s="1" t="s">
        <v>18</v>
      </c>
      <c r="K73" s="1" t="s">
        <v>36</v>
      </c>
      <c r="L73" s="1" t="s">
        <v>13</v>
      </c>
      <c r="M73" s="1" t="s">
        <v>32</v>
      </c>
      <c r="N73" s="1" t="s">
        <v>22</v>
      </c>
      <c r="O73" t="s">
        <v>45</v>
      </c>
    </row>
    <row r="74" spans="1:15" x14ac:dyDescent="0.25">
      <c r="A74" s="1" t="s">
        <v>141</v>
      </c>
      <c r="B74" s="1" t="s">
        <v>139</v>
      </c>
      <c r="C74" s="2">
        <v>45508.456944444442</v>
      </c>
      <c r="D74" s="4">
        <f t="shared" si="5"/>
        <v>45508</v>
      </c>
      <c r="E74" s="6">
        <v>3.61944444444089</v>
      </c>
      <c r="F74" s="6" t="str" cm="1">
        <f t="array" ref="F74">_xlfn.IFS(
     AND(HOUR(session_data[[#This Row],[Time]])&gt;5,HOUR(session_data[[#This Row],[Time]])&lt;12),"Morning",
     AND(HOUR(session_data[[#This Row],[Time]])&gt;=12,HOUR(session_data[[#This Row],[Time]])&lt;17),"Afternoon",
     AND(HOUR(session_data[[#This Row],[Time]])&gt;=17,HOUR(session_data[[#This Row],[Time]])&lt;21),"Evening",
     TRUE,"Night"
)</f>
        <v>Afternoon</v>
      </c>
      <c r="G74" s="1">
        <f t="shared" si="6"/>
        <v>2024</v>
      </c>
      <c r="H74" s="1" t="str">
        <f t="shared" si="7"/>
        <v>Aug</v>
      </c>
      <c r="I74" s="1" t="str">
        <f t="shared" si="4"/>
        <v>Sun</v>
      </c>
      <c r="J74" s="1" t="s">
        <v>18</v>
      </c>
      <c r="K74" s="1" t="s">
        <v>36</v>
      </c>
      <c r="L74" s="1" t="s">
        <v>13</v>
      </c>
      <c r="M74" s="1" t="s">
        <v>32</v>
      </c>
      <c r="N74" s="1" t="s">
        <v>22</v>
      </c>
      <c r="O74" t="s">
        <v>45</v>
      </c>
    </row>
    <row r="75" spans="1:15" x14ac:dyDescent="0.25">
      <c r="A75" s="1" t="s">
        <v>142</v>
      </c>
      <c r="B75" s="1" t="s">
        <v>143</v>
      </c>
      <c r="C75" s="3">
        <v>45460.112500000003</v>
      </c>
      <c r="D75" s="4">
        <f t="shared" si="5"/>
        <v>45460</v>
      </c>
      <c r="E75" s="6">
        <v>3.6611111111075498</v>
      </c>
      <c r="F75" s="6" t="str" cm="1">
        <f t="array" ref="F75">_xlfn.IFS(
     AND(HOUR(session_data[[#This Row],[Time]])&gt;5,HOUR(session_data[[#This Row],[Time]])&lt;12),"Morning",
     AND(HOUR(session_data[[#This Row],[Time]])&gt;=12,HOUR(session_data[[#This Row],[Time]])&lt;17),"Afternoon",
     AND(HOUR(session_data[[#This Row],[Time]])&gt;=17,HOUR(session_data[[#This Row],[Time]])&lt;21),"Evening",
     TRUE,"Night"
)</f>
        <v>Afternoon</v>
      </c>
      <c r="G75" s="1">
        <f t="shared" si="6"/>
        <v>2024</v>
      </c>
      <c r="H75" s="1" t="str">
        <f t="shared" si="7"/>
        <v>Jun</v>
      </c>
      <c r="I75" s="1" t="str">
        <f t="shared" si="4"/>
        <v>Mon</v>
      </c>
      <c r="J75" s="1" t="s">
        <v>44</v>
      </c>
      <c r="K75" s="1" t="s">
        <v>29</v>
      </c>
      <c r="L75" s="1" t="s">
        <v>119</v>
      </c>
      <c r="M75" s="1" t="s">
        <v>40</v>
      </c>
      <c r="N75" s="1" t="s">
        <v>14</v>
      </c>
      <c r="O75" t="s">
        <v>15</v>
      </c>
    </row>
    <row r="76" spans="1:15" x14ac:dyDescent="0.25">
      <c r="A76" s="1" t="s">
        <v>144</v>
      </c>
      <c r="B76" s="1" t="s">
        <v>145</v>
      </c>
      <c r="C76" s="3">
        <v>45001.688194444447</v>
      </c>
      <c r="D76" s="4">
        <f t="shared" si="5"/>
        <v>45001</v>
      </c>
      <c r="E76" s="6">
        <v>3.7027777777742199</v>
      </c>
      <c r="F76" s="6" t="str" cm="1">
        <f t="array" ref="F76">_xlfn.IFS(
     AND(HOUR(session_data[[#This Row],[Time]])&gt;5,HOUR(session_data[[#This Row],[Time]])&lt;12),"Morning",
     AND(HOUR(session_data[[#This Row],[Time]])&gt;=12,HOUR(session_data[[#This Row],[Time]])&lt;17),"Afternoon",
     AND(HOUR(session_data[[#This Row],[Time]])&gt;=17,HOUR(session_data[[#This Row],[Time]])&lt;21),"Evening",
     TRUE,"Night"
)</f>
        <v>Afternoon</v>
      </c>
      <c r="G76" s="1">
        <f t="shared" si="6"/>
        <v>2023</v>
      </c>
      <c r="H76" s="1" t="str">
        <f t="shared" si="7"/>
        <v>Mar</v>
      </c>
      <c r="I76" s="1" t="str">
        <f t="shared" si="4"/>
        <v>Thu</v>
      </c>
      <c r="J76" s="1" t="s">
        <v>28</v>
      </c>
      <c r="K76" s="1" t="s">
        <v>29</v>
      </c>
      <c r="L76" s="1" t="s">
        <v>119</v>
      </c>
      <c r="M76" s="1" t="s">
        <v>40</v>
      </c>
      <c r="N76" s="1" t="s">
        <v>14</v>
      </c>
      <c r="O76" t="s">
        <v>45</v>
      </c>
    </row>
    <row r="77" spans="1:15" x14ac:dyDescent="0.25">
      <c r="A77" s="1" t="s">
        <v>146</v>
      </c>
      <c r="B77" s="1" t="s">
        <v>147</v>
      </c>
      <c r="C77" s="2">
        <v>45088.246527777781</v>
      </c>
      <c r="D77" s="4">
        <f t="shared" si="5"/>
        <v>45088</v>
      </c>
      <c r="E77" s="6">
        <v>3.74444444444089</v>
      </c>
      <c r="F77" s="6" t="str" cm="1">
        <f t="array" ref="F77">_xlfn.IFS(
     AND(HOUR(session_data[[#This Row],[Time]])&gt;5,HOUR(session_data[[#This Row],[Time]])&lt;12),"Morning",
     AND(HOUR(session_data[[#This Row],[Time]])&gt;=12,HOUR(session_data[[#This Row],[Time]])&lt;17),"Afternoon",
     AND(HOUR(session_data[[#This Row],[Time]])&gt;=17,HOUR(session_data[[#This Row],[Time]])&lt;21),"Evening",
     TRUE,"Night"
)</f>
        <v>Evening</v>
      </c>
      <c r="G77" s="1">
        <f t="shared" si="6"/>
        <v>2023</v>
      </c>
      <c r="H77" s="1" t="str">
        <f t="shared" si="7"/>
        <v>Jun</v>
      </c>
      <c r="I77" s="1" t="str">
        <f t="shared" si="4"/>
        <v>Sun</v>
      </c>
      <c r="J77" s="1" t="s">
        <v>18</v>
      </c>
      <c r="K77" s="1" t="s">
        <v>12</v>
      </c>
      <c r="L77" s="1" t="s">
        <v>20</v>
      </c>
      <c r="M77" s="1" t="s">
        <v>19</v>
      </c>
      <c r="N77" s="1" t="s">
        <v>14</v>
      </c>
      <c r="O77" t="s">
        <v>45</v>
      </c>
    </row>
    <row r="78" spans="1:15" x14ac:dyDescent="0.25">
      <c r="A78" s="1" t="s">
        <v>148</v>
      </c>
      <c r="B78" s="1" t="s">
        <v>147</v>
      </c>
      <c r="C78" s="3">
        <v>45248.079861111109</v>
      </c>
      <c r="D78" s="4">
        <f t="shared" si="5"/>
        <v>45248</v>
      </c>
      <c r="E78" s="6">
        <v>3.7861111111075498</v>
      </c>
      <c r="F78" s="6" t="str" cm="1">
        <f t="array" ref="F78">_xlfn.IFS(
     AND(HOUR(session_data[[#This Row],[Time]])&gt;5,HOUR(session_data[[#This Row],[Time]])&lt;12),"Morning",
     AND(HOUR(session_data[[#This Row],[Time]])&gt;=12,HOUR(session_data[[#This Row],[Time]])&lt;17),"Afternoon",
     AND(HOUR(session_data[[#This Row],[Time]])&gt;=17,HOUR(session_data[[#This Row],[Time]])&lt;21),"Evening",
     TRUE,"Night"
)</f>
        <v>Evening</v>
      </c>
      <c r="G78" s="1">
        <f t="shared" si="6"/>
        <v>2023</v>
      </c>
      <c r="H78" s="1" t="str">
        <f t="shared" si="7"/>
        <v>Nov</v>
      </c>
      <c r="I78" s="1" t="str">
        <f t="shared" si="4"/>
        <v>Sat</v>
      </c>
      <c r="J78" s="1" t="s">
        <v>18</v>
      </c>
      <c r="K78" s="1" t="s">
        <v>12</v>
      </c>
      <c r="L78" s="1" t="s">
        <v>20</v>
      </c>
      <c r="M78" s="1" t="s">
        <v>19</v>
      </c>
      <c r="N78" s="1" t="s">
        <v>22</v>
      </c>
      <c r="O78" t="s">
        <v>45</v>
      </c>
    </row>
    <row r="79" spans="1:15" x14ac:dyDescent="0.25">
      <c r="A79" s="1" t="s">
        <v>149</v>
      </c>
      <c r="B79" s="1" t="s">
        <v>147</v>
      </c>
      <c r="C79" s="2">
        <v>45272.621527777781</v>
      </c>
      <c r="D79" s="4">
        <f t="shared" si="5"/>
        <v>45272</v>
      </c>
      <c r="E79" s="6">
        <v>3.8277777777742199</v>
      </c>
      <c r="F79" s="6" t="str" cm="1">
        <f t="array" ref="F79">_xlfn.IFS(
     AND(HOUR(session_data[[#This Row],[Time]])&gt;5,HOUR(session_data[[#This Row],[Time]])&lt;12),"Morning",
     AND(HOUR(session_data[[#This Row],[Time]])&gt;=12,HOUR(session_data[[#This Row],[Time]])&lt;17),"Afternoon",
     AND(HOUR(session_data[[#This Row],[Time]])&gt;=17,HOUR(session_data[[#This Row],[Time]])&lt;21),"Evening",
     TRUE,"Night"
)</f>
        <v>Evening</v>
      </c>
      <c r="G79" s="1">
        <f t="shared" si="6"/>
        <v>2023</v>
      </c>
      <c r="H79" s="1" t="str">
        <f t="shared" si="7"/>
        <v>Dec</v>
      </c>
      <c r="I79" s="1" t="str">
        <f t="shared" si="4"/>
        <v>Tue</v>
      </c>
      <c r="J79" s="1" t="s">
        <v>18</v>
      </c>
      <c r="K79" s="1" t="s">
        <v>12</v>
      </c>
      <c r="L79" s="1" t="s">
        <v>20</v>
      </c>
      <c r="M79" s="1" t="s">
        <v>19</v>
      </c>
      <c r="N79" s="1" t="s">
        <v>22</v>
      </c>
      <c r="O79" t="s">
        <v>45</v>
      </c>
    </row>
    <row r="80" spans="1:15" x14ac:dyDescent="0.25">
      <c r="A80" s="1" t="s">
        <v>150</v>
      </c>
      <c r="B80" s="1" t="s">
        <v>151</v>
      </c>
      <c r="C80" s="3">
        <v>45101.6875</v>
      </c>
      <c r="D80" s="4">
        <f t="shared" si="5"/>
        <v>45101</v>
      </c>
      <c r="E80" s="6">
        <v>3.86944444444089</v>
      </c>
      <c r="F80" s="6" t="str" cm="1">
        <f t="array" ref="F80">_xlfn.IFS(
     AND(HOUR(session_data[[#This Row],[Time]])&gt;5,HOUR(session_data[[#This Row],[Time]])&lt;12),"Morning",
     AND(HOUR(session_data[[#This Row],[Time]])&gt;=12,HOUR(session_data[[#This Row],[Time]])&lt;17),"Afternoon",
     AND(HOUR(session_data[[#This Row],[Time]])&gt;=17,HOUR(session_data[[#This Row],[Time]])&lt;21),"Evening",
     TRUE,"Night"
)</f>
        <v>Evening</v>
      </c>
      <c r="G80" s="1">
        <f t="shared" si="6"/>
        <v>2023</v>
      </c>
      <c r="H80" s="1" t="str">
        <f t="shared" si="7"/>
        <v>Jun</v>
      </c>
      <c r="I80" s="1" t="str">
        <f t="shared" si="4"/>
        <v>Sat</v>
      </c>
      <c r="J80" s="1" t="s">
        <v>18</v>
      </c>
      <c r="K80" s="1" t="s">
        <v>29</v>
      </c>
      <c r="L80" s="1" t="s">
        <v>59</v>
      </c>
      <c r="M80" s="1" t="s">
        <v>19</v>
      </c>
      <c r="N80" s="1" t="s">
        <v>14</v>
      </c>
      <c r="O80" t="s">
        <v>15</v>
      </c>
    </row>
    <row r="81" spans="1:15" x14ac:dyDescent="0.25">
      <c r="A81" s="1" t="s">
        <v>152</v>
      </c>
      <c r="B81" s="1" t="s">
        <v>151</v>
      </c>
      <c r="C81" s="3">
        <v>45095.4375</v>
      </c>
      <c r="D81" s="4">
        <f t="shared" si="5"/>
        <v>45095</v>
      </c>
      <c r="E81" s="6">
        <v>3.9111111111075498</v>
      </c>
      <c r="F81" s="6" t="str" cm="1">
        <f t="array" ref="F81">_xlfn.IFS(
     AND(HOUR(session_data[[#This Row],[Time]])&gt;5,HOUR(session_data[[#This Row],[Time]])&lt;12),"Morning",
     AND(HOUR(session_data[[#This Row],[Time]])&gt;=12,HOUR(session_data[[#This Row],[Time]])&lt;17),"Afternoon",
     AND(HOUR(session_data[[#This Row],[Time]])&gt;=17,HOUR(session_data[[#This Row],[Time]])&lt;21),"Evening",
     TRUE,"Night"
)</f>
        <v>Night</v>
      </c>
      <c r="G81" s="1">
        <f t="shared" si="6"/>
        <v>2023</v>
      </c>
      <c r="H81" s="1" t="str">
        <f t="shared" si="7"/>
        <v>Jun</v>
      </c>
      <c r="I81" s="1" t="str">
        <f t="shared" si="4"/>
        <v>Sun</v>
      </c>
      <c r="J81" s="1" t="s">
        <v>18</v>
      </c>
      <c r="K81" s="1" t="s">
        <v>29</v>
      </c>
      <c r="L81" s="1" t="s">
        <v>59</v>
      </c>
      <c r="M81" s="1" t="s">
        <v>19</v>
      </c>
      <c r="N81" s="1" t="s">
        <v>22</v>
      </c>
      <c r="O81" t="s">
        <v>15</v>
      </c>
    </row>
    <row r="82" spans="1:15" x14ac:dyDescent="0.25">
      <c r="A82" s="1" t="s">
        <v>153</v>
      </c>
      <c r="B82" s="1" t="s">
        <v>154</v>
      </c>
      <c r="C82" s="2">
        <v>45566.799305555556</v>
      </c>
      <c r="D82" s="4">
        <f t="shared" si="5"/>
        <v>45566</v>
      </c>
      <c r="E82" s="6">
        <v>3.9527777777742199</v>
      </c>
      <c r="F82" s="6" t="str" cm="1">
        <f t="array" ref="F82">_xlfn.IFS(
     AND(HOUR(session_data[[#This Row],[Time]])&gt;5,HOUR(session_data[[#This Row],[Time]])&lt;12),"Morning",
     AND(HOUR(session_data[[#This Row],[Time]])&gt;=12,HOUR(session_data[[#This Row],[Time]])&lt;17),"Afternoon",
     AND(HOUR(session_data[[#This Row],[Time]])&gt;=17,HOUR(session_data[[#This Row],[Time]])&lt;21),"Evening",
     TRUE,"Night"
)</f>
        <v>Night</v>
      </c>
      <c r="G82" s="1">
        <f t="shared" si="6"/>
        <v>2024</v>
      </c>
      <c r="H82" s="1" t="str">
        <f t="shared" si="7"/>
        <v>Oct</v>
      </c>
      <c r="I82" s="1" t="str">
        <f t="shared" si="4"/>
        <v>Tue</v>
      </c>
      <c r="J82" s="1" t="s">
        <v>11</v>
      </c>
      <c r="K82" s="1" t="s">
        <v>12</v>
      </c>
      <c r="L82" s="1" t="s">
        <v>41</v>
      </c>
      <c r="M82" s="1" t="s">
        <v>40</v>
      </c>
      <c r="N82" s="1" t="s">
        <v>14</v>
      </c>
      <c r="O82" t="s">
        <v>15</v>
      </c>
    </row>
    <row r="83" spans="1:15" x14ac:dyDescent="0.25">
      <c r="A83" s="1" t="s">
        <v>155</v>
      </c>
      <c r="B83" s="1" t="s">
        <v>156</v>
      </c>
      <c r="C83" s="3">
        <v>45439.618055555555</v>
      </c>
      <c r="D83" s="4">
        <f t="shared" si="5"/>
        <v>45439</v>
      </c>
      <c r="E83" s="6">
        <v>3.99444444444089</v>
      </c>
      <c r="F83" s="6" t="str" cm="1">
        <f t="array" ref="F83">_xlfn.IFS(
     AND(HOUR(session_data[[#This Row],[Time]])&gt;5,HOUR(session_data[[#This Row],[Time]])&lt;12),"Morning",
     AND(HOUR(session_data[[#This Row],[Time]])&gt;=12,HOUR(session_data[[#This Row],[Time]])&lt;17),"Afternoon",
     AND(HOUR(session_data[[#This Row],[Time]])&gt;=17,HOUR(session_data[[#This Row],[Time]])&lt;21),"Evening",
     TRUE,"Night"
)</f>
        <v>Night</v>
      </c>
      <c r="G83" s="1">
        <f t="shared" si="6"/>
        <v>2024</v>
      </c>
      <c r="H83" s="1" t="str">
        <f t="shared" si="7"/>
        <v>May</v>
      </c>
      <c r="I83" s="1" t="str">
        <f t="shared" si="4"/>
        <v>Mon</v>
      </c>
      <c r="J83" s="1" t="s">
        <v>18</v>
      </c>
      <c r="K83" s="1" t="s">
        <v>12</v>
      </c>
      <c r="L83" s="1" t="s">
        <v>59</v>
      </c>
      <c r="M83" s="1" t="s">
        <v>19</v>
      </c>
      <c r="N83" s="1" t="s">
        <v>14</v>
      </c>
      <c r="O83" t="s">
        <v>15</v>
      </c>
    </row>
    <row r="84" spans="1:15" x14ac:dyDescent="0.25">
      <c r="A84" s="1" t="s">
        <v>157</v>
      </c>
      <c r="B84" s="1" t="s">
        <v>156</v>
      </c>
      <c r="C84" s="2">
        <v>45602.409722222219</v>
      </c>
      <c r="D84" s="4">
        <f t="shared" si="5"/>
        <v>45602</v>
      </c>
      <c r="E84" s="6">
        <v>4.0361111111075498</v>
      </c>
      <c r="F84" s="6" t="str" cm="1">
        <f t="array" ref="F84">_xlfn.IFS(
     AND(HOUR(session_data[[#This Row],[Time]])&gt;5,HOUR(session_data[[#This Row],[Time]])&lt;12),"Morning",
     AND(HOUR(session_data[[#This Row],[Time]])&gt;=12,HOUR(session_data[[#This Row],[Time]])&lt;17),"Afternoon",
     AND(HOUR(session_data[[#This Row],[Time]])&gt;=17,HOUR(session_data[[#This Row],[Time]])&lt;21),"Evening",
     TRUE,"Night"
)</f>
        <v>Night</v>
      </c>
      <c r="G84" s="1">
        <f t="shared" si="6"/>
        <v>2024</v>
      </c>
      <c r="H84" s="1" t="str">
        <f t="shared" si="7"/>
        <v>Nov</v>
      </c>
      <c r="I84" s="1" t="str">
        <f t="shared" si="4"/>
        <v>Wed</v>
      </c>
      <c r="J84" s="1" t="s">
        <v>18</v>
      </c>
      <c r="K84" s="1" t="s">
        <v>12</v>
      </c>
      <c r="L84" s="1" t="s">
        <v>59</v>
      </c>
      <c r="M84" s="1" t="s">
        <v>19</v>
      </c>
      <c r="N84" s="1" t="s">
        <v>22</v>
      </c>
      <c r="O84" t="s">
        <v>15</v>
      </c>
    </row>
    <row r="85" spans="1:15" x14ac:dyDescent="0.25">
      <c r="A85" s="1" t="s">
        <v>158</v>
      </c>
      <c r="B85" s="1" t="s">
        <v>159</v>
      </c>
      <c r="C85" s="2">
        <v>45537.313194444447</v>
      </c>
      <c r="D85" s="4">
        <f t="shared" si="5"/>
        <v>45537</v>
      </c>
      <c r="E85" s="6">
        <v>4.0777777777742203</v>
      </c>
      <c r="F85" s="6" t="str" cm="1">
        <f t="array" ref="F85">_xlfn.IFS(
     AND(HOUR(session_data[[#This Row],[Time]])&gt;5,HOUR(session_data[[#This Row],[Time]])&lt;12),"Morning",
     AND(HOUR(session_data[[#This Row],[Time]])&gt;=12,HOUR(session_data[[#This Row],[Time]])&lt;17),"Afternoon",
     AND(HOUR(session_data[[#This Row],[Time]])&gt;=17,HOUR(session_data[[#This Row],[Time]])&lt;21),"Evening",
     TRUE,"Night"
)</f>
        <v>Night</v>
      </c>
      <c r="G85" s="1">
        <f t="shared" si="6"/>
        <v>2024</v>
      </c>
      <c r="H85" s="1" t="str">
        <f t="shared" si="7"/>
        <v>Sep</v>
      </c>
      <c r="I85" s="1" t="str">
        <f t="shared" si="4"/>
        <v>Mon</v>
      </c>
      <c r="J85" s="1" t="s">
        <v>18</v>
      </c>
      <c r="K85" s="1" t="s">
        <v>29</v>
      </c>
      <c r="L85" s="1" t="s">
        <v>119</v>
      </c>
      <c r="M85" s="1" t="s">
        <v>40</v>
      </c>
      <c r="N85" s="1" t="s">
        <v>14</v>
      </c>
      <c r="O85" t="s">
        <v>15</v>
      </c>
    </row>
    <row r="86" spans="1:15" x14ac:dyDescent="0.25">
      <c r="A86" s="1" t="s">
        <v>160</v>
      </c>
      <c r="B86" s="1" t="s">
        <v>161</v>
      </c>
      <c r="C86" s="2">
        <v>45018.261805555558</v>
      </c>
      <c r="D86" s="4">
        <f t="shared" si="5"/>
        <v>45018</v>
      </c>
      <c r="E86" s="6">
        <v>4.11944444444089</v>
      </c>
      <c r="F86" s="6" t="str" cm="1">
        <f t="array" ref="F86">_xlfn.IFS(
     AND(HOUR(session_data[[#This Row],[Time]])&gt;5,HOUR(session_data[[#This Row],[Time]])&lt;12),"Morning",
     AND(HOUR(session_data[[#This Row],[Time]])&gt;=12,HOUR(session_data[[#This Row],[Time]])&lt;17),"Afternoon",
     AND(HOUR(session_data[[#This Row],[Time]])&gt;=17,HOUR(session_data[[#This Row],[Time]])&lt;21),"Evening",
     TRUE,"Night"
)</f>
        <v>Night</v>
      </c>
      <c r="G86" s="1">
        <f t="shared" si="6"/>
        <v>2023</v>
      </c>
      <c r="H86" s="1" t="str">
        <f t="shared" si="7"/>
        <v>Apr</v>
      </c>
      <c r="I86" s="1" t="str">
        <f t="shared" si="4"/>
        <v>Sun</v>
      </c>
      <c r="J86" s="1" t="s">
        <v>11</v>
      </c>
      <c r="K86" s="1" t="s">
        <v>29</v>
      </c>
      <c r="L86" s="1" t="s">
        <v>20</v>
      </c>
      <c r="M86" s="1" t="s">
        <v>19</v>
      </c>
      <c r="N86" s="1" t="s">
        <v>14</v>
      </c>
      <c r="O86" t="s">
        <v>15</v>
      </c>
    </row>
    <row r="87" spans="1:15" x14ac:dyDescent="0.25">
      <c r="A87" s="1" t="s">
        <v>162</v>
      </c>
      <c r="B87" s="1" t="s">
        <v>161</v>
      </c>
      <c r="C87" s="3">
        <v>44979.178472222222</v>
      </c>
      <c r="D87" s="4">
        <f t="shared" si="5"/>
        <v>44979</v>
      </c>
      <c r="E87" s="6">
        <v>4.1611111111075498</v>
      </c>
      <c r="F87" s="6" t="str" cm="1">
        <f t="array" ref="F87">_xlfn.IFS(
     AND(HOUR(session_data[[#This Row],[Time]])&gt;5,HOUR(session_data[[#This Row],[Time]])&lt;12),"Morning",
     AND(HOUR(session_data[[#This Row],[Time]])&gt;=12,HOUR(session_data[[#This Row],[Time]])&lt;17),"Afternoon",
     AND(HOUR(session_data[[#This Row],[Time]])&gt;=17,HOUR(session_data[[#This Row],[Time]])&lt;21),"Evening",
     TRUE,"Night"
)</f>
        <v>Night</v>
      </c>
      <c r="G87" s="1">
        <f t="shared" si="6"/>
        <v>2023</v>
      </c>
      <c r="H87" s="1" t="str">
        <f t="shared" si="7"/>
        <v>Feb</v>
      </c>
      <c r="I87" s="1" t="str">
        <f t="shared" si="4"/>
        <v>Wed</v>
      </c>
      <c r="J87" s="1" t="s">
        <v>11</v>
      </c>
      <c r="K87" s="1" t="s">
        <v>29</v>
      </c>
      <c r="L87" s="1" t="s">
        <v>20</v>
      </c>
      <c r="M87" s="1" t="s">
        <v>19</v>
      </c>
      <c r="N87" s="1" t="s">
        <v>22</v>
      </c>
      <c r="O87" t="s">
        <v>15</v>
      </c>
    </row>
    <row r="88" spans="1:15" x14ac:dyDescent="0.25">
      <c r="A88" s="1" t="s">
        <v>163</v>
      </c>
      <c r="B88" s="1" t="s">
        <v>161</v>
      </c>
      <c r="C88" s="3">
        <v>45010.428472222222</v>
      </c>
      <c r="D88" s="4">
        <f t="shared" si="5"/>
        <v>45010</v>
      </c>
      <c r="E88" s="6">
        <v>4.2027777777742203</v>
      </c>
      <c r="F88" s="6" t="str" cm="1">
        <f t="array" ref="F88">_xlfn.IFS(
     AND(HOUR(session_data[[#This Row],[Time]])&gt;5,HOUR(session_data[[#This Row],[Time]])&lt;12),"Morning",
     AND(HOUR(session_data[[#This Row],[Time]])&gt;=12,HOUR(session_data[[#This Row],[Time]])&lt;17),"Afternoon",
     AND(HOUR(session_data[[#This Row],[Time]])&gt;=17,HOUR(session_data[[#This Row],[Time]])&lt;21),"Evening",
     TRUE,"Night"
)</f>
        <v>Night</v>
      </c>
      <c r="G88" s="1">
        <f t="shared" si="6"/>
        <v>2023</v>
      </c>
      <c r="H88" s="1" t="str">
        <f t="shared" si="7"/>
        <v>Mar</v>
      </c>
      <c r="I88" s="1" t="str">
        <f t="shared" si="4"/>
        <v>Sat</v>
      </c>
      <c r="J88" s="1" t="s">
        <v>11</v>
      </c>
      <c r="K88" s="1" t="s">
        <v>29</v>
      </c>
      <c r="L88" s="1" t="s">
        <v>20</v>
      </c>
      <c r="M88" s="1" t="s">
        <v>19</v>
      </c>
      <c r="N88" s="1" t="s">
        <v>22</v>
      </c>
      <c r="O88" t="s">
        <v>15</v>
      </c>
    </row>
    <row r="89" spans="1:15" x14ac:dyDescent="0.25">
      <c r="A89" s="1" t="s">
        <v>164</v>
      </c>
      <c r="B89" s="1" t="s">
        <v>161</v>
      </c>
      <c r="C89" s="2">
        <v>45173.386805555558</v>
      </c>
      <c r="D89" s="4">
        <f t="shared" si="5"/>
        <v>45173</v>
      </c>
      <c r="E89" s="6">
        <v>4.24444444444089</v>
      </c>
      <c r="F89" s="6" t="str" cm="1">
        <f t="array" ref="F89">_xlfn.IFS(
     AND(HOUR(session_data[[#This Row],[Time]])&gt;5,HOUR(session_data[[#This Row],[Time]])&lt;12),"Morning",
     AND(HOUR(session_data[[#This Row],[Time]])&gt;=12,HOUR(session_data[[#This Row],[Time]])&lt;17),"Afternoon",
     AND(HOUR(session_data[[#This Row],[Time]])&gt;=17,HOUR(session_data[[#This Row],[Time]])&lt;21),"Evening",
     TRUE,"Night"
)</f>
        <v>Night</v>
      </c>
      <c r="G89" s="1">
        <f t="shared" si="6"/>
        <v>2023</v>
      </c>
      <c r="H89" s="1" t="str">
        <f t="shared" si="7"/>
        <v>Sep</v>
      </c>
      <c r="I89" s="1" t="str">
        <f t="shared" si="4"/>
        <v>Mon</v>
      </c>
      <c r="J89" s="1" t="s">
        <v>11</v>
      </c>
      <c r="K89" s="1" t="s">
        <v>29</v>
      </c>
      <c r="L89" s="1" t="s">
        <v>20</v>
      </c>
      <c r="M89" s="1" t="s">
        <v>19</v>
      </c>
      <c r="N89" s="1" t="s">
        <v>22</v>
      </c>
      <c r="O89" t="s">
        <v>15</v>
      </c>
    </row>
    <row r="90" spans="1:15" x14ac:dyDescent="0.25">
      <c r="A90" s="1" t="s">
        <v>165</v>
      </c>
      <c r="B90" s="1" t="s">
        <v>166</v>
      </c>
      <c r="C90" s="2">
        <v>45173.104861111111</v>
      </c>
      <c r="D90" s="4">
        <f t="shared" si="5"/>
        <v>45173</v>
      </c>
      <c r="E90" s="6">
        <v>4.2861111111075498</v>
      </c>
      <c r="F90" s="6" t="str" cm="1">
        <f t="array" ref="F90">_xlfn.IFS(
     AND(HOUR(session_data[[#This Row],[Time]])&gt;5,HOUR(session_data[[#This Row],[Time]])&lt;12),"Morning",
     AND(HOUR(session_data[[#This Row],[Time]])&gt;=12,HOUR(session_data[[#This Row],[Time]])&lt;17),"Afternoon",
     AND(HOUR(session_data[[#This Row],[Time]])&gt;=17,HOUR(session_data[[#This Row],[Time]])&lt;21),"Evening",
     TRUE,"Night"
)</f>
        <v>Morning</v>
      </c>
      <c r="G90" s="1">
        <f t="shared" si="6"/>
        <v>2023</v>
      </c>
      <c r="H90" s="1" t="str">
        <f t="shared" si="7"/>
        <v>Sep</v>
      </c>
      <c r="I90" s="1" t="str">
        <f t="shared" si="4"/>
        <v>Mon</v>
      </c>
      <c r="J90" s="1" t="s">
        <v>28</v>
      </c>
      <c r="K90" s="1" t="s">
        <v>29</v>
      </c>
      <c r="L90" s="1" t="s">
        <v>30</v>
      </c>
      <c r="M90" s="1" t="s">
        <v>32</v>
      </c>
      <c r="N90" s="1" t="s">
        <v>14</v>
      </c>
      <c r="O90" t="s">
        <v>45</v>
      </c>
    </row>
    <row r="91" spans="1:15" x14ac:dyDescent="0.25">
      <c r="A91" s="1" t="s">
        <v>167</v>
      </c>
      <c r="B91" s="1" t="s">
        <v>168</v>
      </c>
      <c r="C91" s="3">
        <v>45530.433333333334</v>
      </c>
      <c r="D91" s="4">
        <f t="shared" si="5"/>
        <v>45530</v>
      </c>
      <c r="E91" s="6">
        <v>4.3277777777742203</v>
      </c>
      <c r="F91" s="6" t="str" cm="1">
        <f t="array" ref="F91">_xlfn.IFS(
     AND(HOUR(session_data[[#This Row],[Time]])&gt;5,HOUR(session_data[[#This Row],[Time]])&lt;12),"Morning",
     AND(HOUR(session_data[[#This Row],[Time]])&gt;=12,HOUR(session_data[[#This Row],[Time]])&lt;17),"Afternoon",
     AND(HOUR(session_data[[#This Row],[Time]])&gt;=17,HOUR(session_data[[#This Row],[Time]])&lt;21),"Evening",
     TRUE,"Night"
)</f>
        <v>Morning</v>
      </c>
      <c r="G91" s="1">
        <f t="shared" si="6"/>
        <v>2024</v>
      </c>
      <c r="H91" s="1" t="str">
        <f t="shared" si="7"/>
        <v>Aug</v>
      </c>
      <c r="I91" s="1" t="str">
        <f t="shared" si="4"/>
        <v>Mon</v>
      </c>
      <c r="J91" s="1" t="s">
        <v>28</v>
      </c>
      <c r="K91" s="1" t="s">
        <v>29</v>
      </c>
      <c r="L91" s="1" t="s">
        <v>41</v>
      </c>
      <c r="M91" s="1" t="s">
        <v>40</v>
      </c>
      <c r="N91" s="1" t="s">
        <v>14</v>
      </c>
      <c r="O91" t="s">
        <v>15</v>
      </c>
    </row>
    <row r="92" spans="1:15" x14ac:dyDescent="0.25">
      <c r="A92" s="1" t="s">
        <v>169</v>
      </c>
      <c r="B92" s="1" t="s">
        <v>168</v>
      </c>
      <c r="C92" s="2">
        <v>45332.433333333334</v>
      </c>
      <c r="D92" s="4">
        <f t="shared" si="5"/>
        <v>45332</v>
      </c>
      <c r="E92" s="6">
        <v>4.36944444444089</v>
      </c>
      <c r="F92" s="6" t="str" cm="1">
        <f t="array" ref="F92">_xlfn.IFS(
     AND(HOUR(session_data[[#This Row],[Time]])&gt;5,HOUR(session_data[[#This Row],[Time]])&lt;12),"Morning",
     AND(HOUR(session_data[[#This Row],[Time]])&gt;=12,HOUR(session_data[[#This Row],[Time]])&lt;17),"Afternoon",
     AND(HOUR(session_data[[#This Row],[Time]])&gt;=17,HOUR(session_data[[#This Row],[Time]])&lt;21),"Evening",
     TRUE,"Night"
)</f>
        <v>Morning</v>
      </c>
      <c r="G92" s="1">
        <f t="shared" si="6"/>
        <v>2024</v>
      </c>
      <c r="H92" s="1" t="str">
        <f t="shared" si="7"/>
        <v>Feb</v>
      </c>
      <c r="I92" s="1" t="str">
        <f t="shared" si="4"/>
        <v>Sat</v>
      </c>
      <c r="J92" s="1" t="s">
        <v>28</v>
      </c>
      <c r="K92" s="1" t="s">
        <v>29</v>
      </c>
      <c r="L92" s="1" t="s">
        <v>41</v>
      </c>
      <c r="M92" s="1" t="s">
        <v>40</v>
      </c>
      <c r="N92" s="1" t="s">
        <v>22</v>
      </c>
      <c r="O92" t="s">
        <v>15</v>
      </c>
    </row>
    <row r="93" spans="1:15" x14ac:dyDescent="0.25">
      <c r="A93" s="1" t="s">
        <v>170</v>
      </c>
      <c r="B93" s="1" t="s">
        <v>168</v>
      </c>
      <c r="C93" s="2">
        <v>45514.26666666667</v>
      </c>
      <c r="D93" s="4">
        <f t="shared" si="5"/>
        <v>45514</v>
      </c>
      <c r="E93" s="6">
        <v>4.4111111111075498</v>
      </c>
      <c r="F93" s="6" t="str" cm="1">
        <f t="array" ref="F93">_xlfn.IFS(
     AND(HOUR(session_data[[#This Row],[Time]])&gt;5,HOUR(session_data[[#This Row],[Time]])&lt;12),"Morning",
     AND(HOUR(session_data[[#This Row],[Time]])&gt;=12,HOUR(session_data[[#This Row],[Time]])&lt;17),"Afternoon",
     AND(HOUR(session_data[[#This Row],[Time]])&gt;=17,HOUR(session_data[[#This Row],[Time]])&lt;21),"Evening",
     TRUE,"Night"
)</f>
        <v>Morning</v>
      </c>
      <c r="G93" s="1">
        <f t="shared" si="6"/>
        <v>2024</v>
      </c>
      <c r="H93" s="1" t="str">
        <f t="shared" si="7"/>
        <v>Aug</v>
      </c>
      <c r="I93" s="1" t="str">
        <f t="shared" si="4"/>
        <v>Sat</v>
      </c>
      <c r="J93" s="1" t="s">
        <v>28</v>
      </c>
      <c r="K93" s="1" t="s">
        <v>29</v>
      </c>
      <c r="L93" s="1" t="s">
        <v>41</v>
      </c>
      <c r="M93" s="1" t="s">
        <v>40</v>
      </c>
      <c r="N93" s="1" t="s">
        <v>22</v>
      </c>
      <c r="O93" t="s">
        <v>15</v>
      </c>
    </row>
    <row r="94" spans="1:15" x14ac:dyDescent="0.25">
      <c r="A94" s="1" t="s">
        <v>171</v>
      </c>
      <c r="B94" s="1" t="s">
        <v>172</v>
      </c>
      <c r="C94" s="3">
        <v>45430.204861111109</v>
      </c>
      <c r="D94" s="4">
        <f t="shared" si="5"/>
        <v>45430</v>
      </c>
      <c r="E94" s="6">
        <v>4.4527777777742203</v>
      </c>
      <c r="F94" s="6" t="str" cm="1">
        <f t="array" ref="F94">_xlfn.IFS(
     AND(HOUR(session_data[[#This Row],[Time]])&gt;5,HOUR(session_data[[#This Row],[Time]])&lt;12),"Morning",
     AND(HOUR(session_data[[#This Row],[Time]])&gt;=12,HOUR(session_data[[#This Row],[Time]])&lt;17),"Afternoon",
     AND(HOUR(session_data[[#This Row],[Time]])&gt;=17,HOUR(session_data[[#This Row],[Time]])&lt;21),"Evening",
     TRUE,"Night"
)</f>
        <v>Morning</v>
      </c>
      <c r="G94" s="1">
        <f t="shared" si="6"/>
        <v>2024</v>
      </c>
      <c r="H94" s="1" t="str">
        <f t="shared" si="7"/>
        <v>May</v>
      </c>
      <c r="I94" s="1" t="str">
        <f t="shared" si="4"/>
        <v>Sat</v>
      </c>
      <c r="J94" s="1" t="s">
        <v>66</v>
      </c>
      <c r="K94" s="1" t="s">
        <v>12</v>
      </c>
      <c r="L94" s="1" t="s">
        <v>119</v>
      </c>
      <c r="M94" s="1" t="s">
        <v>40</v>
      </c>
      <c r="N94" s="1" t="s">
        <v>14</v>
      </c>
      <c r="O94" t="s">
        <v>45</v>
      </c>
    </row>
    <row r="95" spans="1:15" x14ac:dyDescent="0.25">
      <c r="A95" s="1" t="s">
        <v>173</v>
      </c>
      <c r="B95" s="1" t="s">
        <v>174</v>
      </c>
      <c r="C95" s="3">
        <v>45466.868750000001</v>
      </c>
      <c r="D95" s="4">
        <f t="shared" si="5"/>
        <v>45466</v>
      </c>
      <c r="E95" s="6">
        <v>4.49444444444089</v>
      </c>
      <c r="F95" s="6" t="str" cm="1">
        <f t="array" ref="F95">_xlfn.IFS(
     AND(HOUR(session_data[[#This Row],[Time]])&gt;5,HOUR(session_data[[#This Row],[Time]])&lt;12),"Morning",
     AND(HOUR(session_data[[#This Row],[Time]])&gt;=12,HOUR(session_data[[#This Row],[Time]])&lt;17),"Afternoon",
     AND(HOUR(session_data[[#This Row],[Time]])&gt;=17,HOUR(session_data[[#This Row],[Time]])&lt;21),"Evening",
     TRUE,"Night"
)</f>
        <v>Morning</v>
      </c>
      <c r="G95" s="1">
        <f t="shared" si="6"/>
        <v>2024</v>
      </c>
      <c r="H95" s="1" t="str">
        <f t="shared" si="7"/>
        <v>Jun</v>
      </c>
      <c r="I95" s="1" t="str">
        <f t="shared" si="4"/>
        <v>Sun</v>
      </c>
      <c r="J95" s="1" t="s">
        <v>11</v>
      </c>
      <c r="K95" s="1" t="s">
        <v>29</v>
      </c>
      <c r="L95" s="1" t="s">
        <v>41</v>
      </c>
      <c r="M95" s="1" t="s">
        <v>40</v>
      </c>
      <c r="N95" s="1" t="s">
        <v>14</v>
      </c>
      <c r="O95" t="s">
        <v>15</v>
      </c>
    </row>
    <row r="96" spans="1:15" x14ac:dyDescent="0.25">
      <c r="A96" s="1" t="s">
        <v>175</v>
      </c>
      <c r="B96" s="1" t="s">
        <v>174</v>
      </c>
      <c r="C96" s="3">
        <v>45494.285416666666</v>
      </c>
      <c r="D96" s="4">
        <f t="shared" si="5"/>
        <v>45494</v>
      </c>
      <c r="E96" s="6">
        <v>4.5361111111075498</v>
      </c>
      <c r="F96" s="6" t="str" cm="1">
        <f t="array" ref="F96">_xlfn.IFS(
     AND(HOUR(session_data[[#This Row],[Time]])&gt;5,HOUR(session_data[[#This Row],[Time]])&lt;12),"Morning",
     AND(HOUR(session_data[[#This Row],[Time]])&gt;=12,HOUR(session_data[[#This Row],[Time]])&lt;17),"Afternoon",
     AND(HOUR(session_data[[#This Row],[Time]])&gt;=17,HOUR(session_data[[#This Row],[Time]])&lt;21),"Evening",
     TRUE,"Night"
)</f>
        <v>Afternoon</v>
      </c>
      <c r="G96" s="1">
        <f t="shared" si="6"/>
        <v>2024</v>
      </c>
      <c r="H96" s="1" t="str">
        <f t="shared" si="7"/>
        <v>Jul</v>
      </c>
      <c r="I96" s="1" t="str">
        <f t="shared" si="4"/>
        <v>Sun</v>
      </c>
      <c r="J96" s="1" t="s">
        <v>11</v>
      </c>
      <c r="K96" s="1" t="s">
        <v>29</v>
      </c>
      <c r="L96" s="1" t="s">
        <v>41</v>
      </c>
      <c r="M96" s="1" t="s">
        <v>40</v>
      </c>
      <c r="N96" s="1" t="s">
        <v>22</v>
      </c>
      <c r="O96" t="s">
        <v>15</v>
      </c>
    </row>
    <row r="97" spans="1:15" x14ac:dyDescent="0.25">
      <c r="A97" s="1" t="s">
        <v>176</v>
      </c>
      <c r="B97" s="1" t="s">
        <v>177</v>
      </c>
      <c r="C97" s="2">
        <v>45414.340277777781</v>
      </c>
      <c r="D97" s="4">
        <f t="shared" si="5"/>
        <v>45414</v>
      </c>
      <c r="E97" s="6">
        <v>4.5777777777742203</v>
      </c>
      <c r="F97" s="6" t="str" cm="1">
        <f t="array" ref="F97">_xlfn.IFS(
     AND(HOUR(session_data[[#This Row],[Time]])&gt;5,HOUR(session_data[[#This Row],[Time]])&lt;12),"Morning",
     AND(HOUR(session_data[[#This Row],[Time]])&gt;=12,HOUR(session_data[[#This Row],[Time]])&lt;17),"Afternoon",
     AND(HOUR(session_data[[#This Row],[Time]])&gt;=17,HOUR(session_data[[#This Row],[Time]])&lt;21),"Evening",
     TRUE,"Night"
)</f>
        <v>Afternoon</v>
      </c>
      <c r="G97" s="1">
        <f t="shared" si="6"/>
        <v>2024</v>
      </c>
      <c r="H97" s="1" t="str">
        <f t="shared" si="7"/>
        <v>May</v>
      </c>
      <c r="I97" s="1" t="str">
        <f t="shared" si="4"/>
        <v>Thu</v>
      </c>
      <c r="J97" s="1" t="s">
        <v>44</v>
      </c>
      <c r="K97" s="1" t="s">
        <v>12</v>
      </c>
      <c r="L97" s="1" t="s">
        <v>119</v>
      </c>
      <c r="M97" s="1" t="s">
        <v>40</v>
      </c>
      <c r="N97" s="1" t="s">
        <v>14</v>
      </c>
      <c r="O97" t="s">
        <v>45</v>
      </c>
    </row>
    <row r="98" spans="1:15" x14ac:dyDescent="0.25">
      <c r="A98" s="1" t="s">
        <v>178</v>
      </c>
      <c r="B98" s="1" t="s">
        <v>177</v>
      </c>
      <c r="C98" s="3">
        <v>45351.881944444445</v>
      </c>
      <c r="D98" s="4">
        <f t="shared" si="5"/>
        <v>45351</v>
      </c>
      <c r="E98" s="6">
        <v>4.61944444444089</v>
      </c>
      <c r="F98" s="6" t="str" cm="1">
        <f t="array" ref="F98">_xlfn.IFS(
     AND(HOUR(session_data[[#This Row],[Time]])&gt;5,HOUR(session_data[[#This Row],[Time]])&lt;12),"Morning",
     AND(HOUR(session_data[[#This Row],[Time]])&gt;=12,HOUR(session_data[[#This Row],[Time]])&lt;17),"Afternoon",
     AND(HOUR(session_data[[#This Row],[Time]])&gt;=17,HOUR(session_data[[#This Row],[Time]])&lt;21),"Evening",
     TRUE,"Night"
)</f>
        <v>Afternoon</v>
      </c>
      <c r="G98" s="1">
        <f t="shared" si="6"/>
        <v>2024</v>
      </c>
      <c r="H98" s="1" t="str">
        <f t="shared" si="7"/>
        <v>Feb</v>
      </c>
      <c r="I98" s="1" t="str">
        <f t="shared" si="4"/>
        <v>Thu</v>
      </c>
      <c r="J98" s="1" t="s">
        <v>44</v>
      </c>
      <c r="K98" s="1" t="s">
        <v>12</v>
      </c>
      <c r="L98" s="1" t="s">
        <v>119</v>
      </c>
      <c r="M98" s="1" t="s">
        <v>40</v>
      </c>
      <c r="N98" s="1" t="s">
        <v>22</v>
      </c>
      <c r="O98" t="s">
        <v>45</v>
      </c>
    </row>
    <row r="99" spans="1:15" x14ac:dyDescent="0.25">
      <c r="A99" s="1" t="s">
        <v>179</v>
      </c>
      <c r="B99" s="1" t="s">
        <v>180</v>
      </c>
      <c r="C99" s="3">
        <v>45408.223611111112</v>
      </c>
      <c r="D99" s="4">
        <f t="shared" si="5"/>
        <v>45408</v>
      </c>
      <c r="E99" s="6">
        <v>4.6611111111075498</v>
      </c>
      <c r="F99" s="6" t="str" cm="1">
        <f t="array" ref="F99">_xlfn.IFS(
     AND(HOUR(session_data[[#This Row],[Time]])&gt;5,HOUR(session_data[[#This Row],[Time]])&lt;12),"Morning",
     AND(HOUR(session_data[[#This Row],[Time]])&gt;=12,HOUR(session_data[[#This Row],[Time]])&lt;17),"Afternoon",
     AND(HOUR(session_data[[#This Row],[Time]])&gt;=17,HOUR(session_data[[#This Row],[Time]])&lt;21),"Evening",
     TRUE,"Night"
)</f>
        <v>Afternoon</v>
      </c>
      <c r="G99" s="1">
        <f t="shared" si="6"/>
        <v>2024</v>
      </c>
      <c r="H99" s="1" t="str">
        <f t="shared" si="7"/>
        <v>Apr</v>
      </c>
      <c r="I99" s="1" t="str">
        <f t="shared" si="4"/>
        <v>Fri</v>
      </c>
      <c r="J99" s="1" t="s">
        <v>18</v>
      </c>
      <c r="K99" s="1" t="s">
        <v>12</v>
      </c>
      <c r="L99" s="1" t="s">
        <v>119</v>
      </c>
      <c r="M99" s="1" t="s">
        <v>40</v>
      </c>
      <c r="N99" s="1" t="s">
        <v>14</v>
      </c>
      <c r="O99" t="s">
        <v>45</v>
      </c>
    </row>
    <row r="100" spans="1:15" x14ac:dyDescent="0.25">
      <c r="A100" s="1" t="s">
        <v>181</v>
      </c>
      <c r="B100" s="1" t="s">
        <v>182</v>
      </c>
      <c r="C100" s="2">
        <v>45446.097222222219</v>
      </c>
      <c r="D100" s="4">
        <f t="shared" si="5"/>
        <v>45446</v>
      </c>
      <c r="E100" s="6">
        <v>4.7027777777742203</v>
      </c>
      <c r="F100" s="6" t="str" cm="1">
        <f t="array" ref="F100">_xlfn.IFS(
     AND(HOUR(session_data[[#This Row],[Time]])&gt;5,HOUR(session_data[[#This Row],[Time]])&lt;12),"Morning",
     AND(HOUR(session_data[[#This Row],[Time]])&gt;=12,HOUR(session_data[[#This Row],[Time]])&lt;17),"Afternoon",
     AND(HOUR(session_data[[#This Row],[Time]])&gt;=17,HOUR(session_data[[#This Row],[Time]])&lt;21),"Evening",
     TRUE,"Night"
)</f>
        <v>Afternoon</v>
      </c>
      <c r="G100" s="1">
        <f t="shared" si="6"/>
        <v>2024</v>
      </c>
      <c r="H100" s="1" t="str">
        <f t="shared" si="7"/>
        <v>Jun</v>
      </c>
      <c r="I100" s="1" t="str">
        <f t="shared" si="4"/>
        <v>Mon</v>
      </c>
      <c r="J100" s="1" t="s">
        <v>18</v>
      </c>
      <c r="K100" s="1" t="s">
        <v>29</v>
      </c>
      <c r="L100" s="1" t="s">
        <v>79</v>
      </c>
      <c r="M100" s="1" t="s">
        <v>40</v>
      </c>
      <c r="N100" s="1" t="s">
        <v>14</v>
      </c>
      <c r="O100" t="s">
        <v>15</v>
      </c>
    </row>
    <row r="101" spans="1:15" x14ac:dyDescent="0.25">
      <c r="A101" s="1" t="s">
        <v>183</v>
      </c>
      <c r="B101" s="1" t="s">
        <v>182</v>
      </c>
      <c r="C101" s="2">
        <v>45416.555555555555</v>
      </c>
      <c r="D101" s="4">
        <f t="shared" si="5"/>
        <v>45416</v>
      </c>
      <c r="E101" s="6">
        <v>4.74444444444089</v>
      </c>
      <c r="F101" s="6" t="str" cm="1">
        <f t="array" ref="F101">_xlfn.IFS(
     AND(HOUR(session_data[[#This Row],[Time]])&gt;5,HOUR(session_data[[#This Row],[Time]])&lt;12),"Morning",
     AND(HOUR(session_data[[#This Row],[Time]])&gt;=12,HOUR(session_data[[#This Row],[Time]])&lt;17),"Afternoon",
     AND(HOUR(session_data[[#This Row],[Time]])&gt;=17,HOUR(session_data[[#This Row],[Time]])&lt;21),"Evening",
     TRUE,"Night"
)</f>
        <v>Evening</v>
      </c>
      <c r="G101" s="1">
        <f t="shared" si="6"/>
        <v>2024</v>
      </c>
      <c r="H101" s="1" t="str">
        <f t="shared" si="7"/>
        <v>May</v>
      </c>
      <c r="I101" s="1" t="str">
        <f t="shared" si="4"/>
        <v>Sat</v>
      </c>
      <c r="J101" s="1" t="s">
        <v>18</v>
      </c>
      <c r="K101" s="1" t="s">
        <v>29</v>
      </c>
      <c r="L101" s="1" t="s">
        <v>79</v>
      </c>
      <c r="M101" s="1" t="s">
        <v>40</v>
      </c>
      <c r="N101" s="1" t="s">
        <v>22</v>
      </c>
      <c r="O101" t="s">
        <v>15</v>
      </c>
    </row>
    <row r="102" spans="1:15" x14ac:dyDescent="0.25">
      <c r="A102" s="1" t="s">
        <v>184</v>
      </c>
      <c r="B102" s="1" t="s">
        <v>182</v>
      </c>
      <c r="C102" s="3">
        <v>45396.097222222219</v>
      </c>
      <c r="D102" s="4">
        <f t="shared" si="5"/>
        <v>45396</v>
      </c>
      <c r="E102" s="6">
        <v>4.7861111111075498</v>
      </c>
      <c r="F102" s="6" t="str" cm="1">
        <f t="array" ref="F102">_xlfn.IFS(
     AND(HOUR(session_data[[#This Row],[Time]])&gt;5,HOUR(session_data[[#This Row],[Time]])&lt;12),"Morning",
     AND(HOUR(session_data[[#This Row],[Time]])&gt;=12,HOUR(session_data[[#This Row],[Time]])&lt;17),"Afternoon",
     AND(HOUR(session_data[[#This Row],[Time]])&gt;=17,HOUR(session_data[[#This Row],[Time]])&lt;21),"Evening",
     TRUE,"Night"
)</f>
        <v>Evening</v>
      </c>
      <c r="G102" s="1">
        <f t="shared" si="6"/>
        <v>2024</v>
      </c>
      <c r="H102" s="1" t="str">
        <f t="shared" si="7"/>
        <v>Apr</v>
      </c>
      <c r="I102" s="1" t="str">
        <f t="shared" si="4"/>
        <v>Sun</v>
      </c>
      <c r="J102" s="1" t="s">
        <v>18</v>
      </c>
      <c r="K102" s="1" t="s">
        <v>29</v>
      </c>
      <c r="L102" s="1" t="s">
        <v>79</v>
      </c>
      <c r="M102" s="1" t="s">
        <v>40</v>
      </c>
      <c r="N102" s="1" t="s">
        <v>22</v>
      </c>
      <c r="O102" t="s">
        <v>15</v>
      </c>
    </row>
    <row r="103" spans="1:15" x14ac:dyDescent="0.25">
      <c r="A103" s="1" t="s">
        <v>185</v>
      </c>
      <c r="B103" s="1" t="s">
        <v>182</v>
      </c>
      <c r="C103" s="3">
        <v>45408.013888888891</v>
      </c>
      <c r="D103" s="4">
        <f t="shared" si="5"/>
        <v>45408</v>
      </c>
      <c r="E103" s="6">
        <v>4.8277777777742203</v>
      </c>
      <c r="F103" s="6" t="str" cm="1">
        <f t="array" ref="F103">_xlfn.IFS(
     AND(HOUR(session_data[[#This Row],[Time]])&gt;5,HOUR(session_data[[#This Row],[Time]])&lt;12),"Morning",
     AND(HOUR(session_data[[#This Row],[Time]])&gt;=12,HOUR(session_data[[#This Row],[Time]])&lt;17),"Afternoon",
     AND(HOUR(session_data[[#This Row],[Time]])&gt;=17,HOUR(session_data[[#This Row],[Time]])&lt;21),"Evening",
     TRUE,"Night"
)</f>
        <v>Evening</v>
      </c>
      <c r="G103" s="1">
        <f t="shared" si="6"/>
        <v>2024</v>
      </c>
      <c r="H103" s="1" t="str">
        <f t="shared" si="7"/>
        <v>Apr</v>
      </c>
      <c r="I103" s="1" t="str">
        <f t="shared" si="4"/>
        <v>Fri</v>
      </c>
      <c r="J103" s="1" t="s">
        <v>18</v>
      </c>
      <c r="K103" s="1" t="s">
        <v>29</v>
      </c>
      <c r="L103" s="1" t="s">
        <v>79</v>
      </c>
      <c r="M103" s="1" t="s">
        <v>40</v>
      </c>
      <c r="N103" s="1" t="s">
        <v>22</v>
      </c>
      <c r="O103" t="s">
        <v>15</v>
      </c>
    </row>
    <row r="104" spans="1:15" x14ac:dyDescent="0.25">
      <c r="A104" s="1" t="s">
        <v>186</v>
      </c>
      <c r="B104" s="1" t="s">
        <v>182</v>
      </c>
      <c r="C104" s="3">
        <v>45442.138888888891</v>
      </c>
      <c r="D104" s="4">
        <f t="shared" si="5"/>
        <v>45442</v>
      </c>
      <c r="E104" s="6">
        <v>4.86944444444089</v>
      </c>
      <c r="F104" s="6" t="str" cm="1">
        <f t="array" ref="F104">_xlfn.IFS(
     AND(HOUR(session_data[[#This Row],[Time]])&gt;5,HOUR(session_data[[#This Row],[Time]])&lt;12),"Morning",
     AND(HOUR(session_data[[#This Row],[Time]])&gt;=12,HOUR(session_data[[#This Row],[Time]])&lt;17),"Afternoon",
     AND(HOUR(session_data[[#This Row],[Time]])&gt;=17,HOUR(session_data[[#This Row],[Time]])&lt;21),"Evening",
     TRUE,"Night"
)</f>
        <v>Evening</v>
      </c>
      <c r="G104" s="1">
        <f t="shared" si="6"/>
        <v>2024</v>
      </c>
      <c r="H104" s="1" t="str">
        <f t="shared" si="7"/>
        <v>May</v>
      </c>
      <c r="I104" s="1" t="str">
        <f t="shared" si="4"/>
        <v>Thu</v>
      </c>
      <c r="J104" s="1" t="s">
        <v>18</v>
      </c>
      <c r="K104" s="1" t="s">
        <v>29</v>
      </c>
      <c r="L104" s="1" t="s">
        <v>79</v>
      </c>
      <c r="M104" s="1" t="s">
        <v>40</v>
      </c>
      <c r="N104" s="1" t="s">
        <v>22</v>
      </c>
      <c r="O104" t="s">
        <v>15</v>
      </c>
    </row>
    <row r="105" spans="1:15" x14ac:dyDescent="0.25">
      <c r="A105" s="1" t="s">
        <v>187</v>
      </c>
      <c r="B105" s="1" t="s">
        <v>188</v>
      </c>
      <c r="C105" s="3">
        <v>45346.255555555559</v>
      </c>
      <c r="D105" s="4">
        <f t="shared" si="5"/>
        <v>45346</v>
      </c>
      <c r="E105" s="6">
        <v>4.9111111111075498</v>
      </c>
      <c r="F105" s="6" t="str" cm="1">
        <f t="array" ref="F105">_xlfn.IFS(
     AND(HOUR(session_data[[#This Row],[Time]])&gt;5,HOUR(session_data[[#This Row],[Time]])&lt;12),"Morning",
     AND(HOUR(session_data[[#This Row],[Time]])&gt;=12,HOUR(session_data[[#This Row],[Time]])&lt;17),"Afternoon",
     AND(HOUR(session_data[[#This Row],[Time]])&gt;=17,HOUR(session_data[[#This Row],[Time]])&lt;21),"Evening",
     TRUE,"Night"
)</f>
        <v>Night</v>
      </c>
      <c r="G105" s="1">
        <f t="shared" si="6"/>
        <v>2024</v>
      </c>
      <c r="H105" s="1" t="str">
        <f t="shared" si="7"/>
        <v>Feb</v>
      </c>
      <c r="I105" s="1" t="str">
        <f t="shared" si="4"/>
        <v>Sat</v>
      </c>
      <c r="J105" s="1" t="s">
        <v>11</v>
      </c>
      <c r="K105" s="1" t="s">
        <v>12</v>
      </c>
      <c r="L105" s="1" t="s">
        <v>20</v>
      </c>
      <c r="M105" s="1" t="s">
        <v>19</v>
      </c>
      <c r="N105" s="1" t="s">
        <v>14</v>
      </c>
      <c r="O105" t="s">
        <v>45</v>
      </c>
    </row>
    <row r="106" spans="1:15" x14ac:dyDescent="0.25">
      <c r="A106" s="1" t="s">
        <v>189</v>
      </c>
      <c r="B106" s="1" t="s">
        <v>188</v>
      </c>
      <c r="C106" s="2">
        <v>45416.880555555559</v>
      </c>
      <c r="D106" s="4">
        <f t="shared" si="5"/>
        <v>45416</v>
      </c>
      <c r="E106" s="6">
        <v>4.9527777777742203</v>
      </c>
      <c r="F106" s="6" t="str" cm="1">
        <f t="array" ref="F106">_xlfn.IFS(
     AND(HOUR(session_data[[#This Row],[Time]])&gt;5,HOUR(session_data[[#This Row],[Time]])&lt;12),"Morning",
     AND(HOUR(session_data[[#This Row],[Time]])&gt;=12,HOUR(session_data[[#This Row],[Time]])&lt;17),"Afternoon",
     AND(HOUR(session_data[[#This Row],[Time]])&gt;=17,HOUR(session_data[[#This Row],[Time]])&lt;21),"Evening",
     TRUE,"Night"
)</f>
        <v>Night</v>
      </c>
      <c r="G106" s="1">
        <f t="shared" si="6"/>
        <v>2024</v>
      </c>
      <c r="H106" s="1" t="str">
        <f t="shared" si="7"/>
        <v>May</v>
      </c>
      <c r="I106" s="1" t="str">
        <f t="shared" si="4"/>
        <v>Sat</v>
      </c>
      <c r="J106" s="1" t="s">
        <v>11</v>
      </c>
      <c r="K106" s="1" t="s">
        <v>12</v>
      </c>
      <c r="L106" s="1" t="s">
        <v>20</v>
      </c>
      <c r="M106" s="1" t="s">
        <v>19</v>
      </c>
      <c r="N106" s="1" t="s">
        <v>22</v>
      </c>
      <c r="O106" t="s">
        <v>45</v>
      </c>
    </row>
    <row r="107" spans="1:15" x14ac:dyDescent="0.25">
      <c r="A107" s="1" t="s">
        <v>190</v>
      </c>
      <c r="B107" s="1" t="s">
        <v>188</v>
      </c>
      <c r="C107" s="3">
        <v>45402.463888888888</v>
      </c>
      <c r="D107" s="4">
        <f t="shared" si="5"/>
        <v>45402</v>
      </c>
      <c r="E107" s="6">
        <v>4.99444444444089</v>
      </c>
      <c r="F107" s="6" t="str" cm="1">
        <f t="array" ref="F107">_xlfn.IFS(
     AND(HOUR(session_data[[#This Row],[Time]])&gt;5,HOUR(session_data[[#This Row],[Time]])&lt;12),"Morning",
     AND(HOUR(session_data[[#This Row],[Time]])&gt;=12,HOUR(session_data[[#This Row],[Time]])&lt;17),"Afternoon",
     AND(HOUR(session_data[[#This Row],[Time]])&gt;=17,HOUR(session_data[[#This Row],[Time]])&lt;21),"Evening",
     TRUE,"Night"
)</f>
        <v>Night</v>
      </c>
      <c r="G107" s="1">
        <f t="shared" si="6"/>
        <v>2024</v>
      </c>
      <c r="H107" s="1" t="str">
        <f t="shared" si="7"/>
        <v>Apr</v>
      </c>
      <c r="I107" s="1" t="str">
        <f t="shared" si="4"/>
        <v>Sat</v>
      </c>
      <c r="J107" s="1" t="s">
        <v>11</v>
      </c>
      <c r="K107" s="1" t="s">
        <v>12</v>
      </c>
      <c r="L107" s="1" t="s">
        <v>20</v>
      </c>
      <c r="M107" s="1" t="s">
        <v>19</v>
      </c>
      <c r="N107" s="1" t="s">
        <v>22</v>
      </c>
      <c r="O107" t="s">
        <v>45</v>
      </c>
    </row>
    <row r="108" spans="1:15" x14ac:dyDescent="0.25">
      <c r="A108" s="1" t="s">
        <v>191</v>
      </c>
      <c r="B108" s="1" t="s">
        <v>192</v>
      </c>
      <c r="C108" s="3">
        <v>45442.936805555553</v>
      </c>
      <c r="D108" s="4">
        <f t="shared" si="5"/>
        <v>45442</v>
      </c>
      <c r="E108" s="6">
        <v>5.0361111111075498</v>
      </c>
      <c r="F108" s="6" t="str" cm="1">
        <f t="array" ref="F108">_xlfn.IFS(
     AND(HOUR(session_data[[#This Row],[Time]])&gt;5,HOUR(session_data[[#This Row],[Time]])&lt;12),"Morning",
     AND(HOUR(session_data[[#This Row],[Time]])&gt;=12,HOUR(session_data[[#This Row],[Time]])&lt;17),"Afternoon",
     AND(HOUR(session_data[[#This Row],[Time]])&gt;=17,HOUR(session_data[[#This Row],[Time]])&lt;21),"Evening",
     TRUE,"Night"
)</f>
        <v>Night</v>
      </c>
      <c r="G108" s="1">
        <f t="shared" si="6"/>
        <v>2024</v>
      </c>
      <c r="H108" s="1" t="str">
        <f t="shared" si="7"/>
        <v>May</v>
      </c>
      <c r="I108" s="1" t="str">
        <f t="shared" si="4"/>
        <v>Thu</v>
      </c>
      <c r="J108" s="1" t="s">
        <v>44</v>
      </c>
      <c r="K108" s="1" t="s">
        <v>12</v>
      </c>
      <c r="L108" s="1" t="s">
        <v>119</v>
      </c>
      <c r="M108" s="1" t="s">
        <v>40</v>
      </c>
      <c r="N108" s="1" t="s">
        <v>14</v>
      </c>
      <c r="O108" t="s">
        <v>15</v>
      </c>
    </row>
    <row r="109" spans="1:15" x14ac:dyDescent="0.25">
      <c r="A109" s="1" t="s">
        <v>193</v>
      </c>
      <c r="B109" s="1" t="s">
        <v>192</v>
      </c>
      <c r="C109" s="2">
        <v>45602.103472222225</v>
      </c>
      <c r="D109" s="4">
        <f t="shared" si="5"/>
        <v>45602</v>
      </c>
      <c r="E109" s="6">
        <v>5.0777777777742203</v>
      </c>
      <c r="F109" s="6" t="str" cm="1">
        <f t="array" ref="F109">_xlfn.IFS(
     AND(HOUR(session_data[[#This Row],[Time]])&gt;5,HOUR(session_data[[#This Row],[Time]])&lt;12),"Morning",
     AND(HOUR(session_data[[#This Row],[Time]])&gt;=12,HOUR(session_data[[#This Row],[Time]])&lt;17),"Afternoon",
     AND(HOUR(session_data[[#This Row],[Time]])&gt;=17,HOUR(session_data[[#This Row],[Time]])&lt;21),"Evening",
     TRUE,"Night"
)</f>
        <v>Night</v>
      </c>
      <c r="G109" s="1">
        <f t="shared" si="6"/>
        <v>2024</v>
      </c>
      <c r="H109" s="1" t="str">
        <f t="shared" si="7"/>
        <v>Nov</v>
      </c>
      <c r="I109" s="1" t="str">
        <f t="shared" si="4"/>
        <v>Wed</v>
      </c>
      <c r="J109" s="1" t="s">
        <v>44</v>
      </c>
      <c r="K109" s="1" t="s">
        <v>12</v>
      </c>
      <c r="L109" s="1" t="s">
        <v>119</v>
      </c>
      <c r="M109" s="1" t="s">
        <v>40</v>
      </c>
      <c r="N109" s="1" t="s">
        <v>22</v>
      </c>
      <c r="O109" t="s">
        <v>15</v>
      </c>
    </row>
    <row r="110" spans="1:15" x14ac:dyDescent="0.25">
      <c r="A110" s="1" t="s">
        <v>194</v>
      </c>
      <c r="B110" s="1" t="s">
        <v>192</v>
      </c>
      <c r="C110" s="3">
        <v>45466.895138888889</v>
      </c>
      <c r="D110" s="4">
        <f t="shared" si="5"/>
        <v>45466</v>
      </c>
      <c r="E110" s="6">
        <v>5.11944444444089</v>
      </c>
      <c r="F110" s="6" t="str" cm="1">
        <f t="array" ref="F110">_xlfn.IFS(
     AND(HOUR(session_data[[#This Row],[Time]])&gt;5,HOUR(session_data[[#This Row],[Time]])&lt;12),"Morning",
     AND(HOUR(session_data[[#This Row],[Time]])&gt;=12,HOUR(session_data[[#This Row],[Time]])&lt;17),"Afternoon",
     AND(HOUR(session_data[[#This Row],[Time]])&gt;=17,HOUR(session_data[[#This Row],[Time]])&lt;21),"Evening",
     TRUE,"Night"
)</f>
        <v>Night</v>
      </c>
      <c r="G110" s="1">
        <f t="shared" si="6"/>
        <v>2024</v>
      </c>
      <c r="H110" s="1" t="str">
        <f t="shared" si="7"/>
        <v>Jun</v>
      </c>
      <c r="I110" s="1" t="str">
        <f t="shared" si="4"/>
        <v>Sun</v>
      </c>
      <c r="J110" s="1" t="s">
        <v>44</v>
      </c>
      <c r="K110" s="1" t="s">
        <v>12</v>
      </c>
      <c r="L110" s="1" t="s">
        <v>119</v>
      </c>
      <c r="M110" s="1" t="s">
        <v>40</v>
      </c>
      <c r="N110" s="1" t="s">
        <v>22</v>
      </c>
      <c r="O110" t="s">
        <v>15</v>
      </c>
    </row>
    <row r="111" spans="1:15" x14ac:dyDescent="0.25">
      <c r="A111" s="1" t="s">
        <v>195</v>
      </c>
      <c r="B111" s="1" t="s">
        <v>192</v>
      </c>
      <c r="C111" s="3">
        <v>45503.811805555553</v>
      </c>
      <c r="D111" s="4">
        <f t="shared" si="5"/>
        <v>45503</v>
      </c>
      <c r="E111" s="6">
        <v>5.1611111111075498</v>
      </c>
      <c r="F111" s="6" t="str" cm="1">
        <f t="array" ref="F111">_xlfn.IFS(
     AND(HOUR(session_data[[#This Row],[Time]])&gt;5,HOUR(session_data[[#This Row],[Time]])&lt;12),"Morning",
     AND(HOUR(session_data[[#This Row],[Time]])&gt;=12,HOUR(session_data[[#This Row],[Time]])&lt;17),"Afternoon",
     AND(HOUR(session_data[[#This Row],[Time]])&gt;=17,HOUR(session_data[[#This Row],[Time]])&lt;21),"Evening",
     TRUE,"Night"
)</f>
        <v>Night</v>
      </c>
      <c r="G111" s="1">
        <f t="shared" si="6"/>
        <v>2024</v>
      </c>
      <c r="H111" s="1" t="str">
        <f t="shared" si="7"/>
        <v>Jul</v>
      </c>
      <c r="I111" s="1" t="str">
        <f t="shared" si="4"/>
        <v>Tue</v>
      </c>
      <c r="J111" s="1" t="s">
        <v>44</v>
      </c>
      <c r="K111" s="1" t="s">
        <v>12</v>
      </c>
      <c r="L111" s="1" t="s">
        <v>119</v>
      </c>
      <c r="M111" s="1" t="s">
        <v>40</v>
      </c>
      <c r="N111" s="1" t="s">
        <v>22</v>
      </c>
      <c r="O111" t="s">
        <v>15</v>
      </c>
    </row>
    <row r="112" spans="1:15" x14ac:dyDescent="0.25">
      <c r="A112" s="1" t="s">
        <v>196</v>
      </c>
      <c r="B112" s="1" t="s">
        <v>197</v>
      </c>
      <c r="C112" s="2">
        <v>45633.05</v>
      </c>
      <c r="D112" s="4">
        <f t="shared" si="5"/>
        <v>45633</v>
      </c>
      <c r="E112" s="6">
        <v>5.2027777777742203</v>
      </c>
      <c r="F112" s="6" t="str" cm="1">
        <f t="array" ref="F112">_xlfn.IFS(
     AND(HOUR(session_data[[#This Row],[Time]])&gt;5,HOUR(session_data[[#This Row],[Time]])&lt;12),"Morning",
     AND(HOUR(session_data[[#This Row],[Time]])&gt;=12,HOUR(session_data[[#This Row],[Time]])&lt;17),"Afternoon",
     AND(HOUR(session_data[[#This Row],[Time]])&gt;=17,HOUR(session_data[[#This Row],[Time]])&lt;21),"Evening",
     TRUE,"Night"
)</f>
        <v>Night</v>
      </c>
      <c r="G112" s="1">
        <f t="shared" si="6"/>
        <v>2024</v>
      </c>
      <c r="H112" s="1" t="str">
        <f t="shared" si="7"/>
        <v>Dec</v>
      </c>
      <c r="I112" s="1" t="str">
        <f t="shared" si="4"/>
        <v>Sat</v>
      </c>
      <c r="J112" s="1" t="s">
        <v>11</v>
      </c>
      <c r="K112" s="1" t="s">
        <v>12</v>
      </c>
      <c r="L112" s="1" t="s">
        <v>79</v>
      </c>
      <c r="M112" s="1" t="s">
        <v>40</v>
      </c>
      <c r="N112" s="1" t="s">
        <v>14</v>
      </c>
      <c r="O112" t="s">
        <v>45</v>
      </c>
    </row>
    <row r="113" spans="1:15" x14ac:dyDescent="0.25">
      <c r="A113" s="1" t="s">
        <v>198</v>
      </c>
      <c r="B113" s="1" t="s">
        <v>197</v>
      </c>
      <c r="C113" s="3">
        <v>45494.091666666667</v>
      </c>
      <c r="D113" s="4">
        <f t="shared" si="5"/>
        <v>45494</v>
      </c>
      <c r="E113" s="6">
        <v>5.24444444444089</v>
      </c>
      <c r="F113" s="6" t="str" cm="1">
        <f t="array" ref="F113">_xlfn.IFS(
     AND(HOUR(session_data[[#This Row],[Time]])&gt;5,HOUR(session_data[[#This Row],[Time]])&lt;12),"Morning",
     AND(HOUR(session_data[[#This Row],[Time]])&gt;=12,HOUR(session_data[[#This Row],[Time]])&lt;17),"Afternoon",
     AND(HOUR(session_data[[#This Row],[Time]])&gt;=17,HOUR(session_data[[#This Row],[Time]])&lt;21),"Evening",
     TRUE,"Night"
)</f>
        <v>Night</v>
      </c>
      <c r="G113" s="1">
        <f t="shared" si="6"/>
        <v>2024</v>
      </c>
      <c r="H113" s="1" t="str">
        <f t="shared" si="7"/>
        <v>Jul</v>
      </c>
      <c r="I113" s="1" t="str">
        <f t="shared" si="4"/>
        <v>Sun</v>
      </c>
      <c r="J113" s="1" t="s">
        <v>11</v>
      </c>
      <c r="K113" s="1" t="s">
        <v>12</v>
      </c>
      <c r="L113" s="1" t="s">
        <v>79</v>
      </c>
      <c r="M113" s="1" t="s">
        <v>40</v>
      </c>
      <c r="N113" s="1" t="s">
        <v>22</v>
      </c>
      <c r="O113" t="s">
        <v>45</v>
      </c>
    </row>
    <row r="114" spans="1:15" x14ac:dyDescent="0.25">
      <c r="A114" s="1" t="s">
        <v>199</v>
      </c>
      <c r="B114" s="1" t="s">
        <v>197</v>
      </c>
      <c r="C114" s="3">
        <v>45527.091666666667</v>
      </c>
      <c r="D114" s="4">
        <f t="shared" si="5"/>
        <v>45527</v>
      </c>
      <c r="E114" s="6">
        <v>5.2861111111075498</v>
      </c>
      <c r="F114" s="6" t="str" cm="1">
        <f t="array" ref="F114">_xlfn.IFS(
     AND(HOUR(session_data[[#This Row],[Time]])&gt;5,HOUR(session_data[[#This Row],[Time]])&lt;12),"Morning",
     AND(HOUR(session_data[[#This Row],[Time]])&gt;=12,HOUR(session_data[[#This Row],[Time]])&lt;17),"Afternoon",
     AND(HOUR(session_data[[#This Row],[Time]])&gt;=17,HOUR(session_data[[#This Row],[Time]])&lt;21),"Evening",
     TRUE,"Night"
)</f>
        <v>Morning</v>
      </c>
      <c r="G114" s="1">
        <f t="shared" si="6"/>
        <v>2024</v>
      </c>
      <c r="H114" s="1" t="str">
        <f t="shared" si="7"/>
        <v>Aug</v>
      </c>
      <c r="I114" s="1" t="str">
        <f t="shared" si="4"/>
        <v>Fri</v>
      </c>
      <c r="J114" s="1" t="s">
        <v>11</v>
      </c>
      <c r="K114" s="1" t="s">
        <v>12</v>
      </c>
      <c r="L114" s="1" t="s">
        <v>79</v>
      </c>
      <c r="M114" s="1" t="s">
        <v>40</v>
      </c>
      <c r="N114" s="1" t="s">
        <v>22</v>
      </c>
      <c r="O114" t="s">
        <v>45</v>
      </c>
    </row>
    <row r="115" spans="1:15" x14ac:dyDescent="0.25">
      <c r="A115" s="1" t="s">
        <v>200</v>
      </c>
      <c r="B115" s="1" t="s">
        <v>197</v>
      </c>
      <c r="C115" s="3">
        <v>45552.383333333331</v>
      </c>
      <c r="D115" s="4">
        <f t="shared" si="5"/>
        <v>45552</v>
      </c>
      <c r="E115" s="6">
        <v>5.3277777777742203</v>
      </c>
      <c r="F115" s="6" t="str" cm="1">
        <f t="array" ref="F115">_xlfn.IFS(
     AND(HOUR(session_data[[#This Row],[Time]])&gt;5,HOUR(session_data[[#This Row],[Time]])&lt;12),"Morning",
     AND(HOUR(session_data[[#This Row],[Time]])&gt;=12,HOUR(session_data[[#This Row],[Time]])&lt;17),"Afternoon",
     AND(HOUR(session_data[[#This Row],[Time]])&gt;=17,HOUR(session_data[[#This Row],[Time]])&lt;21),"Evening",
     TRUE,"Night"
)</f>
        <v>Morning</v>
      </c>
      <c r="G115" s="1">
        <f t="shared" si="6"/>
        <v>2024</v>
      </c>
      <c r="H115" s="1" t="str">
        <f t="shared" si="7"/>
        <v>Sep</v>
      </c>
      <c r="I115" s="1" t="str">
        <f t="shared" si="4"/>
        <v>Tue</v>
      </c>
      <c r="J115" s="1" t="s">
        <v>11</v>
      </c>
      <c r="K115" s="1" t="s">
        <v>12</v>
      </c>
      <c r="L115" s="1" t="s">
        <v>79</v>
      </c>
      <c r="M115" s="1" t="s">
        <v>40</v>
      </c>
      <c r="N115" s="1" t="s">
        <v>22</v>
      </c>
      <c r="O115" t="s">
        <v>45</v>
      </c>
    </row>
    <row r="116" spans="1:15" x14ac:dyDescent="0.25">
      <c r="A116" s="1" t="s">
        <v>201</v>
      </c>
      <c r="B116" s="1" t="s">
        <v>202</v>
      </c>
      <c r="C116" s="3">
        <v>45322.834722222222</v>
      </c>
      <c r="D116" s="4">
        <f t="shared" si="5"/>
        <v>45322</v>
      </c>
      <c r="E116" s="6">
        <v>5.36944444444089</v>
      </c>
      <c r="F116" s="6" t="str" cm="1">
        <f t="array" ref="F116">_xlfn.IFS(
     AND(HOUR(session_data[[#This Row],[Time]])&gt;5,HOUR(session_data[[#This Row],[Time]])&lt;12),"Morning",
     AND(HOUR(session_data[[#This Row],[Time]])&gt;=12,HOUR(session_data[[#This Row],[Time]])&lt;17),"Afternoon",
     AND(HOUR(session_data[[#This Row],[Time]])&gt;=17,HOUR(session_data[[#This Row],[Time]])&lt;21),"Evening",
     TRUE,"Night"
)</f>
        <v>Morning</v>
      </c>
      <c r="G116" s="1">
        <f t="shared" si="6"/>
        <v>2024</v>
      </c>
      <c r="H116" s="1" t="str">
        <f t="shared" si="7"/>
        <v>Jan</v>
      </c>
      <c r="I116" s="1" t="str">
        <f t="shared" si="4"/>
        <v>Wed</v>
      </c>
      <c r="J116" s="1" t="s">
        <v>18</v>
      </c>
      <c r="K116" s="1" t="s">
        <v>12</v>
      </c>
      <c r="L116" s="1" t="s">
        <v>41</v>
      </c>
      <c r="M116" s="1" t="s">
        <v>40</v>
      </c>
      <c r="N116" s="1" t="s">
        <v>14</v>
      </c>
      <c r="O116" t="s">
        <v>45</v>
      </c>
    </row>
    <row r="117" spans="1:15" x14ac:dyDescent="0.25">
      <c r="A117" s="1" t="s">
        <v>203</v>
      </c>
      <c r="B117" s="1" t="s">
        <v>202</v>
      </c>
      <c r="C117" s="2">
        <v>45537.626388888886</v>
      </c>
      <c r="D117" s="4">
        <f t="shared" si="5"/>
        <v>45537</v>
      </c>
      <c r="E117" s="6">
        <v>5.4111111111075498</v>
      </c>
      <c r="F117" s="6" t="str" cm="1">
        <f t="array" ref="F117">_xlfn.IFS(
     AND(HOUR(session_data[[#This Row],[Time]])&gt;5,HOUR(session_data[[#This Row],[Time]])&lt;12),"Morning",
     AND(HOUR(session_data[[#This Row],[Time]])&gt;=12,HOUR(session_data[[#This Row],[Time]])&lt;17),"Afternoon",
     AND(HOUR(session_data[[#This Row],[Time]])&gt;=17,HOUR(session_data[[#This Row],[Time]])&lt;21),"Evening",
     TRUE,"Night"
)</f>
        <v>Morning</v>
      </c>
      <c r="G117" s="1">
        <f t="shared" si="6"/>
        <v>2024</v>
      </c>
      <c r="H117" s="1" t="str">
        <f t="shared" si="7"/>
        <v>Sep</v>
      </c>
      <c r="I117" s="1" t="str">
        <f t="shared" si="4"/>
        <v>Mon</v>
      </c>
      <c r="J117" s="1" t="s">
        <v>18</v>
      </c>
      <c r="K117" s="1" t="s">
        <v>12</v>
      </c>
      <c r="L117" s="1" t="s">
        <v>41</v>
      </c>
      <c r="M117" s="1" t="s">
        <v>40</v>
      </c>
      <c r="N117" s="1" t="s">
        <v>22</v>
      </c>
      <c r="O117" t="s">
        <v>45</v>
      </c>
    </row>
    <row r="118" spans="1:15" x14ac:dyDescent="0.25">
      <c r="A118" s="1" t="s">
        <v>204</v>
      </c>
      <c r="B118" s="1" t="s">
        <v>205</v>
      </c>
      <c r="C118" s="3">
        <v>45304.24722222222</v>
      </c>
      <c r="D118" s="4">
        <f t="shared" si="5"/>
        <v>45304</v>
      </c>
      <c r="E118" s="6">
        <v>5.4527777777742203</v>
      </c>
      <c r="F118" s="6" t="str" cm="1">
        <f t="array" ref="F118">_xlfn.IFS(
     AND(HOUR(session_data[[#This Row],[Time]])&gt;5,HOUR(session_data[[#This Row],[Time]])&lt;12),"Morning",
     AND(HOUR(session_data[[#This Row],[Time]])&gt;=12,HOUR(session_data[[#This Row],[Time]])&lt;17),"Afternoon",
     AND(HOUR(session_data[[#This Row],[Time]])&gt;=17,HOUR(session_data[[#This Row],[Time]])&lt;21),"Evening",
     TRUE,"Night"
)</f>
        <v>Morning</v>
      </c>
      <c r="G118" s="1">
        <f t="shared" si="6"/>
        <v>2024</v>
      </c>
      <c r="H118" s="1" t="str">
        <f t="shared" si="7"/>
        <v>Jan</v>
      </c>
      <c r="I118" s="1" t="str">
        <f t="shared" si="4"/>
        <v>Sat</v>
      </c>
      <c r="J118" s="1" t="s">
        <v>18</v>
      </c>
      <c r="K118" s="1" t="s">
        <v>29</v>
      </c>
      <c r="L118" s="1" t="s">
        <v>41</v>
      </c>
      <c r="M118" s="1" t="s">
        <v>40</v>
      </c>
      <c r="N118" s="1" t="s">
        <v>14</v>
      </c>
      <c r="O118" t="s">
        <v>15</v>
      </c>
    </row>
    <row r="119" spans="1:15" x14ac:dyDescent="0.25">
      <c r="A119" s="1" t="s">
        <v>206</v>
      </c>
      <c r="B119" s="1" t="s">
        <v>205</v>
      </c>
      <c r="C119" s="3">
        <v>45337.330555555556</v>
      </c>
      <c r="D119" s="4">
        <f t="shared" si="5"/>
        <v>45337</v>
      </c>
      <c r="E119" s="6">
        <v>5.49444444444089</v>
      </c>
      <c r="F119" s="6" t="str" cm="1">
        <f t="array" ref="F119">_xlfn.IFS(
     AND(HOUR(session_data[[#This Row],[Time]])&gt;5,HOUR(session_data[[#This Row],[Time]])&lt;12),"Morning",
     AND(HOUR(session_data[[#This Row],[Time]])&gt;=12,HOUR(session_data[[#This Row],[Time]])&lt;17),"Afternoon",
     AND(HOUR(session_data[[#This Row],[Time]])&gt;=17,HOUR(session_data[[#This Row],[Time]])&lt;21),"Evening",
     TRUE,"Night"
)</f>
        <v>Morning</v>
      </c>
      <c r="G119" s="1">
        <f t="shared" si="6"/>
        <v>2024</v>
      </c>
      <c r="H119" s="1" t="str">
        <f t="shared" si="7"/>
        <v>Feb</v>
      </c>
      <c r="I119" s="1" t="str">
        <f t="shared" si="4"/>
        <v>Thu</v>
      </c>
      <c r="J119" s="1" t="s">
        <v>18</v>
      </c>
      <c r="K119" s="1" t="s">
        <v>29</v>
      </c>
      <c r="L119" s="1" t="s">
        <v>41</v>
      </c>
      <c r="M119" s="1" t="s">
        <v>40</v>
      </c>
      <c r="N119" s="1" t="s">
        <v>22</v>
      </c>
      <c r="O119" t="s">
        <v>15</v>
      </c>
    </row>
    <row r="120" spans="1:15" x14ac:dyDescent="0.25">
      <c r="A120" s="1" t="s">
        <v>207</v>
      </c>
      <c r="B120" s="1" t="s">
        <v>205</v>
      </c>
      <c r="C120" s="3">
        <v>45343.288888888892</v>
      </c>
      <c r="D120" s="4">
        <f t="shared" si="5"/>
        <v>45343</v>
      </c>
      <c r="E120" s="6">
        <v>5.5361111111075498</v>
      </c>
      <c r="F120" s="6" t="str" cm="1">
        <f t="array" ref="F120">_xlfn.IFS(
     AND(HOUR(session_data[[#This Row],[Time]])&gt;5,HOUR(session_data[[#This Row],[Time]])&lt;12),"Morning",
     AND(HOUR(session_data[[#This Row],[Time]])&gt;=12,HOUR(session_data[[#This Row],[Time]])&lt;17),"Afternoon",
     AND(HOUR(session_data[[#This Row],[Time]])&gt;=17,HOUR(session_data[[#This Row],[Time]])&lt;21),"Evening",
     TRUE,"Night"
)</f>
        <v>Afternoon</v>
      </c>
      <c r="G120" s="1">
        <f t="shared" si="6"/>
        <v>2024</v>
      </c>
      <c r="H120" s="1" t="str">
        <f t="shared" si="7"/>
        <v>Feb</v>
      </c>
      <c r="I120" s="1" t="str">
        <f t="shared" si="4"/>
        <v>Wed</v>
      </c>
      <c r="J120" s="1" t="s">
        <v>18</v>
      </c>
      <c r="K120" s="1" t="s">
        <v>29</v>
      </c>
      <c r="L120" s="1" t="s">
        <v>41</v>
      </c>
      <c r="M120" s="1" t="s">
        <v>40</v>
      </c>
      <c r="N120" s="1" t="s">
        <v>22</v>
      </c>
      <c r="O120" t="s">
        <v>15</v>
      </c>
    </row>
    <row r="121" spans="1:15" x14ac:dyDescent="0.25">
      <c r="A121" s="1" t="s">
        <v>208</v>
      </c>
      <c r="B121" s="1" t="s">
        <v>205</v>
      </c>
      <c r="C121" s="3">
        <v>45366.538888888892</v>
      </c>
      <c r="D121" s="4">
        <f t="shared" si="5"/>
        <v>45366</v>
      </c>
      <c r="E121" s="6">
        <v>5.5777777777742203</v>
      </c>
      <c r="F121" s="6" t="str" cm="1">
        <f t="array" ref="F121">_xlfn.IFS(
     AND(HOUR(session_data[[#This Row],[Time]])&gt;5,HOUR(session_data[[#This Row],[Time]])&lt;12),"Morning",
     AND(HOUR(session_data[[#This Row],[Time]])&gt;=12,HOUR(session_data[[#This Row],[Time]])&lt;17),"Afternoon",
     AND(HOUR(session_data[[#This Row],[Time]])&gt;=17,HOUR(session_data[[#This Row],[Time]])&lt;21),"Evening",
     TRUE,"Night"
)</f>
        <v>Afternoon</v>
      </c>
      <c r="G121" s="1">
        <f t="shared" si="6"/>
        <v>2024</v>
      </c>
      <c r="H121" s="1" t="str">
        <f t="shared" si="7"/>
        <v>Mar</v>
      </c>
      <c r="I121" s="1" t="str">
        <f t="shared" si="4"/>
        <v>Fri</v>
      </c>
      <c r="J121" s="1" t="s">
        <v>18</v>
      </c>
      <c r="K121" s="1" t="s">
        <v>29</v>
      </c>
      <c r="L121" s="1" t="s">
        <v>41</v>
      </c>
      <c r="M121" s="1" t="s">
        <v>40</v>
      </c>
      <c r="N121" s="1" t="s">
        <v>22</v>
      </c>
      <c r="O121" t="s">
        <v>15</v>
      </c>
    </row>
    <row r="122" spans="1:15" x14ac:dyDescent="0.25">
      <c r="A122" s="1" t="s">
        <v>209</v>
      </c>
      <c r="B122" s="1" t="s">
        <v>210</v>
      </c>
      <c r="C122" s="3">
        <v>45585.188888888886</v>
      </c>
      <c r="D122" s="4">
        <f t="shared" si="5"/>
        <v>45585</v>
      </c>
      <c r="E122" s="6">
        <v>5.61944444444089</v>
      </c>
      <c r="F122" s="6" t="str" cm="1">
        <f t="array" ref="F122">_xlfn.IFS(
     AND(HOUR(session_data[[#This Row],[Time]])&gt;5,HOUR(session_data[[#This Row],[Time]])&lt;12),"Morning",
     AND(HOUR(session_data[[#This Row],[Time]])&gt;=12,HOUR(session_data[[#This Row],[Time]])&lt;17),"Afternoon",
     AND(HOUR(session_data[[#This Row],[Time]])&gt;=17,HOUR(session_data[[#This Row],[Time]])&lt;21),"Evening",
     TRUE,"Night"
)</f>
        <v>Afternoon</v>
      </c>
      <c r="G122" s="1">
        <f t="shared" si="6"/>
        <v>2024</v>
      </c>
      <c r="H122" s="1" t="str">
        <f t="shared" si="7"/>
        <v>Oct</v>
      </c>
      <c r="I122" s="1" t="str">
        <f t="shared" si="4"/>
        <v>Sun</v>
      </c>
      <c r="J122" s="1" t="s">
        <v>18</v>
      </c>
      <c r="K122" s="1" t="s">
        <v>12</v>
      </c>
      <c r="L122" s="1" t="s">
        <v>79</v>
      </c>
      <c r="M122" s="1" t="s">
        <v>40</v>
      </c>
      <c r="N122" s="1" t="s">
        <v>14</v>
      </c>
      <c r="O122" t="s">
        <v>15</v>
      </c>
    </row>
    <row r="123" spans="1:15" x14ac:dyDescent="0.25">
      <c r="A123" s="1" t="s">
        <v>211</v>
      </c>
      <c r="B123" s="1" t="s">
        <v>212</v>
      </c>
      <c r="C123" s="2">
        <v>45353.199305555558</v>
      </c>
      <c r="D123" s="4">
        <f t="shared" si="5"/>
        <v>45353</v>
      </c>
      <c r="E123" s="6">
        <v>5.6611111111075498</v>
      </c>
      <c r="F123" s="6" t="str" cm="1">
        <f t="array" ref="F123">_xlfn.IFS(
     AND(HOUR(session_data[[#This Row],[Time]])&gt;5,HOUR(session_data[[#This Row],[Time]])&lt;12),"Morning",
     AND(HOUR(session_data[[#This Row],[Time]])&gt;=12,HOUR(session_data[[#This Row],[Time]])&lt;17),"Afternoon",
     AND(HOUR(session_data[[#This Row],[Time]])&gt;=17,HOUR(session_data[[#This Row],[Time]])&lt;21),"Evening",
     TRUE,"Night"
)</f>
        <v>Afternoon</v>
      </c>
      <c r="G123" s="1">
        <f t="shared" si="6"/>
        <v>2024</v>
      </c>
      <c r="H123" s="1" t="str">
        <f t="shared" si="7"/>
        <v>Mar</v>
      </c>
      <c r="I123" s="1" t="str">
        <f t="shared" si="4"/>
        <v>Sat</v>
      </c>
      <c r="J123" s="1" t="s">
        <v>66</v>
      </c>
      <c r="K123" s="1" t="s">
        <v>29</v>
      </c>
      <c r="L123" s="1" t="s">
        <v>119</v>
      </c>
      <c r="M123" s="1" t="s">
        <v>40</v>
      </c>
      <c r="N123" s="1" t="s">
        <v>14</v>
      </c>
      <c r="O123" t="s">
        <v>45</v>
      </c>
    </row>
    <row r="124" spans="1:15" x14ac:dyDescent="0.25">
      <c r="A124" s="1" t="s">
        <v>213</v>
      </c>
      <c r="B124" s="1" t="s">
        <v>214</v>
      </c>
      <c r="C124" s="3">
        <v>45372.537499999999</v>
      </c>
      <c r="D124" s="4">
        <f t="shared" si="5"/>
        <v>45372</v>
      </c>
      <c r="E124" s="6">
        <v>5.7027777777742203</v>
      </c>
      <c r="F124" s="6" t="str" cm="1">
        <f t="array" ref="F124">_xlfn.IFS(
     AND(HOUR(session_data[[#This Row],[Time]])&gt;5,HOUR(session_data[[#This Row],[Time]])&lt;12),"Morning",
     AND(HOUR(session_data[[#This Row],[Time]])&gt;=12,HOUR(session_data[[#This Row],[Time]])&lt;17),"Afternoon",
     AND(HOUR(session_data[[#This Row],[Time]])&gt;=17,HOUR(session_data[[#This Row],[Time]])&lt;21),"Evening",
     TRUE,"Night"
)</f>
        <v>Afternoon</v>
      </c>
      <c r="G124" s="1">
        <f t="shared" si="6"/>
        <v>2024</v>
      </c>
      <c r="H124" s="1" t="str">
        <f t="shared" si="7"/>
        <v>Mar</v>
      </c>
      <c r="I124" s="1" t="str">
        <f t="shared" si="4"/>
        <v>Thu</v>
      </c>
      <c r="J124" s="1" t="s">
        <v>18</v>
      </c>
      <c r="K124" s="1" t="s">
        <v>12</v>
      </c>
      <c r="L124" s="1" t="s">
        <v>79</v>
      </c>
      <c r="M124" s="1" t="s">
        <v>40</v>
      </c>
      <c r="N124" s="1" t="s">
        <v>14</v>
      </c>
      <c r="O124" t="s">
        <v>15</v>
      </c>
    </row>
    <row r="125" spans="1:15" x14ac:dyDescent="0.25">
      <c r="A125" s="1" t="s">
        <v>215</v>
      </c>
      <c r="B125" s="1" t="s">
        <v>216</v>
      </c>
      <c r="C125" s="3">
        <v>45457.068055555559</v>
      </c>
      <c r="D125" s="4">
        <f t="shared" si="5"/>
        <v>45457</v>
      </c>
      <c r="E125" s="6">
        <v>5.74444444444089</v>
      </c>
      <c r="F125" s="6" t="str" cm="1">
        <f t="array" ref="F125">_xlfn.IFS(
     AND(HOUR(session_data[[#This Row],[Time]])&gt;5,HOUR(session_data[[#This Row],[Time]])&lt;12),"Morning",
     AND(HOUR(session_data[[#This Row],[Time]])&gt;=12,HOUR(session_data[[#This Row],[Time]])&lt;17),"Afternoon",
     AND(HOUR(session_data[[#This Row],[Time]])&gt;=17,HOUR(session_data[[#This Row],[Time]])&lt;21),"Evening",
     TRUE,"Night"
)</f>
        <v>Evening</v>
      </c>
      <c r="G125" s="1">
        <f t="shared" si="6"/>
        <v>2024</v>
      </c>
      <c r="H125" s="1" t="str">
        <f t="shared" si="7"/>
        <v>Jun</v>
      </c>
      <c r="I125" s="1" t="str">
        <f t="shared" si="4"/>
        <v>Fri</v>
      </c>
      <c r="J125" s="1" t="s">
        <v>44</v>
      </c>
      <c r="K125" s="1" t="s">
        <v>12</v>
      </c>
      <c r="L125" s="1" t="s">
        <v>30</v>
      </c>
      <c r="M125" s="1" t="s">
        <v>32</v>
      </c>
      <c r="N125" s="1" t="s">
        <v>14</v>
      </c>
      <c r="O125" t="s">
        <v>45</v>
      </c>
    </row>
    <row r="126" spans="1:15" x14ac:dyDescent="0.25">
      <c r="A126" s="1" t="s">
        <v>217</v>
      </c>
      <c r="B126" s="1" t="s">
        <v>218</v>
      </c>
      <c r="C126" s="3">
        <v>45396.401388888888</v>
      </c>
      <c r="D126" s="4">
        <f t="shared" si="5"/>
        <v>45396</v>
      </c>
      <c r="E126" s="6">
        <v>5.7861111111075498</v>
      </c>
      <c r="F126" s="6" t="str" cm="1">
        <f t="array" ref="F126">_xlfn.IFS(
     AND(HOUR(session_data[[#This Row],[Time]])&gt;5,HOUR(session_data[[#This Row],[Time]])&lt;12),"Morning",
     AND(HOUR(session_data[[#This Row],[Time]])&gt;=12,HOUR(session_data[[#This Row],[Time]])&lt;17),"Afternoon",
     AND(HOUR(session_data[[#This Row],[Time]])&gt;=17,HOUR(session_data[[#This Row],[Time]])&lt;21),"Evening",
     TRUE,"Night"
)</f>
        <v>Evening</v>
      </c>
      <c r="G126" s="1">
        <f t="shared" si="6"/>
        <v>2024</v>
      </c>
      <c r="H126" s="1" t="str">
        <f t="shared" si="7"/>
        <v>Apr</v>
      </c>
      <c r="I126" s="1" t="str">
        <f t="shared" si="4"/>
        <v>Sun</v>
      </c>
      <c r="J126" s="1" t="s">
        <v>66</v>
      </c>
      <c r="K126" s="1" t="s">
        <v>12</v>
      </c>
      <c r="L126" s="1" t="s">
        <v>94</v>
      </c>
      <c r="M126" s="1" t="s">
        <v>32</v>
      </c>
      <c r="N126" s="1" t="s">
        <v>14</v>
      </c>
      <c r="O126" t="s">
        <v>45</v>
      </c>
    </row>
    <row r="127" spans="1:15" x14ac:dyDescent="0.25">
      <c r="A127" s="1" t="s">
        <v>219</v>
      </c>
      <c r="B127" s="1" t="s">
        <v>220</v>
      </c>
      <c r="C127" s="3">
        <v>45322.640277777777</v>
      </c>
      <c r="D127" s="4">
        <f t="shared" si="5"/>
        <v>45322</v>
      </c>
      <c r="E127" s="6">
        <v>5.8277777777742203</v>
      </c>
      <c r="F127" s="6" t="str" cm="1">
        <f t="array" ref="F127">_xlfn.IFS(
     AND(HOUR(session_data[[#This Row],[Time]])&gt;5,HOUR(session_data[[#This Row],[Time]])&lt;12),"Morning",
     AND(HOUR(session_data[[#This Row],[Time]])&gt;=12,HOUR(session_data[[#This Row],[Time]])&lt;17),"Afternoon",
     AND(HOUR(session_data[[#This Row],[Time]])&gt;=17,HOUR(session_data[[#This Row],[Time]])&lt;21),"Evening",
     TRUE,"Night"
)</f>
        <v>Evening</v>
      </c>
      <c r="G127" s="1">
        <f t="shared" si="6"/>
        <v>2024</v>
      </c>
      <c r="H127" s="1" t="str">
        <f t="shared" si="7"/>
        <v>Jan</v>
      </c>
      <c r="I127" s="1" t="str">
        <f t="shared" si="4"/>
        <v>Wed</v>
      </c>
      <c r="J127" s="1" t="s">
        <v>66</v>
      </c>
      <c r="K127" s="1" t="s">
        <v>12</v>
      </c>
      <c r="L127" s="1" t="s">
        <v>94</v>
      </c>
      <c r="M127" s="1" t="s">
        <v>32</v>
      </c>
      <c r="N127" s="1" t="s">
        <v>14</v>
      </c>
      <c r="O127" t="s">
        <v>45</v>
      </c>
    </row>
    <row r="128" spans="1:15" x14ac:dyDescent="0.25">
      <c r="A128" s="1" t="s">
        <v>221</v>
      </c>
      <c r="B128" s="1" t="s">
        <v>222</v>
      </c>
      <c r="C128" s="3">
        <v>45337.152777777781</v>
      </c>
      <c r="D128" s="4">
        <f t="shared" si="5"/>
        <v>45337</v>
      </c>
      <c r="E128" s="6">
        <v>5.86944444444089</v>
      </c>
      <c r="F128" s="6" t="str" cm="1">
        <f t="array" ref="F128">_xlfn.IFS(
     AND(HOUR(session_data[[#This Row],[Time]])&gt;5,HOUR(session_data[[#This Row],[Time]])&lt;12),"Morning",
     AND(HOUR(session_data[[#This Row],[Time]])&gt;=12,HOUR(session_data[[#This Row],[Time]])&lt;17),"Afternoon",
     AND(HOUR(session_data[[#This Row],[Time]])&gt;=17,HOUR(session_data[[#This Row],[Time]])&lt;21),"Evening",
     TRUE,"Night"
)</f>
        <v>Evening</v>
      </c>
      <c r="G128" s="1">
        <f t="shared" si="6"/>
        <v>2024</v>
      </c>
      <c r="H128" s="1" t="str">
        <f t="shared" si="7"/>
        <v>Feb</v>
      </c>
      <c r="I128" s="1" t="str">
        <f t="shared" si="4"/>
        <v>Thu</v>
      </c>
      <c r="J128" s="1" t="s">
        <v>18</v>
      </c>
      <c r="K128" s="1" t="s">
        <v>12</v>
      </c>
      <c r="L128" s="1" t="s">
        <v>13</v>
      </c>
      <c r="M128" s="1" t="s">
        <v>32</v>
      </c>
      <c r="N128" s="1" t="s">
        <v>14</v>
      </c>
      <c r="O128" t="s">
        <v>45</v>
      </c>
    </row>
    <row r="129" spans="1:15" x14ac:dyDescent="0.25">
      <c r="A129" s="1" t="s">
        <v>223</v>
      </c>
      <c r="B129" s="1" t="s">
        <v>222</v>
      </c>
      <c r="C129" s="3">
        <v>45372.819444444445</v>
      </c>
      <c r="D129" s="4">
        <f t="shared" si="5"/>
        <v>45372</v>
      </c>
      <c r="E129" s="6">
        <v>5.9111111111075498</v>
      </c>
      <c r="F129" s="6" t="str" cm="1">
        <f t="array" ref="F129">_xlfn.IFS(
     AND(HOUR(session_data[[#This Row],[Time]])&gt;5,HOUR(session_data[[#This Row],[Time]])&lt;12),"Morning",
     AND(HOUR(session_data[[#This Row],[Time]])&gt;=12,HOUR(session_data[[#This Row],[Time]])&lt;17),"Afternoon",
     AND(HOUR(session_data[[#This Row],[Time]])&gt;=17,HOUR(session_data[[#This Row],[Time]])&lt;21),"Evening",
     TRUE,"Night"
)</f>
        <v>Night</v>
      </c>
      <c r="G129" s="1">
        <f t="shared" si="6"/>
        <v>2024</v>
      </c>
      <c r="H129" s="1" t="str">
        <f t="shared" si="7"/>
        <v>Mar</v>
      </c>
      <c r="I129" s="1" t="str">
        <f t="shared" si="4"/>
        <v>Thu</v>
      </c>
      <c r="J129" s="1" t="s">
        <v>18</v>
      </c>
      <c r="K129" s="1" t="s">
        <v>12</v>
      </c>
      <c r="L129" s="1" t="s">
        <v>13</v>
      </c>
      <c r="M129" s="1" t="s">
        <v>32</v>
      </c>
      <c r="N129" s="1" t="s">
        <v>22</v>
      </c>
      <c r="O129" t="s">
        <v>45</v>
      </c>
    </row>
    <row r="130" spans="1:15" x14ac:dyDescent="0.25">
      <c r="A130" s="1" t="s">
        <v>224</v>
      </c>
      <c r="B130" s="1" t="s">
        <v>222</v>
      </c>
      <c r="C130" s="2">
        <v>45600.986111111109</v>
      </c>
      <c r="D130" s="4">
        <f t="shared" si="5"/>
        <v>45600</v>
      </c>
      <c r="E130" s="6">
        <v>5.9527777777742203</v>
      </c>
      <c r="F130" s="6" t="str" cm="1">
        <f t="array" ref="F130">_xlfn.IFS(
     AND(HOUR(session_data[[#This Row],[Time]])&gt;5,HOUR(session_data[[#This Row],[Time]])&lt;12),"Morning",
     AND(HOUR(session_data[[#This Row],[Time]])&gt;=12,HOUR(session_data[[#This Row],[Time]])&lt;17),"Afternoon",
     AND(HOUR(session_data[[#This Row],[Time]])&gt;=17,HOUR(session_data[[#This Row],[Time]])&lt;21),"Evening",
     TRUE,"Night"
)</f>
        <v>Night</v>
      </c>
      <c r="G130" s="1">
        <f t="shared" si="6"/>
        <v>2024</v>
      </c>
      <c r="H130" s="1" t="str">
        <f t="shared" si="7"/>
        <v>Nov</v>
      </c>
      <c r="I130" s="1" t="str">
        <f t="shared" ref="I130:I193" si="8">TEXT(D130,"DDD")</f>
        <v>Mon</v>
      </c>
      <c r="J130" s="1" t="s">
        <v>18</v>
      </c>
      <c r="K130" s="1" t="s">
        <v>12</v>
      </c>
      <c r="L130" s="1" t="s">
        <v>13</v>
      </c>
      <c r="M130" s="1" t="s">
        <v>32</v>
      </c>
      <c r="N130" s="1" t="s">
        <v>22</v>
      </c>
      <c r="O130" t="s">
        <v>45</v>
      </c>
    </row>
    <row r="131" spans="1:15" x14ac:dyDescent="0.25">
      <c r="A131" s="1" t="s">
        <v>225</v>
      </c>
      <c r="B131" s="1" t="s">
        <v>226</v>
      </c>
      <c r="C131" s="2">
        <v>45631.205555555556</v>
      </c>
      <c r="D131" s="4">
        <f t="shared" ref="D131:D194" si="9">INT(C131)</f>
        <v>45631</v>
      </c>
      <c r="E131" s="6">
        <v>5.99444444444089</v>
      </c>
      <c r="F131" s="6" t="str" cm="1">
        <f t="array" ref="F131">_xlfn.IFS(
     AND(HOUR(session_data[[#This Row],[Time]])&gt;5,HOUR(session_data[[#This Row],[Time]])&lt;12),"Morning",
     AND(HOUR(session_data[[#This Row],[Time]])&gt;=12,HOUR(session_data[[#This Row],[Time]])&lt;17),"Afternoon",
     AND(HOUR(session_data[[#This Row],[Time]])&gt;=17,HOUR(session_data[[#This Row],[Time]])&lt;21),"Evening",
     TRUE,"Night"
)</f>
        <v>Night</v>
      </c>
      <c r="G131" s="1">
        <f t="shared" ref="G131:G194" si="10">YEAR(D131)</f>
        <v>2024</v>
      </c>
      <c r="H131" s="1" t="str">
        <f t="shared" ref="H131:H194" si="11">TEXT(D131,"MMM")</f>
        <v>Dec</v>
      </c>
      <c r="I131" s="1" t="str">
        <f t="shared" si="8"/>
        <v>Thu</v>
      </c>
      <c r="J131" s="1" t="s">
        <v>11</v>
      </c>
      <c r="K131" s="1" t="s">
        <v>12</v>
      </c>
      <c r="L131" s="1" t="s">
        <v>119</v>
      </c>
      <c r="M131" s="1" t="s">
        <v>40</v>
      </c>
      <c r="N131" s="1" t="s">
        <v>14</v>
      </c>
      <c r="O131" t="s">
        <v>45</v>
      </c>
    </row>
    <row r="132" spans="1:15" x14ac:dyDescent="0.25">
      <c r="A132" s="1" t="s">
        <v>227</v>
      </c>
      <c r="B132" s="1" t="s">
        <v>228</v>
      </c>
      <c r="C132" s="2">
        <v>45448.220138888886</v>
      </c>
      <c r="D132" s="4">
        <f t="shared" si="9"/>
        <v>45448</v>
      </c>
      <c r="E132" s="6">
        <v>6.0361111111075498</v>
      </c>
      <c r="F132" s="6" t="str" cm="1">
        <f t="array" ref="F132">_xlfn.IFS(
     AND(HOUR(session_data[[#This Row],[Time]])&gt;5,HOUR(session_data[[#This Row],[Time]])&lt;12),"Morning",
     AND(HOUR(session_data[[#This Row],[Time]])&gt;=12,HOUR(session_data[[#This Row],[Time]])&lt;17),"Afternoon",
     AND(HOUR(session_data[[#This Row],[Time]])&gt;=17,HOUR(session_data[[#This Row],[Time]])&lt;21),"Evening",
     TRUE,"Night"
)</f>
        <v>Night</v>
      </c>
      <c r="G132" s="1">
        <f t="shared" si="10"/>
        <v>2024</v>
      </c>
      <c r="H132" s="1" t="str">
        <f t="shared" si="11"/>
        <v>Jun</v>
      </c>
      <c r="I132" s="1" t="str">
        <f t="shared" si="8"/>
        <v>Wed</v>
      </c>
      <c r="J132" s="1" t="s">
        <v>11</v>
      </c>
      <c r="K132" s="1" t="s">
        <v>12</v>
      </c>
      <c r="L132" s="1" t="s">
        <v>50</v>
      </c>
      <c r="M132" s="1" t="s">
        <v>19</v>
      </c>
      <c r="N132" s="1" t="s">
        <v>14</v>
      </c>
      <c r="O132" t="s">
        <v>45</v>
      </c>
    </row>
    <row r="133" spans="1:15" x14ac:dyDescent="0.25">
      <c r="A133" s="1" t="s">
        <v>229</v>
      </c>
      <c r="B133" s="1" t="s">
        <v>230</v>
      </c>
      <c r="C133" s="3">
        <v>45168.404166666667</v>
      </c>
      <c r="D133" s="4">
        <f t="shared" si="9"/>
        <v>45168</v>
      </c>
      <c r="E133" s="6">
        <v>6.0777777777742203</v>
      </c>
      <c r="F133" s="6" t="str" cm="1">
        <f t="array" ref="F133">_xlfn.IFS(
     AND(HOUR(session_data[[#This Row],[Time]])&gt;5,HOUR(session_data[[#This Row],[Time]])&lt;12),"Morning",
     AND(HOUR(session_data[[#This Row],[Time]])&gt;=12,HOUR(session_data[[#This Row],[Time]])&lt;17),"Afternoon",
     AND(HOUR(session_data[[#This Row],[Time]])&gt;=17,HOUR(session_data[[#This Row],[Time]])&lt;21),"Evening",
     TRUE,"Night"
)</f>
        <v>Night</v>
      </c>
      <c r="G133" s="1">
        <f t="shared" si="10"/>
        <v>2023</v>
      </c>
      <c r="H133" s="1" t="str">
        <f t="shared" si="11"/>
        <v>Aug</v>
      </c>
      <c r="I133" s="1" t="str">
        <f t="shared" si="8"/>
        <v>Wed</v>
      </c>
      <c r="J133" s="1" t="s">
        <v>18</v>
      </c>
      <c r="K133" s="1" t="s">
        <v>29</v>
      </c>
      <c r="L133" s="1" t="s">
        <v>20</v>
      </c>
      <c r="M133" s="1" t="s">
        <v>19</v>
      </c>
      <c r="N133" s="1" t="s">
        <v>14</v>
      </c>
      <c r="O133" t="s">
        <v>15</v>
      </c>
    </row>
    <row r="134" spans="1:15" x14ac:dyDescent="0.25">
      <c r="A134" s="1" t="s">
        <v>231</v>
      </c>
      <c r="B134" s="1" t="s">
        <v>230</v>
      </c>
      <c r="C134" s="3">
        <v>45190.362500000003</v>
      </c>
      <c r="D134" s="4">
        <f t="shared" si="9"/>
        <v>45190</v>
      </c>
      <c r="E134" s="6">
        <v>6.11944444444089</v>
      </c>
      <c r="F134" s="6" t="str" cm="1">
        <f t="array" ref="F134">_xlfn.IFS(
     AND(HOUR(session_data[[#This Row],[Time]])&gt;5,HOUR(session_data[[#This Row],[Time]])&lt;12),"Morning",
     AND(HOUR(session_data[[#This Row],[Time]])&gt;=12,HOUR(session_data[[#This Row],[Time]])&lt;17),"Afternoon",
     AND(HOUR(session_data[[#This Row],[Time]])&gt;=17,HOUR(session_data[[#This Row],[Time]])&lt;21),"Evening",
     TRUE,"Night"
)</f>
        <v>Night</v>
      </c>
      <c r="G134" s="1">
        <f t="shared" si="10"/>
        <v>2023</v>
      </c>
      <c r="H134" s="1" t="str">
        <f t="shared" si="11"/>
        <v>Sep</v>
      </c>
      <c r="I134" s="1" t="str">
        <f t="shared" si="8"/>
        <v>Thu</v>
      </c>
      <c r="J134" s="1" t="s">
        <v>18</v>
      </c>
      <c r="K134" s="1" t="s">
        <v>29</v>
      </c>
      <c r="L134" s="1" t="s">
        <v>20</v>
      </c>
      <c r="M134" s="1" t="s">
        <v>19</v>
      </c>
      <c r="N134" s="1" t="s">
        <v>22</v>
      </c>
      <c r="O134" t="s">
        <v>15</v>
      </c>
    </row>
    <row r="135" spans="1:15" x14ac:dyDescent="0.25">
      <c r="A135" s="1" t="s">
        <v>232</v>
      </c>
      <c r="B135" s="1" t="s">
        <v>233</v>
      </c>
      <c r="C135" s="3">
        <v>44973.964583333334</v>
      </c>
      <c r="D135" s="4">
        <f t="shared" si="9"/>
        <v>44973</v>
      </c>
      <c r="E135" s="6">
        <v>6.1611111111075498</v>
      </c>
      <c r="F135" s="6" t="str" cm="1">
        <f t="array" ref="F135">_xlfn.IFS(
     AND(HOUR(session_data[[#This Row],[Time]])&gt;5,HOUR(session_data[[#This Row],[Time]])&lt;12),"Morning",
     AND(HOUR(session_data[[#This Row],[Time]])&gt;=12,HOUR(session_data[[#This Row],[Time]])&lt;17),"Afternoon",
     AND(HOUR(session_data[[#This Row],[Time]])&gt;=17,HOUR(session_data[[#This Row],[Time]])&lt;21),"Evening",
     TRUE,"Night"
)</f>
        <v>Night</v>
      </c>
      <c r="G135" s="1">
        <f t="shared" si="10"/>
        <v>2023</v>
      </c>
      <c r="H135" s="1" t="str">
        <f t="shared" si="11"/>
        <v>Feb</v>
      </c>
      <c r="I135" s="1" t="str">
        <f t="shared" si="8"/>
        <v>Thu</v>
      </c>
      <c r="J135" s="1" t="s">
        <v>11</v>
      </c>
      <c r="K135" s="1" t="s">
        <v>12</v>
      </c>
      <c r="L135" s="1" t="s">
        <v>59</v>
      </c>
      <c r="M135" s="1" t="s">
        <v>19</v>
      </c>
      <c r="N135" s="1" t="s">
        <v>14</v>
      </c>
      <c r="O135" t="s">
        <v>45</v>
      </c>
    </row>
    <row r="136" spans="1:15" x14ac:dyDescent="0.25">
      <c r="A136" s="1" t="s">
        <v>234</v>
      </c>
      <c r="B136" s="1" t="s">
        <v>235</v>
      </c>
      <c r="C136" s="3">
        <v>45369.40347222222</v>
      </c>
      <c r="D136" s="4">
        <f t="shared" si="9"/>
        <v>45369</v>
      </c>
      <c r="E136" s="6">
        <v>6.2027777777742203</v>
      </c>
      <c r="F136" s="6" t="str" cm="1">
        <f t="array" ref="F136">_xlfn.IFS(
     AND(HOUR(session_data[[#This Row],[Time]])&gt;5,HOUR(session_data[[#This Row],[Time]])&lt;12),"Morning",
     AND(HOUR(session_data[[#This Row],[Time]])&gt;=12,HOUR(session_data[[#This Row],[Time]])&lt;17),"Afternoon",
     AND(HOUR(session_data[[#This Row],[Time]])&gt;=17,HOUR(session_data[[#This Row],[Time]])&lt;21),"Evening",
     TRUE,"Night"
)</f>
        <v>Night</v>
      </c>
      <c r="G136" s="1">
        <f t="shared" si="10"/>
        <v>2024</v>
      </c>
      <c r="H136" s="1" t="str">
        <f t="shared" si="11"/>
        <v>Mar</v>
      </c>
      <c r="I136" s="1" t="str">
        <f t="shared" si="8"/>
        <v>Mon</v>
      </c>
      <c r="J136" s="1" t="s">
        <v>11</v>
      </c>
      <c r="K136" s="1" t="s">
        <v>12</v>
      </c>
      <c r="L136" s="1" t="s">
        <v>59</v>
      </c>
      <c r="M136" s="1" t="s">
        <v>19</v>
      </c>
      <c r="N136" s="1" t="s">
        <v>14</v>
      </c>
      <c r="O136" t="s">
        <v>45</v>
      </c>
    </row>
    <row r="137" spans="1:15" x14ac:dyDescent="0.25">
      <c r="A137" s="1" t="s">
        <v>236</v>
      </c>
      <c r="B137" s="1" t="s">
        <v>235</v>
      </c>
      <c r="C137" s="3">
        <v>45381.695138888892</v>
      </c>
      <c r="D137" s="4">
        <f t="shared" si="9"/>
        <v>45381</v>
      </c>
      <c r="E137" s="6">
        <v>6.24444444444089</v>
      </c>
      <c r="F137" s="6" t="str" cm="1">
        <f t="array" ref="F137">_xlfn.IFS(
     AND(HOUR(session_data[[#This Row],[Time]])&gt;5,HOUR(session_data[[#This Row],[Time]])&lt;12),"Morning",
     AND(HOUR(session_data[[#This Row],[Time]])&gt;=12,HOUR(session_data[[#This Row],[Time]])&lt;17),"Afternoon",
     AND(HOUR(session_data[[#This Row],[Time]])&gt;=17,HOUR(session_data[[#This Row],[Time]])&lt;21),"Evening",
     TRUE,"Night"
)</f>
        <v>Night</v>
      </c>
      <c r="G137" s="1">
        <f t="shared" si="10"/>
        <v>2024</v>
      </c>
      <c r="H137" s="1" t="str">
        <f t="shared" si="11"/>
        <v>Mar</v>
      </c>
      <c r="I137" s="1" t="str">
        <f t="shared" si="8"/>
        <v>Sat</v>
      </c>
      <c r="J137" s="1" t="s">
        <v>11</v>
      </c>
      <c r="K137" s="1" t="s">
        <v>12</v>
      </c>
      <c r="L137" s="1" t="s">
        <v>59</v>
      </c>
      <c r="M137" s="1" t="s">
        <v>19</v>
      </c>
      <c r="N137" s="1" t="s">
        <v>22</v>
      </c>
      <c r="O137" t="s">
        <v>45</v>
      </c>
    </row>
    <row r="138" spans="1:15" x14ac:dyDescent="0.25">
      <c r="A138" s="1" t="s">
        <v>237</v>
      </c>
      <c r="B138" s="1" t="s">
        <v>235</v>
      </c>
      <c r="C138" s="2">
        <v>45356.02847222222</v>
      </c>
      <c r="D138" s="4">
        <f t="shared" si="9"/>
        <v>45356</v>
      </c>
      <c r="E138" s="6">
        <v>6.2861111111075498</v>
      </c>
      <c r="F138" s="6" t="str" cm="1">
        <f t="array" ref="F138">_xlfn.IFS(
     AND(HOUR(session_data[[#This Row],[Time]])&gt;5,HOUR(session_data[[#This Row],[Time]])&lt;12),"Morning",
     AND(HOUR(session_data[[#This Row],[Time]])&gt;=12,HOUR(session_data[[#This Row],[Time]])&lt;17),"Afternoon",
     AND(HOUR(session_data[[#This Row],[Time]])&gt;=17,HOUR(session_data[[#This Row],[Time]])&lt;21),"Evening",
     TRUE,"Night"
)</f>
        <v>Morning</v>
      </c>
      <c r="G138" s="1">
        <f t="shared" si="10"/>
        <v>2024</v>
      </c>
      <c r="H138" s="1" t="str">
        <f t="shared" si="11"/>
        <v>Mar</v>
      </c>
      <c r="I138" s="1" t="str">
        <f t="shared" si="8"/>
        <v>Tue</v>
      </c>
      <c r="J138" s="1" t="s">
        <v>11</v>
      </c>
      <c r="K138" s="1" t="s">
        <v>12</v>
      </c>
      <c r="L138" s="1" t="s">
        <v>59</v>
      </c>
      <c r="M138" s="1" t="s">
        <v>19</v>
      </c>
      <c r="N138" s="1" t="s">
        <v>22</v>
      </c>
      <c r="O138" t="s">
        <v>45</v>
      </c>
    </row>
    <row r="139" spans="1:15" x14ac:dyDescent="0.25">
      <c r="A139" s="1" t="s">
        <v>238</v>
      </c>
      <c r="B139" s="1" t="s">
        <v>239</v>
      </c>
      <c r="C139" s="3">
        <v>45375.480555555558</v>
      </c>
      <c r="D139" s="4">
        <f t="shared" si="9"/>
        <v>45375</v>
      </c>
      <c r="E139" s="6">
        <v>6.3277777777742203</v>
      </c>
      <c r="F139" s="6" t="str" cm="1">
        <f t="array" ref="F139">_xlfn.IFS(
     AND(HOUR(session_data[[#This Row],[Time]])&gt;5,HOUR(session_data[[#This Row],[Time]])&lt;12),"Morning",
     AND(HOUR(session_data[[#This Row],[Time]])&gt;=12,HOUR(session_data[[#This Row],[Time]])&lt;17),"Afternoon",
     AND(HOUR(session_data[[#This Row],[Time]])&gt;=17,HOUR(session_data[[#This Row],[Time]])&lt;21),"Evening",
     TRUE,"Night"
)</f>
        <v>Morning</v>
      </c>
      <c r="G139" s="1">
        <f t="shared" si="10"/>
        <v>2024</v>
      </c>
      <c r="H139" s="1" t="str">
        <f t="shared" si="11"/>
        <v>Mar</v>
      </c>
      <c r="I139" s="1" t="str">
        <f t="shared" si="8"/>
        <v>Sun</v>
      </c>
      <c r="J139" s="1" t="s">
        <v>28</v>
      </c>
      <c r="K139" s="1" t="s">
        <v>29</v>
      </c>
      <c r="L139" s="1" t="s">
        <v>20</v>
      </c>
      <c r="M139" s="1" t="s">
        <v>19</v>
      </c>
      <c r="N139" s="1" t="s">
        <v>14</v>
      </c>
      <c r="O139" t="s">
        <v>45</v>
      </c>
    </row>
    <row r="140" spans="1:15" x14ac:dyDescent="0.25">
      <c r="A140" s="1" t="s">
        <v>240</v>
      </c>
      <c r="B140" s="1" t="s">
        <v>241</v>
      </c>
      <c r="C140" s="3">
        <v>45346.357638888891</v>
      </c>
      <c r="D140" s="4">
        <f t="shared" si="9"/>
        <v>45346</v>
      </c>
      <c r="E140" s="6">
        <v>6.36944444444089</v>
      </c>
      <c r="F140" s="6" t="str" cm="1">
        <f t="array" ref="F140">_xlfn.IFS(
     AND(HOUR(session_data[[#This Row],[Time]])&gt;5,HOUR(session_data[[#This Row],[Time]])&lt;12),"Morning",
     AND(HOUR(session_data[[#This Row],[Time]])&gt;=12,HOUR(session_data[[#This Row],[Time]])&lt;17),"Afternoon",
     AND(HOUR(session_data[[#This Row],[Time]])&gt;=17,HOUR(session_data[[#This Row],[Time]])&lt;21),"Evening",
     TRUE,"Night"
)</f>
        <v>Morning</v>
      </c>
      <c r="G140" s="1">
        <f t="shared" si="10"/>
        <v>2024</v>
      </c>
      <c r="H140" s="1" t="str">
        <f t="shared" si="11"/>
        <v>Feb</v>
      </c>
      <c r="I140" s="1" t="str">
        <f t="shared" si="8"/>
        <v>Sat</v>
      </c>
      <c r="J140" s="1" t="s">
        <v>66</v>
      </c>
      <c r="K140" s="1" t="s">
        <v>12</v>
      </c>
      <c r="L140" s="1" t="s">
        <v>20</v>
      </c>
      <c r="M140" s="1" t="s">
        <v>19</v>
      </c>
      <c r="N140" s="1" t="s">
        <v>14</v>
      </c>
      <c r="O140" t="s">
        <v>45</v>
      </c>
    </row>
    <row r="141" spans="1:15" x14ac:dyDescent="0.25">
      <c r="A141" s="1" t="s">
        <v>242</v>
      </c>
      <c r="B141" s="1" t="s">
        <v>241</v>
      </c>
      <c r="C141" s="2">
        <v>45629.815972222219</v>
      </c>
      <c r="D141" s="4">
        <f t="shared" si="9"/>
        <v>45629</v>
      </c>
      <c r="E141" s="6">
        <v>6.4111111111075498</v>
      </c>
      <c r="F141" s="6" t="str" cm="1">
        <f t="array" ref="F141">_xlfn.IFS(
     AND(HOUR(session_data[[#This Row],[Time]])&gt;5,HOUR(session_data[[#This Row],[Time]])&lt;12),"Morning",
     AND(HOUR(session_data[[#This Row],[Time]])&gt;=12,HOUR(session_data[[#This Row],[Time]])&lt;17),"Afternoon",
     AND(HOUR(session_data[[#This Row],[Time]])&gt;=17,HOUR(session_data[[#This Row],[Time]])&lt;21),"Evening",
     TRUE,"Night"
)</f>
        <v>Morning</v>
      </c>
      <c r="G141" s="1">
        <f t="shared" si="10"/>
        <v>2024</v>
      </c>
      <c r="H141" s="1" t="str">
        <f t="shared" si="11"/>
        <v>Dec</v>
      </c>
      <c r="I141" s="1" t="str">
        <f t="shared" si="8"/>
        <v>Tue</v>
      </c>
      <c r="J141" s="1" t="s">
        <v>66</v>
      </c>
      <c r="K141" s="1" t="s">
        <v>12</v>
      </c>
      <c r="L141" s="1" t="s">
        <v>20</v>
      </c>
      <c r="M141" s="1" t="s">
        <v>19</v>
      </c>
      <c r="N141" s="1" t="s">
        <v>22</v>
      </c>
      <c r="O141" t="s">
        <v>45</v>
      </c>
    </row>
    <row r="142" spans="1:15" x14ac:dyDescent="0.25">
      <c r="A142" s="1" t="s">
        <v>243</v>
      </c>
      <c r="B142" s="1" t="s">
        <v>241</v>
      </c>
      <c r="C142" s="2">
        <v>45508.107638888891</v>
      </c>
      <c r="D142" s="4">
        <f t="shared" si="9"/>
        <v>45508</v>
      </c>
      <c r="E142" s="6">
        <v>6.4527777777742203</v>
      </c>
      <c r="F142" s="6" t="str" cm="1">
        <f t="array" ref="F142">_xlfn.IFS(
     AND(HOUR(session_data[[#This Row],[Time]])&gt;5,HOUR(session_data[[#This Row],[Time]])&lt;12),"Morning",
     AND(HOUR(session_data[[#This Row],[Time]])&gt;=12,HOUR(session_data[[#This Row],[Time]])&lt;17),"Afternoon",
     AND(HOUR(session_data[[#This Row],[Time]])&gt;=17,HOUR(session_data[[#This Row],[Time]])&lt;21),"Evening",
     TRUE,"Night"
)</f>
        <v>Morning</v>
      </c>
      <c r="G142" s="1">
        <f t="shared" si="10"/>
        <v>2024</v>
      </c>
      <c r="H142" s="1" t="str">
        <f t="shared" si="11"/>
        <v>Aug</v>
      </c>
      <c r="I142" s="1" t="str">
        <f t="shared" si="8"/>
        <v>Sun</v>
      </c>
      <c r="J142" s="1" t="s">
        <v>66</v>
      </c>
      <c r="K142" s="1" t="s">
        <v>12</v>
      </c>
      <c r="L142" s="1" t="s">
        <v>20</v>
      </c>
      <c r="M142" s="1" t="s">
        <v>19</v>
      </c>
      <c r="N142" s="1" t="s">
        <v>22</v>
      </c>
      <c r="O142" t="s">
        <v>45</v>
      </c>
    </row>
    <row r="143" spans="1:15" x14ac:dyDescent="0.25">
      <c r="A143" s="1" t="s">
        <v>244</v>
      </c>
      <c r="B143" s="1" t="s">
        <v>241</v>
      </c>
      <c r="C143" s="2">
        <v>45356.524305555555</v>
      </c>
      <c r="D143" s="4">
        <f t="shared" si="9"/>
        <v>45356</v>
      </c>
      <c r="E143" s="6">
        <v>6.49444444444089</v>
      </c>
      <c r="F143" s="6" t="str" cm="1">
        <f t="array" ref="F143">_xlfn.IFS(
     AND(HOUR(session_data[[#This Row],[Time]])&gt;5,HOUR(session_data[[#This Row],[Time]])&lt;12),"Morning",
     AND(HOUR(session_data[[#This Row],[Time]])&gt;=12,HOUR(session_data[[#This Row],[Time]])&lt;17),"Afternoon",
     AND(HOUR(session_data[[#This Row],[Time]])&gt;=17,HOUR(session_data[[#This Row],[Time]])&lt;21),"Evening",
     TRUE,"Night"
)</f>
        <v>Morning</v>
      </c>
      <c r="G143" s="1">
        <f t="shared" si="10"/>
        <v>2024</v>
      </c>
      <c r="H143" s="1" t="str">
        <f t="shared" si="11"/>
        <v>Mar</v>
      </c>
      <c r="I143" s="1" t="str">
        <f t="shared" si="8"/>
        <v>Tue</v>
      </c>
      <c r="J143" s="1" t="s">
        <v>66</v>
      </c>
      <c r="K143" s="1" t="s">
        <v>12</v>
      </c>
      <c r="L143" s="1" t="s">
        <v>20</v>
      </c>
      <c r="M143" s="1" t="s">
        <v>19</v>
      </c>
      <c r="N143" s="1" t="s">
        <v>22</v>
      </c>
      <c r="O143" t="s">
        <v>45</v>
      </c>
    </row>
    <row r="144" spans="1:15" x14ac:dyDescent="0.25">
      <c r="A144" s="1" t="s">
        <v>245</v>
      </c>
      <c r="B144" s="1" t="s">
        <v>241</v>
      </c>
      <c r="C144" s="3">
        <v>45436.149305555555</v>
      </c>
      <c r="D144" s="4">
        <f t="shared" si="9"/>
        <v>45436</v>
      </c>
      <c r="E144" s="6">
        <v>6.5361111111075498</v>
      </c>
      <c r="F144" s="6" t="str" cm="1">
        <f t="array" ref="F144">_xlfn.IFS(
     AND(HOUR(session_data[[#This Row],[Time]])&gt;5,HOUR(session_data[[#This Row],[Time]])&lt;12),"Morning",
     AND(HOUR(session_data[[#This Row],[Time]])&gt;=12,HOUR(session_data[[#This Row],[Time]])&lt;17),"Afternoon",
     AND(HOUR(session_data[[#This Row],[Time]])&gt;=17,HOUR(session_data[[#This Row],[Time]])&lt;21),"Evening",
     TRUE,"Night"
)</f>
        <v>Afternoon</v>
      </c>
      <c r="G144" s="1">
        <f t="shared" si="10"/>
        <v>2024</v>
      </c>
      <c r="H144" s="1" t="str">
        <f t="shared" si="11"/>
        <v>May</v>
      </c>
      <c r="I144" s="1" t="str">
        <f t="shared" si="8"/>
        <v>Fri</v>
      </c>
      <c r="J144" s="1" t="s">
        <v>66</v>
      </c>
      <c r="K144" s="1" t="s">
        <v>12</v>
      </c>
      <c r="L144" s="1" t="s">
        <v>20</v>
      </c>
      <c r="M144" s="1" t="s">
        <v>19</v>
      </c>
      <c r="N144" s="1" t="s">
        <v>22</v>
      </c>
      <c r="O144" t="s">
        <v>45</v>
      </c>
    </row>
    <row r="145" spans="1:15" x14ac:dyDescent="0.25">
      <c r="A145" s="1" t="s">
        <v>246</v>
      </c>
      <c r="B145" s="1" t="s">
        <v>247</v>
      </c>
      <c r="C145" s="3">
        <v>45436.807638888888</v>
      </c>
      <c r="D145" s="4">
        <f t="shared" si="9"/>
        <v>45436</v>
      </c>
      <c r="E145" s="6">
        <v>6.5777777777742203</v>
      </c>
      <c r="F145" s="6" t="str" cm="1">
        <f t="array" ref="F145">_xlfn.IFS(
     AND(HOUR(session_data[[#This Row],[Time]])&gt;5,HOUR(session_data[[#This Row],[Time]])&lt;12),"Morning",
     AND(HOUR(session_data[[#This Row],[Time]])&gt;=12,HOUR(session_data[[#This Row],[Time]])&lt;17),"Afternoon",
     AND(HOUR(session_data[[#This Row],[Time]])&gt;=17,HOUR(session_data[[#This Row],[Time]])&lt;21),"Evening",
     TRUE,"Night"
)</f>
        <v>Afternoon</v>
      </c>
      <c r="G145" s="1">
        <f t="shared" si="10"/>
        <v>2024</v>
      </c>
      <c r="H145" s="1" t="str">
        <f t="shared" si="11"/>
        <v>May</v>
      </c>
      <c r="I145" s="1" t="str">
        <f t="shared" si="8"/>
        <v>Fri</v>
      </c>
      <c r="J145" s="1" t="s">
        <v>66</v>
      </c>
      <c r="K145" s="1" t="s">
        <v>12</v>
      </c>
      <c r="L145" s="1" t="s">
        <v>13</v>
      </c>
      <c r="M145" s="1" t="s">
        <v>32</v>
      </c>
      <c r="N145" s="1" t="s">
        <v>14</v>
      </c>
      <c r="O145" t="s">
        <v>45</v>
      </c>
    </row>
    <row r="146" spans="1:15" x14ac:dyDescent="0.25">
      <c r="A146" s="1" t="s">
        <v>248</v>
      </c>
      <c r="B146" s="1" t="s">
        <v>247</v>
      </c>
      <c r="C146" s="2">
        <v>45602.890972222223</v>
      </c>
      <c r="D146" s="4">
        <f t="shared" si="9"/>
        <v>45602</v>
      </c>
      <c r="E146" s="6">
        <v>6.61944444444089</v>
      </c>
      <c r="F146" s="6" t="str" cm="1">
        <f t="array" ref="F146">_xlfn.IFS(
     AND(HOUR(session_data[[#This Row],[Time]])&gt;5,HOUR(session_data[[#This Row],[Time]])&lt;12),"Morning",
     AND(HOUR(session_data[[#This Row],[Time]])&gt;=12,HOUR(session_data[[#This Row],[Time]])&lt;17),"Afternoon",
     AND(HOUR(session_data[[#This Row],[Time]])&gt;=17,HOUR(session_data[[#This Row],[Time]])&lt;21),"Evening",
     TRUE,"Night"
)</f>
        <v>Afternoon</v>
      </c>
      <c r="G146" s="1">
        <f t="shared" si="10"/>
        <v>2024</v>
      </c>
      <c r="H146" s="1" t="str">
        <f t="shared" si="11"/>
        <v>Nov</v>
      </c>
      <c r="I146" s="1" t="str">
        <f t="shared" si="8"/>
        <v>Wed</v>
      </c>
      <c r="J146" s="1" t="s">
        <v>66</v>
      </c>
      <c r="K146" s="1" t="s">
        <v>12</v>
      </c>
      <c r="L146" s="1" t="s">
        <v>13</v>
      </c>
      <c r="M146" s="1" t="s">
        <v>32</v>
      </c>
      <c r="N146" s="1" t="s">
        <v>22</v>
      </c>
      <c r="O146" t="s">
        <v>45</v>
      </c>
    </row>
    <row r="147" spans="1:15" x14ac:dyDescent="0.25">
      <c r="A147" s="1" t="s">
        <v>249</v>
      </c>
      <c r="B147" s="1" t="s">
        <v>247</v>
      </c>
      <c r="C147" s="3">
        <v>45466.807638888888</v>
      </c>
      <c r="D147" s="4">
        <f t="shared" si="9"/>
        <v>45466</v>
      </c>
      <c r="E147" s="6">
        <v>6.6611111111075498</v>
      </c>
      <c r="F147" s="6" t="str" cm="1">
        <f t="array" ref="F147">_xlfn.IFS(
     AND(HOUR(session_data[[#This Row],[Time]])&gt;5,HOUR(session_data[[#This Row],[Time]])&lt;12),"Morning",
     AND(HOUR(session_data[[#This Row],[Time]])&gt;=12,HOUR(session_data[[#This Row],[Time]])&lt;17),"Afternoon",
     AND(HOUR(session_data[[#This Row],[Time]])&gt;=17,HOUR(session_data[[#This Row],[Time]])&lt;21),"Evening",
     TRUE,"Night"
)</f>
        <v>Afternoon</v>
      </c>
      <c r="G147" s="1">
        <f t="shared" si="10"/>
        <v>2024</v>
      </c>
      <c r="H147" s="1" t="str">
        <f t="shared" si="11"/>
        <v>Jun</v>
      </c>
      <c r="I147" s="1" t="str">
        <f t="shared" si="8"/>
        <v>Sun</v>
      </c>
      <c r="J147" s="1" t="s">
        <v>66</v>
      </c>
      <c r="K147" s="1" t="s">
        <v>12</v>
      </c>
      <c r="L147" s="1" t="s">
        <v>13</v>
      </c>
      <c r="M147" s="1" t="s">
        <v>32</v>
      </c>
      <c r="N147" s="1" t="s">
        <v>22</v>
      </c>
      <c r="O147" t="s">
        <v>45</v>
      </c>
    </row>
    <row r="148" spans="1:15" x14ac:dyDescent="0.25">
      <c r="A148" s="1" t="s">
        <v>250</v>
      </c>
      <c r="B148" s="1" t="s">
        <v>251</v>
      </c>
      <c r="C148" s="3">
        <v>45366.093055555553</v>
      </c>
      <c r="D148" s="4">
        <f t="shared" si="9"/>
        <v>45366</v>
      </c>
      <c r="E148" s="6">
        <v>6.7027777777742203</v>
      </c>
      <c r="F148" s="6" t="str" cm="1">
        <f t="array" ref="F148">_xlfn.IFS(
     AND(HOUR(session_data[[#This Row],[Time]])&gt;5,HOUR(session_data[[#This Row],[Time]])&lt;12),"Morning",
     AND(HOUR(session_data[[#This Row],[Time]])&gt;=12,HOUR(session_data[[#This Row],[Time]])&lt;17),"Afternoon",
     AND(HOUR(session_data[[#This Row],[Time]])&gt;=17,HOUR(session_data[[#This Row],[Time]])&lt;21),"Evening",
     TRUE,"Night"
)</f>
        <v>Afternoon</v>
      </c>
      <c r="G148" s="1">
        <f t="shared" si="10"/>
        <v>2024</v>
      </c>
      <c r="H148" s="1" t="str">
        <f t="shared" si="11"/>
        <v>Mar</v>
      </c>
      <c r="I148" s="1" t="str">
        <f t="shared" si="8"/>
        <v>Fri</v>
      </c>
      <c r="J148" s="1" t="s">
        <v>28</v>
      </c>
      <c r="K148" s="1" t="s">
        <v>12</v>
      </c>
      <c r="L148" s="1" t="s">
        <v>41</v>
      </c>
      <c r="M148" s="1" t="s">
        <v>40</v>
      </c>
      <c r="N148" s="1" t="s">
        <v>14</v>
      </c>
      <c r="O148" t="s">
        <v>45</v>
      </c>
    </row>
    <row r="149" spans="1:15" x14ac:dyDescent="0.25">
      <c r="A149" s="1" t="s">
        <v>252</v>
      </c>
      <c r="B149" s="1" t="s">
        <v>253</v>
      </c>
      <c r="C149" s="3">
        <v>45411.202777777777</v>
      </c>
      <c r="D149" s="4">
        <f t="shared" si="9"/>
        <v>45411</v>
      </c>
      <c r="E149" s="6">
        <v>6.74444444444089</v>
      </c>
      <c r="F149" s="6" t="str" cm="1">
        <f t="array" ref="F149">_xlfn.IFS(
     AND(HOUR(session_data[[#This Row],[Time]])&gt;5,HOUR(session_data[[#This Row],[Time]])&lt;12),"Morning",
     AND(HOUR(session_data[[#This Row],[Time]])&gt;=12,HOUR(session_data[[#This Row],[Time]])&lt;17),"Afternoon",
     AND(HOUR(session_data[[#This Row],[Time]])&gt;=17,HOUR(session_data[[#This Row],[Time]])&lt;21),"Evening",
     TRUE,"Night"
)</f>
        <v>Evening</v>
      </c>
      <c r="G149" s="1">
        <f t="shared" si="10"/>
        <v>2024</v>
      </c>
      <c r="H149" s="1" t="str">
        <f t="shared" si="11"/>
        <v>Apr</v>
      </c>
      <c r="I149" s="1" t="str">
        <f t="shared" si="8"/>
        <v>Mon</v>
      </c>
      <c r="J149" s="1" t="s">
        <v>11</v>
      </c>
      <c r="K149" s="1" t="s">
        <v>12</v>
      </c>
      <c r="L149" s="1" t="s">
        <v>20</v>
      </c>
      <c r="M149" s="1" t="s">
        <v>19</v>
      </c>
      <c r="N149" s="1" t="s">
        <v>14</v>
      </c>
      <c r="O149" t="s">
        <v>45</v>
      </c>
    </row>
    <row r="150" spans="1:15" x14ac:dyDescent="0.25">
      <c r="A150" s="1" t="s">
        <v>254</v>
      </c>
      <c r="B150" s="1" t="s">
        <v>255</v>
      </c>
      <c r="C150" s="3">
        <v>45472.615972222222</v>
      </c>
      <c r="D150" s="4">
        <f t="shared" si="9"/>
        <v>45472</v>
      </c>
      <c r="E150" s="6">
        <v>6.7861111111075498</v>
      </c>
      <c r="F150" s="6" t="str" cm="1">
        <f t="array" ref="F150">_xlfn.IFS(
     AND(HOUR(session_data[[#This Row],[Time]])&gt;5,HOUR(session_data[[#This Row],[Time]])&lt;12),"Morning",
     AND(HOUR(session_data[[#This Row],[Time]])&gt;=12,HOUR(session_data[[#This Row],[Time]])&lt;17),"Afternoon",
     AND(HOUR(session_data[[#This Row],[Time]])&gt;=17,HOUR(session_data[[#This Row],[Time]])&lt;21),"Evening",
     TRUE,"Night"
)</f>
        <v>Evening</v>
      </c>
      <c r="G150" s="1">
        <f t="shared" si="10"/>
        <v>2024</v>
      </c>
      <c r="H150" s="1" t="str">
        <f t="shared" si="11"/>
        <v>Jun</v>
      </c>
      <c r="I150" s="1" t="str">
        <f t="shared" si="8"/>
        <v>Sat</v>
      </c>
      <c r="J150" s="1" t="s">
        <v>18</v>
      </c>
      <c r="K150" s="1" t="s">
        <v>12</v>
      </c>
      <c r="L150" s="1" t="s">
        <v>20</v>
      </c>
      <c r="M150" s="1" t="s">
        <v>19</v>
      </c>
      <c r="N150" s="1" t="s">
        <v>14</v>
      </c>
      <c r="O150" t="s">
        <v>15</v>
      </c>
    </row>
    <row r="151" spans="1:15" x14ac:dyDescent="0.25">
      <c r="A151" s="1" t="s">
        <v>256</v>
      </c>
      <c r="B151" s="1" t="s">
        <v>255</v>
      </c>
      <c r="C151" s="3">
        <v>45497.782638888886</v>
      </c>
      <c r="D151" s="4">
        <f t="shared" si="9"/>
        <v>45497</v>
      </c>
      <c r="E151" s="6">
        <v>6.8277777777742203</v>
      </c>
      <c r="F151" s="6" t="str" cm="1">
        <f t="array" ref="F151">_xlfn.IFS(
     AND(HOUR(session_data[[#This Row],[Time]])&gt;5,HOUR(session_data[[#This Row],[Time]])&lt;12),"Morning",
     AND(HOUR(session_data[[#This Row],[Time]])&gt;=12,HOUR(session_data[[#This Row],[Time]])&lt;17),"Afternoon",
     AND(HOUR(session_data[[#This Row],[Time]])&gt;=17,HOUR(session_data[[#This Row],[Time]])&lt;21),"Evening",
     TRUE,"Night"
)</f>
        <v>Evening</v>
      </c>
      <c r="G151" s="1">
        <f t="shared" si="10"/>
        <v>2024</v>
      </c>
      <c r="H151" s="1" t="str">
        <f t="shared" si="11"/>
        <v>Jul</v>
      </c>
      <c r="I151" s="1" t="str">
        <f t="shared" si="8"/>
        <v>Wed</v>
      </c>
      <c r="J151" s="1" t="s">
        <v>18</v>
      </c>
      <c r="K151" s="1" t="s">
        <v>12</v>
      </c>
      <c r="L151" s="1" t="s">
        <v>20</v>
      </c>
      <c r="M151" s="1" t="s">
        <v>19</v>
      </c>
      <c r="N151" s="1" t="s">
        <v>22</v>
      </c>
      <c r="O151" t="s">
        <v>15</v>
      </c>
    </row>
    <row r="152" spans="1:15" x14ac:dyDescent="0.25">
      <c r="A152" s="1" t="s">
        <v>257</v>
      </c>
      <c r="B152" s="1" t="s">
        <v>255</v>
      </c>
      <c r="C152" s="3">
        <v>45500.324305555558</v>
      </c>
      <c r="D152" s="4">
        <f t="shared" si="9"/>
        <v>45500</v>
      </c>
      <c r="E152" s="6">
        <v>6.86944444444089</v>
      </c>
      <c r="F152" s="6" t="str" cm="1">
        <f t="array" ref="F152">_xlfn.IFS(
     AND(HOUR(session_data[[#This Row],[Time]])&gt;5,HOUR(session_data[[#This Row],[Time]])&lt;12),"Morning",
     AND(HOUR(session_data[[#This Row],[Time]])&gt;=12,HOUR(session_data[[#This Row],[Time]])&lt;17),"Afternoon",
     AND(HOUR(session_data[[#This Row],[Time]])&gt;=17,HOUR(session_data[[#This Row],[Time]])&lt;21),"Evening",
     TRUE,"Night"
)</f>
        <v>Evening</v>
      </c>
      <c r="G152" s="1">
        <f t="shared" si="10"/>
        <v>2024</v>
      </c>
      <c r="H152" s="1" t="str">
        <f t="shared" si="11"/>
        <v>Jul</v>
      </c>
      <c r="I152" s="1" t="str">
        <f t="shared" si="8"/>
        <v>Sat</v>
      </c>
      <c r="J152" s="1" t="s">
        <v>18</v>
      </c>
      <c r="K152" s="1" t="s">
        <v>12</v>
      </c>
      <c r="L152" s="1" t="s">
        <v>20</v>
      </c>
      <c r="M152" s="1" t="s">
        <v>19</v>
      </c>
      <c r="N152" s="1" t="s">
        <v>22</v>
      </c>
      <c r="O152" t="s">
        <v>15</v>
      </c>
    </row>
    <row r="153" spans="1:15" x14ac:dyDescent="0.25">
      <c r="A153" s="1" t="s">
        <v>258</v>
      </c>
      <c r="B153" s="1" t="s">
        <v>259</v>
      </c>
      <c r="C153" s="3">
        <v>45430.920138888891</v>
      </c>
      <c r="D153" s="4">
        <f t="shared" si="9"/>
        <v>45430</v>
      </c>
      <c r="E153" s="6">
        <v>6.9111111111075498</v>
      </c>
      <c r="F153" s="6" t="str" cm="1">
        <f t="array" ref="F153">_xlfn.IFS(
     AND(HOUR(session_data[[#This Row],[Time]])&gt;5,HOUR(session_data[[#This Row],[Time]])&lt;12),"Morning",
     AND(HOUR(session_data[[#This Row],[Time]])&gt;=12,HOUR(session_data[[#This Row],[Time]])&lt;17),"Afternoon",
     AND(HOUR(session_data[[#This Row],[Time]])&gt;=17,HOUR(session_data[[#This Row],[Time]])&lt;21),"Evening",
     TRUE,"Night"
)</f>
        <v>Night</v>
      </c>
      <c r="G153" s="1">
        <f t="shared" si="10"/>
        <v>2024</v>
      </c>
      <c r="H153" s="1" t="str">
        <f t="shared" si="11"/>
        <v>May</v>
      </c>
      <c r="I153" s="1" t="str">
        <f t="shared" si="8"/>
        <v>Sat</v>
      </c>
      <c r="J153" s="1" t="s">
        <v>11</v>
      </c>
      <c r="K153" s="1" t="s">
        <v>29</v>
      </c>
      <c r="L153" s="1" t="s">
        <v>41</v>
      </c>
      <c r="M153" s="1" t="s">
        <v>40</v>
      </c>
      <c r="N153" s="1" t="s">
        <v>14</v>
      </c>
      <c r="O153" t="s">
        <v>45</v>
      </c>
    </row>
    <row r="154" spans="1:15" x14ac:dyDescent="0.25">
      <c r="A154" s="1" t="s">
        <v>260</v>
      </c>
      <c r="B154" s="1" t="s">
        <v>259</v>
      </c>
      <c r="C154" s="2">
        <v>45418.878472222219</v>
      </c>
      <c r="D154" s="4">
        <f t="shared" si="9"/>
        <v>45418</v>
      </c>
      <c r="E154" s="6">
        <v>6.9527777777742203</v>
      </c>
      <c r="F154" s="6" t="str" cm="1">
        <f t="array" ref="F154">_xlfn.IFS(
     AND(HOUR(session_data[[#This Row],[Time]])&gt;5,HOUR(session_data[[#This Row],[Time]])&lt;12),"Morning",
     AND(HOUR(session_data[[#This Row],[Time]])&gt;=12,HOUR(session_data[[#This Row],[Time]])&lt;17),"Afternoon",
     AND(HOUR(session_data[[#This Row],[Time]])&gt;=17,HOUR(session_data[[#This Row],[Time]])&lt;21),"Evening",
     TRUE,"Night"
)</f>
        <v>Night</v>
      </c>
      <c r="G154" s="1">
        <f t="shared" si="10"/>
        <v>2024</v>
      </c>
      <c r="H154" s="1" t="str">
        <f t="shared" si="11"/>
        <v>May</v>
      </c>
      <c r="I154" s="1" t="str">
        <f t="shared" si="8"/>
        <v>Mon</v>
      </c>
      <c r="J154" s="1" t="s">
        <v>11</v>
      </c>
      <c r="K154" s="1" t="s">
        <v>29</v>
      </c>
      <c r="L154" s="1" t="s">
        <v>41</v>
      </c>
      <c r="M154" s="1" t="s">
        <v>40</v>
      </c>
      <c r="N154" s="1" t="s">
        <v>22</v>
      </c>
      <c r="O154" t="s">
        <v>45</v>
      </c>
    </row>
    <row r="155" spans="1:15" x14ac:dyDescent="0.25">
      <c r="A155" s="1" t="s">
        <v>261</v>
      </c>
      <c r="B155" s="1" t="s">
        <v>259</v>
      </c>
      <c r="C155" s="3">
        <v>45469.003472222219</v>
      </c>
      <c r="D155" s="4">
        <f t="shared" si="9"/>
        <v>45469</v>
      </c>
      <c r="E155" s="6">
        <v>6.99444444444089</v>
      </c>
      <c r="F155" s="6" t="str" cm="1">
        <f t="array" ref="F155">_xlfn.IFS(
     AND(HOUR(session_data[[#This Row],[Time]])&gt;5,HOUR(session_data[[#This Row],[Time]])&lt;12),"Morning",
     AND(HOUR(session_data[[#This Row],[Time]])&gt;=12,HOUR(session_data[[#This Row],[Time]])&lt;17),"Afternoon",
     AND(HOUR(session_data[[#This Row],[Time]])&gt;=17,HOUR(session_data[[#This Row],[Time]])&lt;21),"Evening",
     TRUE,"Night"
)</f>
        <v>Night</v>
      </c>
      <c r="G155" s="1">
        <f t="shared" si="10"/>
        <v>2024</v>
      </c>
      <c r="H155" s="1" t="str">
        <f t="shared" si="11"/>
        <v>Jun</v>
      </c>
      <c r="I155" s="1" t="str">
        <f t="shared" si="8"/>
        <v>Wed</v>
      </c>
      <c r="J155" s="1" t="s">
        <v>11</v>
      </c>
      <c r="K155" s="1" t="s">
        <v>29</v>
      </c>
      <c r="L155" s="1" t="s">
        <v>41</v>
      </c>
      <c r="M155" s="1" t="s">
        <v>40</v>
      </c>
      <c r="N155" s="1" t="s">
        <v>22</v>
      </c>
      <c r="O155" t="s">
        <v>45</v>
      </c>
    </row>
    <row r="156" spans="1:15" x14ac:dyDescent="0.25">
      <c r="A156" s="1" t="s">
        <v>262</v>
      </c>
      <c r="B156" s="1" t="s">
        <v>263</v>
      </c>
      <c r="C156" s="3">
        <v>45405.270833333336</v>
      </c>
      <c r="D156" s="4">
        <f t="shared" si="9"/>
        <v>45405</v>
      </c>
      <c r="E156" s="6">
        <v>7.0361111111075498</v>
      </c>
      <c r="F156" s="6" t="str" cm="1">
        <f t="array" ref="F156">_xlfn.IFS(
     AND(HOUR(session_data[[#This Row],[Time]])&gt;5,HOUR(session_data[[#This Row],[Time]])&lt;12),"Morning",
     AND(HOUR(session_data[[#This Row],[Time]])&gt;=12,HOUR(session_data[[#This Row],[Time]])&lt;17),"Afternoon",
     AND(HOUR(session_data[[#This Row],[Time]])&gt;=17,HOUR(session_data[[#This Row],[Time]])&lt;21),"Evening",
     TRUE,"Night"
)</f>
        <v>Night</v>
      </c>
      <c r="G156" s="1">
        <f t="shared" si="10"/>
        <v>2024</v>
      </c>
      <c r="H156" s="1" t="str">
        <f t="shared" si="11"/>
        <v>Apr</v>
      </c>
      <c r="I156" s="1" t="str">
        <f t="shared" si="8"/>
        <v>Tue</v>
      </c>
      <c r="J156" s="1" t="s">
        <v>18</v>
      </c>
      <c r="K156" s="1" t="s">
        <v>12</v>
      </c>
      <c r="L156" s="1" t="s">
        <v>41</v>
      </c>
      <c r="M156" s="1" t="s">
        <v>40</v>
      </c>
      <c r="N156" s="1" t="s">
        <v>14</v>
      </c>
      <c r="O156" t="s">
        <v>15</v>
      </c>
    </row>
    <row r="157" spans="1:15" x14ac:dyDescent="0.25">
      <c r="A157" s="1" t="s">
        <v>264</v>
      </c>
      <c r="B157" s="1" t="s">
        <v>263</v>
      </c>
      <c r="C157" s="3">
        <v>45430.6875</v>
      </c>
      <c r="D157" s="4">
        <f t="shared" si="9"/>
        <v>45430</v>
      </c>
      <c r="E157" s="6">
        <v>7.0777777777742203</v>
      </c>
      <c r="F157" s="6" t="str" cm="1">
        <f t="array" ref="F157">_xlfn.IFS(
     AND(HOUR(session_data[[#This Row],[Time]])&gt;5,HOUR(session_data[[#This Row],[Time]])&lt;12),"Morning",
     AND(HOUR(session_data[[#This Row],[Time]])&gt;=12,HOUR(session_data[[#This Row],[Time]])&lt;17),"Afternoon",
     AND(HOUR(session_data[[#This Row],[Time]])&gt;=17,HOUR(session_data[[#This Row],[Time]])&lt;21),"Evening",
     TRUE,"Night"
)</f>
        <v>Night</v>
      </c>
      <c r="G157" s="1">
        <f t="shared" si="10"/>
        <v>2024</v>
      </c>
      <c r="H157" s="1" t="str">
        <f t="shared" si="11"/>
        <v>May</v>
      </c>
      <c r="I157" s="1" t="str">
        <f t="shared" si="8"/>
        <v>Sat</v>
      </c>
      <c r="J157" s="1" t="s">
        <v>18</v>
      </c>
      <c r="K157" s="1" t="s">
        <v>12</v>
      </c>
      <c r="L157" s="1" t="s">
        <v>41</v>
      </c>
      <c r="M157" s="1" t="s">
        <v>40</v>
      </c>
      <c r="N157" s="1" t="s">
        <v>22</v>
      </c>
      <c r="O157" t="s">
        <v>15</v>
      </c>
    </row>
    <row r="158" spans="1:15" x14ac:dyDescent="0.25">
      <c r="A158" s="1" t="s">
        <v>265</v>
      </c>
      <c r="B158" s="1" t="s">
        <v>263</v>
      </c>
      <c r="C158" s="2">
        <v>45328.4375</v>
      </c>
      <c r="D158" s="4">
        <f t="shared" si="9"/>
        <v>45328</v>
      </c>
      <c r="E158" s="6">
        <v>7.11944444444089</v>
      </c>
      <c r="F158" s="6" t="str" cm="1">
        <f t="array" ref="F158">_xlfn.IFS(
     AND(HOUR(session_data[[#This Row],[Time]])&gt;5,HOUR(session_data[[#This Row],[Time]])&lt;12),"Morning",
     AND(HOUR(session_data[[#This Row],[Time]])&gt;=12,HOUR(session_data[[#This Row],[Time]])&lt;17),"Afternoon",
     AND(HOUR(session_data[[#This Row],[Time]])&gt;=17,HOUR(session_data[[#This Row],[Time]])&lt;21),"Evening",
     TRUE,"Night"
)</f>
        <v>Night</v>
      </c>
      <c r="G158" s="1">
        <f t="shared" si="10"/>
        <v>2024</v>
      </c>
      <c r="H158" s="1" t="str">
        <f t="shared" si="11"/>
        <v>Feb</v>
      </c>
      <c r="I158" s="1" t="str">
        <f t="shared" si="8"/>
        <v>Tue</v>
      </c>
      <c r="J158" s="1" t="s">
        <v>18</v>
      </c>
      <c r="K158" s="1" t="s">
        <v>12</v>
      </c>
      <c r="L158" s="1" t="s">
        <v>41</v>
      </c>
      <c r="M158" s="1" t="s">
        <v>40</v>
      </c>
      <c r="N158" s="1" t="s">
        <v>22</v>
      </c>
      <c r="O158" t="s">
        <v>15</v>
      </c>
    </row>
    <row r="159" spans="1:15" x14ac:dyDescent="0.25">
      <c r="A159" s="1" t="s">
        <v>266</v>
      </c>
      <c r="B159" s="1" t="s">
        <v>267</v>
      </c>
      <c r="C159" s="3">
        <v>45500.111111111109</v>
      </c>
      <c r="D159" s="4">
        <f t="shared" si="9"/>
        <v>45500</v>
      </c>
      <c r="E159" s="6">
        <v>7.1611111111075498</v>
      </c>
      <c r="F159" s="6" t="str" cm="1">
        <f t="array" ref="F159">_xlfn.IFS(
     AND(HOUR(session_data[[#This Row],[Time]])&gt;5,HOUR(session_data[[#This Row],[Time]])&lt;12),"Morning",
     AND(HOUR(session_data[[#This Row],[Time]])&gt;=12,HOUR(session_data[[#This Row],[Time]])&lt;17),"Afternoon",
     AND(HOUR(session_data[[#This Row],[Time]])&gt;=17,HOUR(session_data[[#This Row],[Time]])&lt;21),"Evening",
     TRUE,"Night"
)</f>
        <v>Night</v>
      </c>
      <c r="G159" s="1">
        <f t="shared" si="10"/>
        <v>2024</v>
      </c>
      <c r="H159" s="1" t="str">
        <f t="shared" si="11"/>
        <v>Jul</v>
      </c>
      <c r="I159" s="1" t="str">
        <f t="shared" si="8"/>
        <v>Sat</v>
      </c>
      <c r="J159" s="1" t="s">
        <v>18</v>
      </c>
      <c r="K159" s="1" t="s">
        <v>29</v>
      </c>
      <c r="L159" s="1" t="s">
        <v>41</v>
      </c>
      <c r="M159" s="1" t="s">
        <v>40</v>
      </c>
      <c r="N159" s="1" t="s">
        <v>14</v>
      </c>
      <c r="O159" t="s">
        <v>45</v>
      </c>
    </row>
    <row r="160" spans="1:15" x14ac:dyDescent="0.25">
      <c r="A160" s="1" t="s">
        <v>268</v>
      </c>
      <c r="B160" s="1" t="s">
        <v>267</v>
      </c>
      <c r="C160" s="3">
        <v>45521.319444444445</v>
      </c>
      <c r="D160" s="4">
        <f t="shared" si="9"/>
        <v>45521</v>
      </c>
      <c r="E160" s="6">
        <v>7.2027777777742203</v>
      </c>
      <c r="F160" s="6" t="str" cm="1">
        <f t="array" ref="F160">_xlfn.IFS(
     AND(HOUR(session_data[[#This Row],[Time]])&gt;5,HOUR(session_data[[#This Row],[Time]])&lt;12),"Morning",
     AND(HOUR(session_data[[#This Row],[Time]])&gt;=12,HOUR(session_data[[#This Row],[Time]])&lt;17),"Afternoon",
     AND(HOUR(session_data[[#This Row],[Time]])&gt;=17,HOUR(session_data[[#This Row],[Time]])&lt;21),"Evening",
     TRUE,"Night"
)</f>
        <v>Night</v>
      </c>
      <c r="G160" s="1">
        <f t="shared" si="10"/>
        <v>2024</v>
      </c>
      <c r="H160" s="1" t="str">
        <f t="shared" si="11"/>
        <v>Aug</v>
      </c>
      <c r="I160" s="1" t="str">
        <f t="shared" si="8"/>
        <v>Sat</v>
      </c>
      <c r="J160" s="1" t="s">
        <v>18</v>
      </c>
      <c r="K160" s="1" t="s">
        <v>29</v>
      </c>
      <c r="L160" s="1" t="s">
        <v>41</v>
      </c>
      <c r="M160" s="1" t="s">
        <v>40</v>
      </c>
      <c r="N160" s="1" t="s">
        <v>22</v>
      </c>
      <c r="O160" t="s">
        <v>45</v>
      </c>
    </row>
    <row r="161" spans="1:15" x14ac:dyDescent="0.25">
      <c r="A161" s="1" t="s">
        <v>269</v>
      </c>
      <c r="B161" s="1" t="s">
        <v>267</v>
      </c>
      <c r="C161" s="2">
        <v>45513.486111111109</v>
      </c>
      <c r="D161" s="4">
        <f t="shared" si="9"/>
        <v>45513</v>
      </c>
      <c r="E161" s="6">
        <v>7.24444444444089</v>
      </c>
      <c r="F161" s="6" t="str" cm="1">
        <f t="array" ref="F161">_xlfn.IFS(
     AND(HOUR(session_data[[#This Row],[Time]])&gt;5,HOUR(session_data[[#This Row],[Time]])&lt;12),"Morning",
     AND(HOUR(session_data[[#This Row],[Time]])&gt;=12,HOUR(session_data[[#This Row],[Time]])&lt;17),"Afternoon",
     AND(HOUR(session_data[[#This Row],[Time]])&gt;=17,HOUR(session_data[[#This Row],[Time]])&lt;21),"Evening",
     TRUE,"Night"
)</f>
        <v>Night</v>
      </c>
      <c r="G161" s="1">
        <f t="shared" si="10"/>
        <v>2024</v>
      </c>
      <c r="H161" s="1" t="str">
        <f t="shared" si="11"/>
        <v>Aug</v>
      </c>
      <c r="I161" s="1" t="str">
        <f t="shared" si="8"/>
        <v>Fri</v>
      </c>
      <c r="J161" s="1" t="s">
        <v>18</v>
      </c>
      <c r="K161" s="1" t="s">
        <v>29</v>
      </c>
      <c r="L161" s="1" t="s">
        <v>41</v>
      </c>
      <c r="M161" s="1" t="s">
        <v>40</v>
      </c>
      <c r="N161" s="1" t="s">
        <v>22</v>
      </c>
      <c r="O161" t="s">
        <v>45</v>
      </c>
    </row>
    <row r="162" spans="1:15" x14ac:dyDescent="0.25">
      <c r="A162" s="1" t="s">
        <v>270</v>
      </c>
      <c r="B162" s="1" t="s">
        <v>271</v>
      </c>
      <c r="C162" s="2">
        <v>45474.481944444444</v>
      </c>
      <c r="D162" s="4">
        <f t="shared" si="9"/>
        <v>45474</v>
      </c>
      <c r="E162" s="6">
        <v>7.2861111111075498</v>
      </c>
      <c r="F162" s="6" t="str" cm="1">
        <f t="array" ref="F162">_xlfn.IFS(
     AND(HOUR(session_data[[#This Row],[Time]])&gt;5,HOUR(session_data[[#This Row],[Time]])&lt;12),"Morning",
     AND(HOUR(session_data[[#This Row],[Time]])&gt;=12,HOUR(session_data[[#This Row],[Time]])&lt;17),"Afternoon",
     AND(HOUR(session_data[[#This Row],[Time]])&gt;=17,HOUR(session_data[[#This Row],[Time]])&lt;21),"Evening",
     TRUE,"Night"
)</f>
        <v>Morning</v>
      </c>
      <c r="G162" s="1">
        <f t="shared" si="10"/>
        <v>2024</v>
      </c>
      <c r="H162" s="1" t="str">
        <f t="shared" si="11"/>
        <v>Jul</v>
      </c>
      <c r="I162" s="1" t="str">
        <f t="shared" si="8"/>
        <v>Mon</v>
      </c>
      <c r="J162" s="1" t="s">
        <v>18</v>
      </c>
      <c r="K162" s="1" t="s">
        <v>12</v>
      </c>
      <c r="L162" s="1" t="s">
        <v>50</v>
      </c>
      <c r="M162" s="1" t="s">
        <v>19</v>
      </c>
      <c r="N162" s="1" t="s">
        <v>14</v>
      </c>
      <c r="O162" t="s">
        <v>15</v>
      </c>
    </row>
    <row r="163" spans="1:15" x14ac:dyDescent="0.25">
      <c r="A163" s="1" t="s">
        <v>272</v>
      </c>
      <c r="B163" s="1" t="s">
        <v>273</v>
      </c>
      <c r="C163" s="2">
        <v>45510.713194444441</v>
      </c>
      <c r="D163" s="4">
        <f t="shared" si="9"/>
        <v>45510</v>
      </c>
      <c r="E163" s="6">
        <v>7.3277777777742203</v>
      </c>
      <c r="F163" s="6" t="str" cm="1">
        <f t="array" ref="F163">_xlfn.IFS(
     AND(HOUR(session_data[[#This Row],[Time]])&gt;5,HOUR(session_data[[#This Row],[Time]])&lt;12),"Morning",
     AND(HOUR(session_data[[#This Row],[Time]])&gt;=12,HOUR(session_data[[#This Row],[Time]])&lt;17),"Afternoon",
     AND(HOUR(session_data[[#This Row],[Time]])&gt;=17,HOUR(session_data[[#This Row],[Time]])&lt;21),"Evening",
     TRUE,"Night"
)</f>
        <v>Morning</v>
      </c>
      <c r="G163" s="1">
        <f t="shared" si="10"/>
        <v>2024</v>
      </c>
      <c r="H163" s="1" t="str">
        <f t="shared" si="11"/>
        <v>Aug</v>
      </c>
      <c r="I163" s="1" t="str">
        <f t="shared" si="8"/>
        <v>Tue</v>
      </c>
      <c r="J163" s="1" t="s">
        <v>11</v>
      </c>
      <c r="K163" s="1" t="s">
        <v>36</v>
      </c>
      <c r="L163" s="1" t="s">
        <v>30</v>
      </c>
      <c r="M163" s="1" t="s">
        <v>32</v>
      </c>
      <c r="N163" s="1" t="s">
        <v>14</v>
      </c>
      <c r="O163" t="s">
        <v>45</v>
      </c>
    </row>
    <row r="164" spans="1:15" x14ac:dyDescent="0.25">
      <c r="A164" s="1" t="s">
        <v>274</v>
      </c>
      <c r="B164" s="1" t="s">
        <v>275</v>
      </c>
      <c r="C164" s="2">
        <v>45173.011111111111</v>
      </c>
      <c r="D164" s="4">
        <f t="shared" si="9"/>
        <v>45173</v>
      </c>
      <c r="E164" s="6">
        <v>7.36944444444089</v>
      </c>
      <c r="F164" s="6" t="str" cm="1">
        <f t="array" ref="F164">_xlfn.IFS(
     AND(HOUR(session_data[[#This Row],[Time]])&gt;5,HOUR(session_data[[#This Row],[Time]])&lt;12),"Morning",
     AND(HOUR(session_data[[#This Row],[Time]])&gt;=12,HOUR(session_data[[#This Row],[Time]])&lt;17),"Afternoon",
     AND(HOUR(session_data[[#This Row],[Time]])&gt;=17,HOUR(session_data[[#This Row],[Time]])&lt;21),"Evening",
     TRUE,"Night"
)</f>
        <v>Morning</v>
      </c>
      <c r="G164" s="1">
        <f t="shared" si="10"/>
        <v>2023</v>
      </c>
      <c r="H164" s="1" t="str">
        <f t="shared" si="11"/>
        <v>Sep</v>
      </c>
      <c r="I164" s="1" t="str">
        <f t="shared" si="8"/>
        <v>Mon</v>
      </c>
      <c r="J164" s="1" t="s">
        <v>18</v>
      </c>
      <c r="K164" s="1" t="s">
        <v>29</v>
      </c>
      <c r="L164" s="1" t="s">
        <v>13</v>
      </c>
      <c r="M164" s="1" t="s">
        <v>32</v>
      </c>
      <c r="N164" s="1" t="s">
        <v>14</v>
      </c>
      <c r="O164" t="s">
        <v>45</v>
      </c>
    </row>
    <row r="165" spans="1:15" x14ac:dyDescent="0.25">
      <c r="A165" s="1" t="s">
        <v>276</v>
      </c>
      <c r="B165" s="1" t="s">
        <v>277</v>
      </c>
      <c r="C165" s="2">
        <v>45508.868750000001</v>
      </c>
      <c r="D165" s="4">
        <f t="shared" si="9"/>
        <v>45508</v>
      </c>
      <c r="E165" s="6">
        <v>7.4111111111075498</v>
      </c>
      <c r="F165" s="6" t="str" cm="1">
        <f t="array" ref="F165">_xlfn.IFS(
     AND(HOUR(session_data[[#This Row],[Time]])&gt;5,HOUR(session_data[[#This Row],[Time]])&lt;12),"Morning",
     AND(HOUR(session_data[[#This Row],[Time]])&gt;=12,HOUR(session_data[[#This Row],[Time]])&lt;17),"Afternoon",
     AND(HOUR(session_data[[#This Row],[Time]])&gt;=17,HOUR(session_data[[#This Row],[Time]])&lt;21),"Evening",
     TRUE,"Night"
)</f>
        <v>Morning</v>
      </c>
      <c r="G165" s="1">
        <f t="shared" si="10"/>
        <v>2024</v>
      </c>
      <c r="H165" s="1" t="str">
        <f t="shared" si="11"/>
        <v>Aug</v>
      </c>
      <c r="I165" s="1" t="str">
        <f t="shared" si="8"/>
        <v>Sun</v>
      </c>
      <c r="J165" s="1" t="s">
        <v>44</v>
      </c>
      <c r="K165" s="1" t="s">
        <v>29</v>
      </c>
      <c r="L165" s="1" t="s">
        <v>41</v>
      </c>
      <c r="M165" s="1" t="s">
        <v>40</v>
      </c>
      <c r="N165" s="1" t="s">
        <v>14</v>
      </c>
      <c r="O165" t="s">
        <v>45</v>
      </c>
    </row>
    <row r="166" spans="1:15" x14ac:dyDescent="0.25">
      <c r="A166" s="1" t="s">
        <v>278</v>
      </c>
      <c r="B166" s="1" t="s">
        <v>277</v>
      </c>
      <c r="C166" s="3">
        <v>45411.118750000001</v>
      </c>
      <c r="D166" s="4">
        <f t="shared" si="9"/>
        <v>45411</v>
      </c>
      <c r="E166" s="6">
        <v>7.4527777777742203</v>
      </c>
      <c r="F166" s="6" t="str" cm="1">
        <f t="array" ref="F166">_xlfn.IFS(
     AND(HOUR(session_data[[#This Row],[Time]])&gt;5,HOUR(session_data[[#This Row],[Time]])&lt;12),"Morning",
     AND(HOUR(session_data[[#This Row],[Time]])&gt;=12,HOUR(session_data[[#This Row],[Time]])&lt;17),"Afternoon",
     AND(HOUR(session_data[[#This Row],[Time]])&gt;=17,HOUR(session_data[[#This Row],[Time]])&lt;21),"Evening",
     TRUE,"Night"
)</f>
        <v>Morning</v>
      </c>
      <c r="G166" s="1">
        <f t="shared" si="10"/>
        <v>2024</v>
      </c>
      <c r="H166" s="1" t="str">
        <f t="shared" si="11"/>
        <v>Apr</v>
      </c>
      <c r="I166" s="1" t="str">
        <f t="shared" si="8"/>
        <v>Mon</v>
      </c>
      <c r="J166" s="1" t="s">
        <v>44</v>
      </c>
      <c r="K166" s="1" t="s">
        <v>29</v>
      </c>
      <c r="L166" s="1" t="s">
        <v>41</v>
      </c>
      <c r="M166" s="1" t="s">
        <v>40</v>
      </c>
      <c r="N166" s="1" t="s">
        <v>22</v>
      </c>
      <c r="O166" t="s">
        <v>45</v>
      </c>
    </row>
    <row r="167" spans="1:15" x14ac:dyDescent="0.25">
      <c r="A167" s="1" t="s">
        <v>279</v>
      </c>
      <c r="B167" s="1" t="s">
        <v>277</v>
      </c>
      <c r="C167" s="2">
        <v>45631.035416666666</v>
      </c>
      <c r="D167" s="4">
        <f t="shared" si="9"/>
        <v>45631</v>
      </c>
      <c r="E167" s="6">
        <v>7.49444444444089</v>
      </c>
      <c r="F167" s="6" t="str" cm="1">
        <f t="array" ref="F167">_xlfn.IFS(
     AND(HOUR(session_data[[#This Row],[Time]])&gt;5,HOUR(session_data[[#This Row],[Time]])&lt;12),"Morning",
     AND(HOUR(session_data[[#This Row],[Time]])&gt;=12,HOUR(session_data[[#This Row],[Time]])&lt;17),"Afternoon",
     AND(HOUR(session_data[[#This Row],[Time]])&gt;=17,HOUR(session_data[[#This Row],[Time]])&lt;21),"Evening",
     TRUE,"Night"
)</f>
        <v>Morning</v>
      </c>
      <c r="G167" s="1">
        <f t="shared" si="10"/>
        <v>2024</v>
      </c>
      <c r="H167" s="1" t="str">
        <f t="shared" si="11"/>
        <v>Dec</v>
      </c>
      <c r="I167" s="1" t="str">
        <f t="shared" si="8"/>
        <v>Thu</v>
      </c>
      <c r="J167" s="1" t="s">
        <v>44</v>
      </c>
      <c r="K167" s="1" t="s">
        <v>29</v>
      </c>
      <c r="L167" s="1" t="s">
        <v>41</v>
      </c>
      <c r="M167" s="1" t="s">
        <v>40</v>
      </c>
      <c r="N167" s="1" t="s">
        <v>22</v>
      </c>
      <c r="O167" t="s">
        <v>45</v>
      </c>
    </row>
    <row r="168" spans="1:15" x14ac:dyDescent="0.25">
      <c r="A168" s="1" t="s">
        <v>280</v>
      </c>
      <c r="B168" s="1" t="s">
        <v>277</v>
      </c>
      <c r="C168" s="2">
        <v>45328.743750000001</v>
      </c>
      <c r="D168" s="4">
        <f t="shared" si="9"/>
        <v>45328</v>
      </c>
      <c r="E168" s="6">
        <v>7.5361111111075498</v>
      </c>
      <c r="F168" s="6" t="str" cm="1">
        <f t="array" ref="F168">_xlfn.IFS(
     AND(HOUR(session_data[[#This Row],[Time]])&gt;5,HOUR(session_data[[#This Row],[Time]])&lt;12),"Morning",
     AND(HOUR(session_data[[#This Row],[Time]])&gt;=12,HOUR(session_data[[#This Row],[Time]])&lt;17),"Afternoon",
     AND(HOUR(session_data[[#This Row],[Time]])&gt;=17,HOUR(session_data[[#This Row],[Time]])&lt;21),"Evening",
     TRUE,"Night"
)</f>
        <v>Afternoon</v>
      </c>
      <c r="G168" s="1">
        <f t="shared" si="10"/>
        <v>2024</v>
      </c>
      <c r="H168" s="1" t="str">
        <f t="shared" si="11"/>
        <v>Feb</v>
      </c>
      <c r="I168" s="1" t="str">
        <f t="shared" si="8"/>
        <v>Tue</v>
      </c>
      <c r="J168" s="1" t="s">
        <v>44</v>
      </c>
      <c r="K168" s="1" t="s">
        <v>29</v>
      </c>
      <c r="L168" s="1" t="s">
        <v>41</v>
      </c>
      <c r="M168" s="1" t="s">
        <v>40</v>
      </c>
      <c r="N168" s="1" t="s">
        <v>22</v>
      </c>
      <c r="O168" t="s">
        <v>45</v>
      </c>
    </row>
    <row r="169" spans="1:15" x14ac:dyDescent="0.25">
      <c r="A169" s="1" t="s">
        <v>281</v>
      </c>
      <c r="B169" s="1" t="s">
        <v>282</v>
      </c>
      <c r="C169" s="3">
        <v>45549.114583333336</v>
      </c>
      <c r="D169" s="4">
        <f t="shared" si="9"/>
        <v>45549</v>
      </c>
      <c r="E169" s="6">
        <v>7.5777777777742203</v>
      </c>
      <c r="F169" s="6" t="str" cm="1">
        <f t="array" ref="F169">_xlfn.IFS(
     AND(HOUR(session_data[[#This Row],[Time]])&gt;5,HOUR(session_data[[#This Row],[Time]])&lt;12),"Morning",
     AND(HOUR(session_data[[#This Row],[Time]])&gt;=12,HOUR(session_data[[#This Row],[Time]])&lt;17),"Afternoon",
     AND(HOUR(session_data[[#This Row],[Time]])&gt;=17,HOUR(session_data[[#This Row],[Time]])&lt;21),"Evening",
     TRUE,"Night"
)</f>
        <v>Afternoon</v>
      </c>
      <c r="G169" s="1">
        <f t="shared" si="10"/>
        <v>2024</v>
      </c>
      <c r="H169" s="1" t="str">
        <f t="shared" si="11"/>
        <v>Sep</v>
      </c>
      <c r="I169" s="1" t="str">
        <f t="shared" si="8"/>
        <v>Sat</v>
      </c>
      <c r="J169" s="1" t="s">
        <v>18</v>
      </c>
      <c r="K169" s="1" t="s">
        <v>12</v>
      </c>
      <c r="L169" s="1" t="s">
        <v>30</v>
      </c>
      <c r="M169" s="1" t="s">
        <v>32</v>
      </c>
      <c r="N169" s="1" t="s">
        <v>14</v>
      </c>
      <c r="O169" t="s">
        <v>15</v>
      </c>
    </row>
    <row r="170" spans="1:15" x14ac:dyDescent="0.25">
      <c r="A170" s="1" t="s">
        <v>283</v>
      </c>
      <c r="B170" s="1" t="s">
        <v>282</v>
      </c>
      <c r="C170" s="2">
        <v>45332.489583333336</v>
      </c>
      <c r="D170" s="4">
        <f t="shared" si="9"/>
        <v>45332</v>
      </c>
      <c r="E170" s="6">
        <v>7.61944444444089</v>
      </c>
      <c r="F170" s="6" t="str" cm="1">
        <f t="array" ref="F170">_xlfn.IFS(
     AND(HOUR(session_data[[#This Row],[Time]])&gt;5,HOUR(session_data[[#This Row],[Time]])&lt;12),"Morning",
     AND(HOUR(session_data[[#This Row],[Time]])&gt;=12,HOUR(session_data[[#This Row],[Time]])&lt;17),"Afternoon",
     AND(HOUR(session_data[[#This Row],[Time]])&gt;=17,HOUR(session_data[[#This Row],[Time]])&lt;21),"Evening",
     TRUE,"Night"
)</f>
        <v>Afternoon</v>
      </c>
      <c r="G170" s="1">
        <f t="shared" si="10"/>
        <v>2024</v>
      </c>
      <c r="H170" s="1" t="str">
        <f t="shared" si="11"/>
        <v>Feb</v>
      </c>
      <c r="I170" s="1" t="str">
        <f t="shared" si="8"/>
        <v>Sat</v>
      </c>
      <c r="J170" s="1" t="s">
        <v>18</v>
      </c>
      <c r="K170" s="1" t="s">
        <v>12</v>
      </c>
      <c r="L170" s="1" t="s">
        <v>30</v>
      </c>
      <c r="M170" s="1" t="s">
        <v>32</v>
      </c>
      <c r="N170" s="1" t="s">
        <v>22</v>
      </c>
      <c r="O170" t="s">
        <v>15</v>
      </c>
    </row>
    <row r="171" spans="1:15" x14ac:dyDescent="0.25">
      <c r="A171" s="1" t="s">
        <v>284</v>
      </c>
      <c r="B171" s="1" t="s">
        <v>285</v>
      </c>
      <c r="C171" s="3">
        <v>45307.819444444445</v>
      </c>
      <c r="D171" s="4">
        <f t="shared" si="9"/>
        <v>45307</v>
      </c>
      <c r="E171" s="6">
        <v>7.6611111111075498</v>
      </c>
      <c r="F171" s="6" t="str" cm="1">
        <f t="array" ref="F171">_xlfn.IFS(
     AND(HOUR(session_data[[#This Row],[Time]])&gt;5,HOUR(session_data[[#This Row],[Time]])&lt;12),"Morning",
     AND(HOUR(session_data[[#This Row],[Time]])&gt;=12,HOUR(session_data[[#This Row],[Time]])&lt;17),"Afternoon",
     AND(HOUR(session_data[[#This Row],[Time]])&gt;=17,HOUR(session_data[[#This Row],[Time]])&lt;21),"Evening",
     TRUE,"Night"
)</f>
        <v>Afternoon</v>
      </c>
      <c r="G171" s="1">
        <f t="shared" si="10"/>
        <v>2024</v>
      </c>
      <c r="H171" s="1" t="str">
        <f t="shared" si="11"/>
        <v>Jan</v>
      </c>
      <c r="I171" s="1" t="str">
        <f t="shared" si="8"/>
        <v>Tue</v>
      </c>
      <c r="J171" s="1" t="s">
        <v>28</v>
      </c>
      <c r="K171" s="1" t="s">
        <v>29</v>
      </c>
      <c r="L171" s="1" t="s">
        <v>41</v>
      </c>
      <c r="M171" s="1" t="s">
        <v>40</v>
      </c>
      <c r="N171" s="1" t="s">
        <v>14</v>
      </c>
      <c r="O171" t="s">
        <v>15</v>
      </c>
    </row>
    <row r="172" spans="1:15" x14ac:dyDescent="0.25">
      <c r="A172" s="1" t="s">
        <v>286</v>
      </c>
      <c r="B172" s="1" t="s">
        <v>287</v>
      </c>
      <c r="C172" s="2">
        <v>45450.96875</v>
      </c>
      <c r="D172" s="4">
        <f t="shared" si="9"/>
        <v>45450</v>
      </c>
      <c r="E172" s="6">
        <v>7.7027777777742203</v>
      </c>
      <c r="F172" s="6" t="str" cm="1">
        <f t="array" ref="F172">_xlfn.IFS(
     AND(HOUR(session_data[[#This Row],[Time]])&gt;5,HOUR(session_data[[#This Row],[Time]])&lt;12),"Morning",
     AND(HOUR(session_data[[#This Row],[Time]])&gt;=12,HOUR(session_data[[#This Row],[Time]])&lt;17),"Afternoon",
     AND(HOUR(session_data[[#This Row],[Time]])&gt;=17,HOUR(session_data[[#This Row],[Time]])&lt;21),"Evening",
     TRUE,"Night"
)</f>
        <v>Afternoon</v>
      </c>
      <c r="G172" s="1">
        <f t="shared" si="10"/>
        <v>2024</v>
      </c>
      <c r="H172" s="1" t="str">
        <f t="shared" si="11"/>
        <v>Jun</v>
      </c>
      <c r="I172" s="1" t="str">
        <f t="shared" si="8"/>
        <v>Fri</v>
      </c>
      <c r="J172" s="1" t="s">
        <v>11</v>
      </c>
      <c r="K172" s="1" t="s">
        <v>29</v>
      </c>
      <c r="L172" s="1" t="s">
        <v>79</v>
      </c>
      <c r="M172" s="1" t="s">
        <v>40</v>
      </c>
      <c r="N172" s="1" t="s">
        <v>14</v>
      </c>
      <c r="O172" t="s">
        <v>45</v>
      </c>
    </row>
    <row r="173" spans="1:15" x14ac:dyDescent="0.25">
      <c r="A173" s="1" t="s">
        <v>288</v>
      </c>
      <c r="B173" s="1" t="s">
        <v>289</v>
      </c>
      <c r="C173" s="3">
        <v>45369.664583333331</v>
      </c>
      <c r="D173" s="4">
        <f t="shared" si="9"/>
        <v>45369</v>
      </c>
      <c r="E173" s="6">
        <v>7.74444444444089</v>
      </c>
      <c r="F173" s="6" t="str" cm="1">
        <f t="array" ref="F173">_xlfn.IFS(
     AND(HOUR(session_data[[#This Row],[Time]])&gt;5,HOUR(session_data[[#This Row],[Time]])&lt;12),"Morning",
     AND(HOUR(session_data[[#This Row],[Time]])&gt;=12,HOUR(session_data[[#This Row],[Time]])&lt;17),"Afternoon",
     AND(HOUR(session_data[[#This Row],[Time]])&gt;=17,HOUR(session_data[[#This Row],[Time]])&lt;21),"Evening",
     TRUE,"Night"
)</f>
        <v>Evening</v>
      </c>
      <c r="G173" s="1">
        <f t="shared" si="10"/>
        <v>2024</v>
      </c>
      <c r="H173" s="1" t="str">
        <f t="shared" si="11"/>
        <v>Mar</v>
      </c>
      <c r="I173" s="1" t="str">
        <f t="shared" si="8"/>
        <v>Mon</v>
      </c>
      <c r="J173" s="1" t="s">
        <v>11</v>
      </c>
      <c r="K173" s="1" t="s">
        <v>29</v>
      </c>
      <c r="L173" s="1" t="s">
        <v>79</v>
      </c>
      <c r="M173" s="1" t="s">
        <v>40</v>
      </c>
      <c r="N173" s="1" t="s">
        <v>14</v>
      </c>
      <c r="O173" t="s">
        <v>15</v>
      </c>
    </row>
    <row r="174" spans="1:15" x14ac:dyDescent="0.25">
      <c r="A174" s="1" t="s">
        <v>290</v>
      </c>
      <c r="B174" s="1" t="s">
        <v>291</v>
      </c>
      <c r="C174" s="2">
        <v>45566.296527777777</v>
      </c>
      <c r="D174" s="4">
        <f t="shared" si="9"/>
        <v>45566</v>
      </c>
      <c r="E174" s="6">
        <v>7.7861111111075498</v>
      </c>
      <c r="F174" s="6" t="str" cm="1">
        <f t="array" ref="F174">_xlfn.IFS(
     AND(HOUR(session_data[[#This Row],[Time]])&gt;5,HOUR(session_data[[#This Row],[Time]])&lt;12),"Morning",
     AND(HOUR(session_data[[#This Row],[Time]])&gt;=12,HOUR(session_data[[#This Row],[Time]])&lt;17),"Afternoon",
     AND(HOUR(session_data[[#This Row],[Time]])&gt;=17,HOUR(session_data[[#This Row],[Time]])&lt;21),"Evening",
     TRUE,"Night"
)</f>
        <v>Evening</v>
      </c>
      <c r="G174" s="1">
        <f t="shared" si="10"/>
        <v>2024</v>
      </c>
      <c r="H174" s="1" t="str">
        <f t="shared" si="11"/>
        <v>Oct</v>
      </c>
      <c r="I174" s="1" t="str">
        <f t="shared" si="8"/>
        <v>Tue</v>
      </c>
      <c r="J174" s="1" t="s">
        <v>11</v>
      </c>
      <c r="K174" s="1" t="s">
        <v>29</v>
      </c>
      <c r="L174" s="1" t="s">
        <v>13</v>
      </c>
      <c r="M174" s="1" t="s">
        <v>32</v>
      </c>
      <c r="N174" s="1" t="s">
        <v>14</v>
      </c>
      <c r="O174" t="s">
        <v>45</v>
      </c>
    </row>
    <row r="175" spans="1:15" x14ac:dyDescent="0.25">
      <c r="A175" s="1" t="s">
        <v>292</v>
      </c>
      <c r="B175" s="1" t="s">
        <v>293</v>
      </c>
      <c r="C175" s="2">
        <v>45538.826388888891</v>
      </c>
      <c r="D175" s="4">
        <f t="shared" si="9"/>
        <v>45538</v>
      </c>
      <c r="E175" s="6">
        <v>7.8277777777742203</v>
      </c>
      <c r="F175" s="6" t="str" cm="1">
        <f t="array" ref="F175">_xlfn.IFS(
     AND(HOUR(session_data[[#This Row],[Time]])&gt;5,HOUR(session_data[[#This Row],[Time]])&lt;12),"Morning",
     AND(HOUR(session_data[[#This Row],[Time]])&gt;=12,HOUR(session_data[[#This Row],[Time]])&lt;17),"Afternoon",
     AND(HOUR(session_data[[#This Row],[Time]])&gt;=17,HOUR(session_data[[#This Row],[Time]])&lt;21),"Evening",
     TRUE,"Night"
)</f>
        <v>Evening</v>
      </c>
      <c r="G175" s="1">
        <f t="shared" si="10"/>
        <v>2024</v>
      </c>
      <c r="H175" s="1" t="str">
        <f t="shared" si="11"/>
        <v>Sep</v>
      </c>
      <c r="I175" s="1" t="str">
        <f t="shared" si="8"/>
        <v>Tue</v>
      </c>
      <c r="J175" s="1" t="s">
        <v>11</v>
      </c>
      <c r="K175" s="1" t="s">
        <v>12</v>
      </c>
      <c r="L175" s="1" t="s">
        <v>13</v>
      </c>
      <c r="M175" s="1" t="s">
        <v>32</v>
      </c>
      <c r="N175" s="1" t="s">
        <v>14</v>
      </c>
      <c r="O175" t="s">
        <v>45</v>
      </c>
    </row>
    <row r="176" spans="1:15" x14ac:dyDescent="0.25">
      <c r="A176" s="1" t="s">
        <v>294</v>
      </c>
      <c r="B176" s="1" t="s">
        <v>293</v>
      </c>
      <c r="C176" s="3">
        <v>45369.201388888891</v>
      </c>
      <c r="D176" s="4">
        <f t="shared" si="9"/>
        <v>45369</v>
      </c>
      <c r="E176" s="6">
        <v>7.86944444444089</v>
      </c>
      <c r="F176" s="6" t="str" cm="1">
        <f t="array" ref="F176">_xlfn.IFS(
     AND(HOUR(session_data[[#This Row],[Time]])&gt;5,HOUR(session_data[[#This Row],[Time]])&lt;12),"Morning",
     AND(HOUR(session_data[[#This Row],[Time]])&gt;=12,HOUR(session_data[[#This Row],[Time]])&lt;17),"Afternoon",
     AND(HOUR(session_data[[#This Row],[Time]])&gt;=17,HOUR(session_data[[#This Row],[Time]])&lt;21),"Evening",
     TRUE,"Night"
)</f>
        <v>Evening</v>
      </c>
      <c r="G176" s="1">
        <f t="shared" si="10"/>
        <v>2024</v>
      </c>
      <c r="H176" s="1" t="str">
        <f t="shared" si="11"/>
        <v>Mar</v>
      </c>
      <c r="I176" s="1" t="str">
        <f t="shared" si="8"/>
        <v>Mon</v>
      </c>
      <c r="J176" s="1" t="s">
        <v>11</v>
      </c>
      <c r="K176" s="1" t="s">
        <v>12</v>
      </c>
      <c r="L176" s="1" t="s">
        <v>13</v>
      </c>
      <c r="M176" s="1" t="s">
        <v>32</v>
      </c>
      <c r="N176" s="1" t="s">
        <v>22</v>
      </c>
      <c r="O176" t="s">
        <v>45</v>
      </c>
    </row>
    <row r="177" spans="1:15" x14ac:dyDescent="0.25">
      <c r="A177" s="1" t="s">
        <v>295</v>
      </c>
      <c r="B177" s="1" t="s">
        <v>293</v>
      </c>
      <c r="C177" s="3">
        <v>45405.951388888891</v>
      </c>
      <c r="D177" s="4">
        <f t="shared" si="9"/>
        <v>45405</v>
      </c>
      <c r="E177" s="6">
        <v>7.9111111111075498</v>
      </c>
      <c r="F177" s="6" t="str" cm="1">
        <f t="array" ref="F177">_xlfn.IFS(
     AND(HOUR(session_data[[#This Row],[Time]])&gt;5,HOUR(session_data[[#This Row],[Time]])&lt;12),"Morning",
     AND(HOUR(session_data[[#This Row],[Time]])&gt;=12,HOUR(session_data[[#This Row],[Time]])&lt;17),"Afternoon",
     AND(HOUR(session_data[[#This Row],[Time]])&gt;=17,HOUR(session_data[[#This Row],[Time]])&lt;21),"Evening",
     TRUE,"Night"
)</f>
        <v>Night</v>
      </c>
      <c r="G177" s="1">
        <f t="shared" si="10"/>
        <v>2024</v>
      </c>
      <c r="H177" s="1" t="str">
        <f t="shared" si="11"/>
        <v>Apr</v>
      </c>
      <c r="I177" s="1" t="str">
        <f t="shared" si="8"/>
        <v>Tue</v>
      </c>
      <c r="J177" s="1" t="s">
        <v>11</v>
      </c>
      <c r="K177" s="1" t="s">
        <v>12</v>
      </c>
      <c r="L177" s="1" t="s">
        <v>13</v>
      </c>
      <c r="M177" s="1" t="s">
        <v>32</v>
      </c>
      <c r="N177" s="1" t="s">
        <v>22</v>
      </c>
      <c r="O177" t="s">
        <v>45</v>
      </c>
    </row>
    <row r="178" spans="1:15" x14ac:dyDescent="0.25">
      <c r="A178" s="1" t="s">
        <v>296</v>
      </c>
      <c r="B178" s="1" t="s">
        <v>297</v>
      </c>
      <c r="C178" s="2">
        <v>45629.784722222219</v>
      </c>
      <c r="D178" s="4">
        <f t="shared" si="9"/>
        <v>45629</v>
      </c>
      <c r="E178" s="6">
        <v>7.9527777777742203</v>
      </c>
      <c r="F178" s="6" t="str" cm="1">
        <f t="array" ref="F178">_xlfn.IFS(
     AND(HOUR(session_data[[#This Row],[Time]])&gt;5,HOUR(session_data[[#This Row],[Time]])&lt;12),"Morning",
     AND(HOUR(session_data[[#This Row],[Time]])&gt;=12,HOUR(session_data[[#This Row],[Time]])&lt;17),"Afternoon",
     AND(HOUR(session_data[[#This Row],[Time]])&gt;=17,HOUR(session_data[[#This Row],[Time]])&lt;21),"Evening",
     TRUE,"Night"
)</f>
        <v>Night</v>
      </c>
      <c r="G178" s="1">
        <f t="shared" si="10"/>
        <v>2024</v>
      </c>
      <c r="H178" s="1" t="str">
        <f t="shared" si="11"/>
        <v>Dec</v>
      </c>
      <c r="I178" s="1" t="str">
        <f t="shared" si="8"/>
        <v>Tue</v>
      </c>
      <c r="J178" s="1" t="s">
        <v>18</v>
      </c>
      <c r="K178" s="1" t="s">
        <v>12</v>
      </c>
      <c r="L178" s="1" t="s">
        <v>41</v>
      </c>
      <c r="M178" s="1" t="s">
        <v>40</v>
      </c>
      <c r="N178" s="1" t="s">
        <v>14</v>
      </c>
      <c r="O178" t="s">
        <v>15</v>
      </c>
    </row>
    <row r="179" spans="1:15" x14ac:dyDescent="0.25">
      <c r="A179" s="1" t="s">
        <v>298</v>
      </c>
      <c r="B179" s="1" t="s">
        <v>297</v>
      </c>
      <c r="C179" s="3">
        <v>45369.659722222219</v>
      </c>
      <c r="D179" s="4">
        <f t="shared" si="9"/>
        <v>45369</v>
      </c>
      <c r="E179" s="6">
        <v>7.99444444444089</v>
      </c>
      <c r="F179" s="6" t="str" cm="1">
        <f t="array" ref="F179">_xlfn.IFS(
     AND(HOUR(session_data[[#This Row],[Time]])&gt;5,HOUR(session_data[[#This Row],[Time]])&lt;12),"Morning",
     AND(HOUR(session_data[[#This Row],[Time]])&gt;=12,HOUR(session_data[[#This Row],[Time]])&lt;17),"Afternoon",
     AND(HOUR(session_data[[#This Row],[Time]])&gt;=17,HOUR(session_data[[#This Row],[Time]])&lt;21),"Evening",
     TRUE,"Night"
)</f>
        <v>Night</v>
      </c>
      <c r="G179" s="1">
        <f t="shared" si="10"/>
        <v>2024</v>
      </c>
      <c r="H179" s="1" t="str">
        <f t="shared" si="11"/>
        <v>Mar</v>
      </c>
      <c r="I179" s="1" t="str">
        <f t="shared" si="8"/>
        <v>Mon</v>
      </c>
      <c r="J179" s="1" t="s">
        <v>18</v>
      </c>
      <c r="K179" s="1" t="s">
        <v>12</v>
      </c>
      <c r="L179" s="1" t="s">
        <v>41</v>
      </c>
      <c r="M179" s="1" t="s">
        <v>40</v>
      </c>
      <c r="N179" s="1" t="s">
        <v>22</v>
      </c>
      <c r="O179" t="s">
        <v>15</v>
      </c>
    </row>
    <row r="180" spans="1:15" x14ac:dyDescent="0.25">
      <c r="A180" s="1" t="s">
        <v>299</v>
      </c>
      <c r="B180" s="1" t="s">
        <v>300</v>
      </c>
      <c r="C180" s="3">
        <v>44833.72152777778</v>
      </c>
      <c r="D180" s="4">
        <f t="shared" si="9"/>
        <v>44833</v>
      </c>
      <c r="E180" s="6">
        <v>8.0361111111075605</v>
      </c>
      <c r="F180" s="6" t="str" cm="1">
        <f t="array" ref="F180">_xlfn.IFS(
     AND(HOUR(session_data[[#This Row],[Time]])&gt;5,HOUR(session_data[[#This Row],[Time]])&lt;12),"Morning",
     AND(HOUR(session_data[[#This Row],[Time]])&gt;=12,HOUR(session_data[[#This Row],[Time]])&lt;17),"Afternoon",
     AND(HOUR(session_data[[#This Row],[Time]])&gt;=17,HOUR(session_data[[#This Row],[Time]])&lt;21),"Evening",
     TRUE,"Night"
)</f>
        <v>Night</v>
      </c>
      <c r="G180" s="1">
        <f t="shared" si="10"/>
        <v>2022</v>
      </c>
      <c r="H180" s="1" t="str">
        <f t="shared" si="11"/>
        <v>Sep</v>
      </c>
      <c r="I180" s="1" t="str">
        <f t="shared" si="8"/>
        <v>Thu</v>
      </c>
      <c r="J180" s="1" t="s">
        <v>11</v>
      </c>
      <c r="K180" s="1" t="s">
        <v>29</v>
      </c>
      <c r="L180" s="1" t="s">
        <v>50</v>
      </c>
      <c r="M180" s="1" t="s">
        <v>19</v>
      </c>
      <c r="N180" s="1" t="s">
        <v>14</v>
      </c>
      <c r="O180" t="s">
        <v>45</v>
      </c>
    </row>
    <row r="181" spans="1:15" x14ac:dyDescent="0.25">
      <c r="A181" s="1" t="s">
        <v>301</v>
      </c>
      <c r="B181" s="1" t="s">
        <v>300</v>
      </c>
      <c r="C181" s="3">
        <v>44854.804861111108</v>
      </c>
      <c r="D181" s="4">
        <f t="shared" si="9"/>
        <v>44854</v>
      </c>
      <c r="E181" s="6">
        <v>8.0777777777742195</v>
      </c>
      <c r="F181" s="6" t="str" cm="1">
        <f t="array" ref="F181">_xlfn.IFS(
     AND(HOUR(session_data[[#This Row],[Time]])&gt;5,HOUR(session_data[[#This Row],[Time]])&lt;12),"Morning",
     AND(HOUR(session_data[[#This Row],[Time]])&gt;=12,HOUR(session_data[[#This Row],[Time]])&lt;17),"Afternoon",
     AND(HOUR(session_data[[#This Row],[Time]])&gt;=17,HOUR(session_data[[#This Row],[Time]])&lt;21),"Evening",
     TRUE,"Night"
)</f>
        <v>Night</v>
      </c>
      <c r="G181" s="1">
        <f t="shared" si="10"/>
        <v>2022</v>
      </c>
      <c r="H181" s="1" t="str">
        <f t="shared" si="11"/>
        <v>Oct</v>
      </c>
      <c r="I181" s="1" t="str">
        <f t="shared" si="8"/>
        <v>Thu</v>
      </c>
      <c r="J181" s="1" t="s">
        <v>11</v>
      </c>
      <c r="K181" s="1" t="s">
        <v>29</v>
      </c>
      <c r="L181" s="1" t="s">
        <v>50</v>
      </c>
      <c r="M181" s="1" t="s">
        <v>19</v>
      </c>
      <c r="N181" s="1" t="s">
        <v>22</v>
      </c>
      <c r="O181" t="s">
        <v>45</v>
      </c>
    </row>
    <row r="182" spans="1:15" x14ac:dyDescent="0.25">
      <c r="A182" s="1" t="s">
        <v>302</v>
      </c>
      <c r="B182" s="1" t="s">
        <v>300</v>
      </c>
      <c r="C182" s="2">
        <v>44876.763194444444</v>
      </c>
      <c r="D182" s="4">
        <f t="shared" si="9"/>
        <v>44876</v>
      </c>
      <c r="E182" s="6">
        <v>8.1194444444408909</v>
      </c>
      <c r="F182" s="6" t="str" cm="1">
        <f t="array" ref="F182">_xlfn.IFS(
     AND(HOUR(session_data[[#This Row],[Time]])&gt;5,HOUR(session_data[[#This Row],[Time]])&lt;12),"Morning",
     AND(HOUR(session_data[[#This Row],[Time]])&gt;=12,HOUR(session_data[[#This Row],[Time]])&lt;17),"Afternoon",
     AND(HOUR(session_data[[#This Row],[Time]])&gt;=17,HOUR(session_data[[#This Row],[Time]])&lt;21),"Evening",
     TRUE,"Night"
)</f>
        <v>Night</v>
      </c>
      <c r="G182" s="1">
        <f t="shared" si="10"/>
        <v>2022</v>
      </c>
      <c r="H182" s="1" t="str">
        <f t="shared" si="11"/>
        <v>Nov</v>
      </c>
      <c r="I182" s="1" t="str">
        <f t="shared" si="8"/>
        <v>Fri</v>
      </c>
      <c r="J182" s="1" t="s">
        <v>11</v>
      </c>
      <c r="K182" s="1" t="s">
        <v>29</v>
      </c>
      <c r="L182" s="1" t="s">
        <v>50</v>
      </c>
      <c r="M182" s="1" t="s">
        <v>19</v>
      </c>
      <c r="N182" s="1" t="s">
        <v>22</v>
      </c>
      <c r="O182" t="s">
        <v>45</v>
      </c>
    </row>
    <row r="183" spans="1:15" x14ac:dyDescent="0.25">
      <c r="A183" s="1" t="s">
        <v>303</v>
      </c>
      <c r="B183" s="1" t="s">
        <v>300</v>
      </c>
      <c r="C183" s="3">
        <v>44888.72152777778</v>
      </c>
      <c r="D183" s="4">
        <f t="shared" si="9"/>
        <v>44888</v>
      </c>
      <c r="E183" s="6">
        <v>8.1611111111075605</v>
      </c>
      <c r="F183" s="6" t="str" cm="1">
        <f t="array" ref="F183">_xlfn.IFS(
     AND(HOUR(session_data[[#This Row],[Time]])&gt;5,HOUR(session_data[[#This Row],[Time]])&lt;12),"Morning",
     AND(HOUR(session_data[[#This Row],[Time]])&gt;=12,HOUR(session_data[[#This Row],[Time]])&lt;17),"Afternoon",
     AND(HOUR(session_data[[#This Row],[Time]])&gt;=17,HOUR(session_data[[#This Row],[Time]])&lt;21),"Evening",
     TRUE,"Night"
)</f>
        <v>Night</v>
      </c>
      <c r="G183" s="1">
        <f t="shared" si="10"/>
        <v>2022</v>
      </c>
      <c r="H183" s="1" t="str">
        <f t="shared" si="11"/>
        <v>Nov</v>
      </c>
      <c r="I183" s="1" t="str">
        <f t="shared" si="8"/>
        <v>Wed</v>
      </c>
      <c r="J183" s="1" t="s">
        <v>11</v>
      </c>
      <c r="K183" s="1" t="s">
        <v>29</v>
      </c>
      <c r="L183" s="1" t="s">
        <v>50</v>
      </c>
      <c r="M183" s="1" t="s">
        <v>19</v>
      </c>
      <c r="N183" s="1" t="s">
        <v>22</v>
      </c>
      <c r="O183" t="s">
        <v>45</v>
      </c>
    </row>
    <row r="184" spans="1:15" x14ac:dyDescent="0.25">
      <c r="A184" s="1" t="s">
        <v>304</v>
      </c>
      <c r="B184" s="1" t="s">
        <v>305</v>
      </c>
      <c r="C184" s="3">
        <v>45220.855555555558</v>
      </c>
      <c r="D184" s="4">
        <f t="shared" si="9"/>
        <v>45220</v>
      </c>
      <c r="E184" s="6">
        <v>8.2027777777742195</v>
      </c>
      <c r="F184" s="6" t="str" cm="1">
        <f t="array" ref="F184">_xlfn.IFS(
     AND(HOUR(session_data[[#This Row],[Time]])&gt;5,HOUR(session_data[[#This Row],[Time]])&lt;12),"Morning",
     AND(HOUR(session_data[[#This Row],[Time]])&gt;=12,HOUR(session_data[[#This Row],[Time]])&lt;17),"Afternoon",
     AND(HOUR(session_data[[#This Row],[Time]])&gt;=17,HOUR(session_data[[#This Row],[Time]])&lt;21),"Evening",
     TRUE,"Night"
)</f>
        <v>Night</v>
      </c>
      <c r="G184" s="1">
        <f t="shared" si="10"/>
        <v>2023</v>
      </c>
      <c r="H184" s="1" t="str">
        <f t="shared" si="11"/>
        <v>Oct</v>
      </c>
      <c r="I184" s="1" t="str">
        <f t="shared" si="8"/>
        <v>Sat</v>
      </c>
      <c r="J184" s="1" t="s">
        <v>11</v>
      </c>
      <c r="K184" s="1" t="s">
        <v>12</v>
      </c>
      <c r="L184" s="1" t="s">
        <v>79</v>
      </c>
      <c r="M184" s="1" t="s">
        <v>40</v>
      </c>
      <c r="N184" s="1" t="s">
        <v>14</v>
      </c>
      <c r="O184" t="s">
        <v>15</v>
      </c>
    </row>
    <row r="185" spans="1:15" x14ac:dyDescent="0.25">
      <c r="A185" s="1" t="s">
        <v>306</v>
      </c>
      <c r="B185" s="1" t="s">
        <v>305</v>
      </c>
      <c r="C185" s="3">
        <v>45248.272222222222</v>
      </c>
      <c r="D185" s="4">
        <f t="shared" si="9"/>
        <v>45248</v>
      </c>
      <c r="E185" s="6">
        <v>8.2444444444408909</v>
      </c>
      <c r="F185" s="6" t="str" cm="1">
        <f t="array" ref="F185">_xlfn.IFS(
     AND(HOUR(session_data[[#This Row],[Time]])&gt;5,HOUR(session_data[[#This Row],[Time]])&lt;12),"Morning",
     AND(HOUR(session_data[[#This Row],[Time]])&gt;=12,HOUR(session_data[[#This Row],[Time]])&lt;17),"Afternoon",
     AND(HOUR(session_data[[#This Row],[Time]])&gt;=17,HOUR(session_data[[#This Row],[Time]])&lt;21),"Evening",
     TRUE,"Night"
)</f>
        <v>Night</v>
      </c>
      <c r="G185" s="1">
        <f t="shared" si="10"/>
        <v>2023</v>
      </c>
      <c r="H185" s="1" t="str">
        <f t="shared" si="11"/>
        <v>Nov</v>
      </c>
      <c r="I185" s="1" t="str">
        <f t="shared" si="8"/>
        <v>Sat</v>
      </c>
      <c r="J185" s="1" t="s">
        <v>11</v>
      </c>
      <c r="K185" s="1" t="s">
        <v>12</v>
      </c>
      <c r="L185" s="1" t="s">
        <v>79</v>
      </c>
      <c r="M185" s="1" t="s">
        <v>40</v>
      </c>
      <c r="N185" s="1" t="s">
        <v>22</v>
      </c>
      <c r="O185" t="s">
        <v>15</v>
      </c>
    </row>
    <row r="186" spans="1:15" x14ac:dyDescent="0.25">
      <c r="A186" s="1" t="s">
        <v>307</v>
      </c>
      <c r="B186" s="1" t="s">
        <v>308</v>
      </c>
      <c r="C186" s="2">
        <v>45202.37222222222</v>
      </c>
      <c r="D186" s="4">
        <f t="shared" si="9"/>
        <v>45202</v>
      </c>
      <c r="E186" s="6">
        <v>8.2861111111075605</v>
      </c>
      <c r="F186" s="6" t="str" cm="1">
        <f t="array" ref="F186">_xlfn.IFS(
     AND(HOUR(session_data[[#This Row],[Time]])&gt;5,HOUR(session_data[[#This Row],[Time]])&lt;12),"Morning",
     AND(HOUR(session_data[[#This Row],[Time]])&gt;=12,HOUR(session_data[[#This Row],[Time]])&lt;17),"Afternoon",
     AND(HOUR(session_data[[#This Row],[Time]])&gt;=17,HOUR(session_data[[#This Row],[Time]])&lt;21),"Evening",
     TRUE,"Night"
)</f>
        <v>Morning</v>
      </c>
      <c r="G186" s="1">
        <f t="shared" si="10"/>
        <v>2023</v>
      </c>
      <c r="H186" s="1" t="str">
        <f t="shared" si="11"/>
        <v>Oct</v>
      </c>
      <c r="I186" s="1" t="str">
        <f t="shared" si="8"/>
        <v>Tue</v>
      </c>
      <c r="J186" s="1" t="s">
        <v>11</v>
      </c>
      <c r="K186" s="1" t="s">
        <v>12</v>
      </c>
      <c r="L186" s="1" t="s">
        <v>30</v>
      </c>
      <c r="M186" s="1" t="s">
        <v>32</v>
      </c>
      <c r="N186" s="1" t="s">
        <v>14</v>
      </c>
      <c r="O186" t="s">
        <v>45</v>
      </c>
    </row>
    <row r="187" spans="1:15" x14ac:dyDescent="0.25">
      <c r="A187" s="1" t="s">
        <v>309</v>
      </c>
      <c r="B187" s="1" t="s">
        <v>310</v>
      </c>
      <c r="C187" s="2">
        <v>44625.208333333336</v>
      </c>
      <c r="D187" s="4">
        <f t="shared" si="9"/>
        <v>44625</v>
      </c>
      <c r="E187" s="6">
        <v>8.3277777777742195</v>
      </c>
      <c r="F187" s="6" t="str" cm="1">
        <f t="array" ref="F187">_xlfn.IFS(
     AND(HOUR(session_data[[#This Row],[Time]])&gt;5,HOUR(session_data[[#This Row],[Time]])&lt;12),"Morning",
     AND(HOUR(session_data[[#This Row],[Time]])&gt;=12,HOUR(session_data[[#This Row],[Time]])&lt;17),"Afternoon",
     AND(HOUR(session_data[[#This Row],[Time]])&gt;=17,HOUR(session_data[[#This Row],[Time]])&lt;21),"Evening",
     TRUE,"Night"
)</f>
        <v>Morning</v>
      </c>
      <c r="G187" s="1">
        <f t="shared" si="10"/>
        <v>2022</v>
      </c>
      <c r="H187" s="1" t="str">
        <f t="shared" si="11"/>
        <v>Mar</v>
      </c>
      <c r="I187" s="1" t="str">
        <f t="shared" si="8"/>
        <v>Sat</v>
      </c>
      <c r="J187" s="1" t="s">
        <v>11</v>
      </c>
      <c r="K187" s="1" t="s">
        <v>12</v>
      </c>
      <c r="L187" s="1" t="s">
        <v>94</v>
      </c>
      <c r="M187" s="1" t="s">
        <v>32</v>
      </c>
      <c r="N187" s="1" t="s">
        <v>14</v>
      </c>
      <c r="O187" t="s">
        <v>15</v>
      </c>
    </row>
    <row r="188" spans="1:15" x14ac:dyDescent="0.25">
      <c r="A188" s="1" t="s">
        <v>311</v>
      </c>
      <c r="B188" s="1" t="s">
        <v>310</v>
      </c>
      <c r="C188" s="3">
        <v>44708.875</v>
      </c>
      <c r="D188" s="4">
        <f t="shared" si="9"/>
        <v>44708</v>
      </c>
      <c r="E188" s="6">
        <v>8.3694444444408909</v>
      </c>
      <c r="F188" s="6" t="str" cm="1">
        <f t="array" ref="F188">_xlfn.IFS(
     AND(HOUR(session_data[[#This Row],[Time]])&gt;5,HOUR(session_data[[#This Row],[Time]])&lt;12),"Morning",
     AND(HOUR(session_data[[#This Row],[Time]])&gt;=12,HOUR(session_data[[#This Row],[Time]])&lt;17),"Afternoon",
     AND(HOUR(session_data[[#This Row],[Time]])&gt;=17,HOUR(session_data[[#This Row],[Time]])&lt;21),"Evening",
     TRUE,"Night"
)</f>
        <v>Morning</v>
      </c>
      <c r="G188" s="1">
        <f t="shared" si="10"/>
        <v>2022</v>
      </c>
      <c r="H188" s="1" t="str">
        <f t="shared" si="11"/>
        <v>May</v>
      </c>
      <c r="I188" s="1" t="str">
        <f t="shared" si="8"/>
        <v>Fri</v>
      </c>
      <c r="J188" s="1" t="s">
        <v>11</v>
      </c>
      <c r="K188" s="1" t="s">
        <v>12</v>
      </c>
      <c r="L188" s="1" t="s">
        <v>94</v>
      </c>
      <c r="M188" s="1" t="s">
        <v>32</v>
      </c>
      <c r="N188" s="1" t="s">
        <v>22</v>
      </c>
      <c r="O188" t="s">
        <v>15</v>
      </c>
    </row>
    <row r="189" spans="1:15" x14ac:dyDescent="0.25">
      <c r="A189" s="1" t="s">
        <v>312</v>
      </c>
      <c r="B189" s="1" t="s">
        <v>310</v>
      </c>
      <c r="C189" s="2">
        <v>44871.833333333336</v>
      </c>
      <c r="D189" s="4">
        <f t="shared" si="9"/>
        <v>44871</v>
      </c>
      <c r="E189" s="6">
        <v>8.4111111111075605</v>
      </c>
      <c r="F189" s="6" t="str" cm="1">
        <f t="array" ref="F189">_xlfn.IFS(
     AND(HOUR(session_data[[#This Row],[Time]])&gt;5,HOUR(session_data[[#This Row],[Time]])&lt;12),"Morning",
     AND(HOUR(session_data[[#This Row],[Time]])&gt;=12,HOUR(session_data[[#This Row],[Time]])&lt;17),"Afternoon",
     AND(HOUR(session_data[[#This Row],[Time]])&gt;=17,HOUR(session_data[[#This Row],[Time]])&lt;21),"Evening",
     TRUE,"Night"
)</f>
        <v>Morning</v>
      </c>
      <c r="G189" s="1">
        <f t="shared" si="10"/>
        <v>2022</v>
      </c>
      <c r="H189" s="1" t="str">
        <f t="shared" si="11"/>
        <v>Nov</v>
      </c>
      <c r="I189" s="1" t="str">
        <f t="shared" si="8"/>
        <v>Sun</v>
      </c>
      <c r="J189" s="1" t="s">
        <v>11</v>
      </c>
      <c r="K189" s="1" t="s">
        <v>12</v>
      </c>
      <c r="L189" s="1" t="s">
        <v>94</v>
      </c>
      <c r="M189" s="1" t="s">
        <v>32</v>
      </c>
      <c r="N189" s="1" t="s">
        <v>22</v>
      </c>
      <c r="O189" t="s">
        <v>15</v>
      </c>
    </row>
    <row r="190" spans="1:15" x14ac:dyDescent="0.25">
      <c r="A190" s="1" t="s">
        <v>313</v>
      </c>
      <c r="B190" s="1" t="s">
        <v>314</v>
      </c>
      <c r="C190" s="2">
        <v>44598.673611111109</v>
      </c>
      <c r="D190" s="4">
        <f t="shared" si="9"/>
        <v>44598</v>
      </c>
      <c r="E190" s="6">
        <v>8.4527777777742195</v>
      </c>
      <c r="F190" s="6" t="str" cm="1">
        <f t="array" ref="F190">_xlfn.IFS(
     AND(HOUR(session_data[[#This Row],[Time]])&gt;5,HOUR(session_data[[#This Row],[Time]])&lt;12),"Morning",
     AND(HOUR(session_data[[#This Row],[Time]])&gt;=12,HOUR(session_data[[#This Row],[Time]])&lt;17),"Afternoon",
     AND(HOUR(session_data[[#This Row],[Time]])&gt;=17,HOUR(session_data[[#This Row],[Time]])&lt;21),"Evening",
     TRUE,"Night"
)</f>
        <v>Morning</v>
      </c>
      <c r="G190" s="1">
        <f t="shared" si="10"/>
        <v>2022</v>
      </c>
      <c r="H190" s="1" t="str">
        <f t="shared" si="11"/>
        <v>Feb</v>
      </c>
      <c r="I190" s="1" t="str">
        <f t="shared" si="8"/>
        <v>Sun</v>
      </c>
      <c r="J190" s="1" t="s">
        <v>28</v>
      </c>
      <c r="K190" s="1" t="s">
        <v>12</v>
      </c>
      <c r="L190" s="1" t="s">
        <v>59</v>
      </c>
      <c r="M190" s="1" t="s">
        <v>19</v>
      </c>
      <c r="N190" s="1" t="s">
        <v>14</v>
      </c>
      <c r="O190" t="s">
        <v>15</v>
      </c>
    </row>
    <row r="191" spans="1:15" x14ac:dyDescent="0.25">
      <c r="A191" s="1" t="s">
        <v>315</v>
      </c>
      <c r="B191" s="1" t="s">
        <v>314</v>
      </c>
      <c r="C191" s="2">
        <v>45450.173611111109</v>
      </c>
      <c r="D191" s="4">
        <f t="shared" si="9"/>
        <v>45450</v>
      </c>
      <c r="E191" s="6">
        <v>8.4944444444408909</v>
      </c>
      <c r="F191" s="6" t="str" cm="1">
        <f t="array" ref="F191">_xlfn.IFS(
     AND(HOUR(session_data[[#This Row],[Time]])&gt;5,HOUR(session_data[[#This Row],[Time]])&lt;12),"Morning",
     AND(HOUR(session_data[[#This Row],[Time]])&gt;=12,HOUR(session_data[[#This Row],[Time]])&lt;17),"Afternoon",
     AND(HOUR(session_data[[#This Row],[Time]])&gt;=17,HOUR(session_data[[#This Row],[Time]])&lt;21),"Evening",
     TRUE,"Night"
)</f>
        <v>Morning</v>
      </c>
      <c r="G191" s="1">
        <f t="shared" si="10"/>
        <v>2024</v>
      </c>
      <c r="H191" s="1" t="str">
        <f t="shared" si="11"/>
        <v>Jun</v>
      </c>
      <c r="I191" s="1" t="str">
        <f t="shared" si="8"/>
        <v>Fri</v>
      </c>
      <c r="J191" s="1" t="s">
        <v>28</v>
      </c>
      <c r="K191" s="1" t="s">
        <v>12</v>
      </c>
      <c r="L191" s="1" t="s">
        <v>59</v>
      </c>
      <c r="M191" s="1" t="s">
        <v>19</v>
      </c>
      <c r="N191" s="1" t="s">
        <v>22</v>
      </c>
      <c r="O191" t="s">
        <v>15</v>
      </c>
    </row>
    <row r="192" spans="1:15" x14ac:dyDescent="0.25">
      <c r="A192" s="1" t="s">
        <v>316</v>
      </c>
      <c r="B192" s="1" t="s">
        <v>314</v>
      </c>
      <c r="C192" s="2">
        <v>45633.048611111109</v>
      </c>
      <c r="D192" s="4">
        <f t="shared" si="9"/>
        <v>45633</v>
      </c>
      <c r="E192" s="6">
        <v>8.5361111111075605</v>
      </c>
      <c r="F192" s="6" t="str" cm="1">
        <f t="array" ref="F192">_xlfn.IFS(
     AND(HOUR(session_data[[#This Row],[Time]])&gt;5,HOUR(session_data[[#This Row],[Time]])&lt;12),"Morning",
     AND(HOUR(session_data[[#This Row],[Time]])&gt;=12,HOUR(session_data[[#This Row],[Time]])&lt;17),"Afternoon",
     AND(HOUR(session_data[[#This Row],[Time]])&gt;=17,HOUR(session_data[[#This Row],[Time]])&lt;21),"Evening",
     TRUE,"Night"
)</f>
        <v>Afternoon</v>
      </c>
      <c r="G192" s="1">
        <f t="shared" si="10"/>
        <v>2024</v>
      </c>
      <c r="H192" s="1" t="str">
        <f t="shared" si="11"/>
        <v>Dec</v>
      </c>
      <c r="I192" s="1" t="str">
        <f t="shared" si="8"/>
        <v>Sat</v>
      </c>
      <c r="J192" s="1" t="s">
        <v>28</v>
      </c>
      <c r="K192" s="1" t="s">
        <v>12</v>
      </c>
      <c r="L192" s="1" t="s">
        <v>59</v>
      </c>
      <c r="M192" s="1" t="s">
        <v>19</v>
      </c>
      <c r="N192" s="1" t="s">
        <v>22</v>
      </c>
      <c r="O192" t="s">
        <v>15</v>
      </c>
    </row>
    <row r="193" spans="1:15" x14ac:dyDescent="0.25">
      <c r="A193" s="1" t="s">
        <v>317</v>
      </c>
      <c r="B193" s="1" t="s">
        <v>318</v>
      </c>
      <c r="C193" s="3">
        <v>45433.251388888886</v>
      </c>
      <c r="D193" s="4">
        <f t="shared" si="9"/>
        <v>45433</v>
      </c>
      <c r="E193" s="6">
        <v>8.5777777777742195</v>
      </c>
      <c r="F193" s="6" t="str" cm="1">
        <f t="array" ref="F193">_xlfn.IFS(
     AND(HOUR(session_data[[#This Row],[Time]])&gt;5,HOUR(session_data[[#This Row],[Time]])&lt;12),"Morning",
     AND(HOUR(session_data[[#This Row],[Time]])&gt;=12,HOUR(session_data[[#This Row],[Time]])&lt;17),"Afternoon",
     AND(HOUR(session_data[[#This Row],[Time]])&gt;=17,HOUR(session_data[[#This Row],[Time]])&lt;21),"Evening",
     TRUE,"Night"
)</f>
        <v>Afternoon</v>
      </c>
      <c r="G193" s="1">
        <f t="shared" si="10"/>
        <v>2024</v>
      </c>
      <c r="H193" s="1" t="str">
        <f t="shared" si="11"/>
        <v>May</v>
      </c>
      <c r="I193" s="1" t="str">
        <f t="shared" si="8"/>
        <v>Tue</v>
      </c>
      <c r="J193" s="1" t="s">
        <v>28</v>
      </c>
      <c r="K193" s="1" t="s">
        <v>12</v>
      </c>
      <c r="L193" s="1" t="s">
        <v>13</v>
      </c>
      <c r="M193" s="1" t="s">
        <v>32</v>
      </c>
      <c r="N193" s="1" t="s">
        <v>14</v>
      </c>
      <c r="O193" t="s">
        <v>15</v>
      </c>
    </row>
    <row r="194" spans="1:15" x14ac:dyDescent="0.25">
      <c r="A194" s="1" t="s">
        <v>319</v>
      </c>
      <c r="B194" s="1" t="s">
        <v>318</v>
      </c>
      <c r="C194" s="2">
        <v>45418.543055555558</v>
      </c>
      <c r="D194" s="4">
        <f t="shared" si="9"/>
        <v>45418</v>
      </c>
      <c r="E194" s="6">
        <v>8.6194444444408909</v>
      </c>
      <c r="F194" s="6" t="str" cm="1">
        <f t="array" ref="F194">_xlfn.IFS(
     AND(HOUR(session_data[[#This Row],[Time]])&gt;5,HOUR(session_data[[#This Row],[Time]])&lt;12),"Morning",
     AND(HOUR(session_data[[#This Row],[Time]])&gt;=12,HOUR(session_data[[#This Row],[Time]])&lt;17),"Afternoon",
     AND(HOUR(session_data[[#This Row],[Time]])&gt;=17,HOUR(session_data[[#This Row],[Time]])&lt;21),"Evening",
     TRUE,"Night"
)</f>
        <v>Afternoon</v>
      </c>
      <c r="G194" s="1">
        <f t="shared" si="10"/>
        <v>2024</v>
      </c>
      <c r="H194" s="1" t="str">
        <f t="shared" si="11"/>
        <v>May</v>
      </c>
      <c r="I194" s="1" t="str">
        <f t="shared" ref="I194:I257" si="12">TEXT(D194,"DDD")</f>
        <v>Mon</v>
      </c>
      <c r="J194" s="1" t="s">
        <v>28</v>
      </c>
      <c r="K194" s="1" t="s">
        <v>12</v>
      </c>
      <c r="L194" s="1" t="s">
        <v>13</v>
      </c>
      <c r="M194" s="1" t="s">
        <v>32</v>
      </c>
      <c r="N194" s="1" t="s">
        <v>22</v>
      </c>
      <c r="O194" t="s">
        <v>15</v>
      </c>
    </row>
    <row r="195" spans="1:15" x14ac:dyDescent="0.25">
      <c r="A195" s="1" t="s">
        <v>320</v>
      </c>
      <c r="B195" s="1" t="s">
        <v>321</v>
      </c>
      <c r="C195" s="2">
        <v>45445.394444444442</v>
      </c>
      <c r="D195" s="4">
        <f t="shared" ref="D195:D258" si="13">INT(C195)</f>
        <v>45445</v>
      </c>
      <c r="E195" s="6">
        <v>8.6611111111075498</v>
      </c>
      <c r="F195" s="6" t="str" cm="1">
        <f t="array" ref="F195">_xlfn.IFS(
     AND(HOUR(session_data[[#This Row],[Time]])&gt;5,HOUR(session_data[[#This Row],[Time]])&lt;12),"Morning",
     AND(HOUR(session_data[[#This Row],[Time]])&gt;=12,HOUR(session_data[[#This Row],[Time]])&lt;17),"Afternoon",
     AND(HOUR(session_data[[#This Row],[Time]])&gt;=17,HOUR(session_data[[#This Row],[Time]])&lt;21),"Evening",
     TRUE,"Night"
)</f>
        <v>Afternoon</v>
      </c>
      <c r="G195" s="1">
        <f t="shared" ref="G195:G258" si="14">YEAR(D195)</f>
        <v>2024</v>
      </c>
      <c r="H195" s="1" t="str">
        <f t="shared" ref="H195:H258" si="15">TEXT(D195,"MMM")</f>
        <v>Jun</v>
      </c>
      <c r="I195" s="1" t="str">
        <f t="shared" si="12"/>
        <v>Sun</v>
      </c>
      <c r="J195" s="1" t="s">
        <v>18</v>
      </c>
      <c r="K195" s="1" t="s">
        <v>12</v>
      </c>
      <c r="L195" s="1" t="s">
        <v>50</v>
      </c>
      <c r="M195" s="1" t="s">
        <v>19</v>
      </c>
      <c r="N195" s="1" t="s">
        <v>14</v>
      </c>
      <c r="O195" t="s">
        <v>15</v>
      </c>
    </row>
    <row r="196" spans="1:15" x14ac:dyDescent="0.25">
      <c r="A196" s="1" t="s">
        <v>322</v>
      </c>
      <c r="B196" s="1" t="s">
        <v>321</v>
      </c>
      <c r="C196" s="3">
        <v>45349.644444444442</v>
      </c>
      <c r="D196" s="4">
        <f t="shared" si="13"/>
        <v>45349</v>
      </c>
      <c r="E196" s="6">
        <v>8.7027777777742195</v>
      </c>
      <c r="F196" s="6" t="str" cm="1">
        <f t="array" ref="F196">_xlfn.IFS(
     AND(HOUR(session_data[[#This Row],[Time]])&gt;5,HOUR(session_data[[#This Row],[Time]])&lt;12),"Morning",
     AND(HOUR(session_data[[#This Row],[Time]])&gt;=12,HOUR(session_data[[#This Row],[Time]])&lt;17),"Afternoon",
     AND(HOUR(session_data[[#This Row],[Time]])&gt;=17,HOUR(session_data[[#This Row],[Time]])&lt;21),"Evening",
     TRUE,"Night"
)</f>
        <v>Afternoon</v>
      </c>
      <c r="G196" s="1">
        <f t="shared" si="14"/>
        <v>2024</v>
      </c>
      <c r="H196" s="1" t="str">
        <f t="shared" si="15"/>
        <v>Feb</v>
      </c>
      <c r="I196" s="1" t="str">
        <f t="shared" si="12"/>
        <v>Tue</v>
      </c>
      <c r="J196" s="1" t="s">
        <v>18</v>
      </c>
      <c r="K196" s="1" t="s">
        <v>12</v>
      </c>
      <c r="L196" s="1" t="s">
        <v>50</v>
      </c>
      <c r="M196" s="1" t="s">
        <v>19</v>
      </c>
      <c r="N196" s="1" t="s">
        <v>22</v>
      </c>
      <c r="O196" t="s">
        <v>15</v>
      </c>
    </row>
    <row r="197" spans="1:15" x14ac:dyDescent="0.25">
      <c r="A197" s="1" t="s">
        <v>323</v>
      </c>
      <c r="B197" s="1" t="s">
        <v>321</v>
      </c>
      <c r="C197" s="2">
        <v>45446.602777777778</v>
      </c>
      <c r="D197" s="4">
        <f t="shared" si="13"/>
        <v>45446</v>
      </c>
      <c r="E197" s="6">
        <v>8.7444444444408909</v>
      </c>
      <c r="F197" s="6" t="str" cm="1">
        <f t="array" ref="F197">_xlfn.IFS(
     AND(HOUR(session_data[[#This Row],[Time]])&gt;5,HOUR(session_data[[#This Row],[Time]])&lt;12),"Morning",
     AND(HOUR(session_data[[#This Row],[Time]])&gt;=12,HOUR(session_data[[#This Row],[Time]])&lt;17),"Afternoon",
     AND(HOUR(session_data[[#This Row],[Time]])&gt;=17,HOUR(session_data[[#This Row],[Time]])&lt;21),"Evening",
     TRUE,"Night"
)</f>
        <v>Evening</v>
      </c>
      <c r="G197" s="1">
        <f t="shared" si="14"/>
        <v>2024</v>
      </c>
      <c r="H197" s="1" t="str">
        <f t="shared" si="15"/>
        <v>Jun</v>
      </c>
      <c r="I197" s="1" t="str">
        <f t="shared" si="12"/>
        <v>Mon</v>
      </c>
      <c r="J197" s="1" t="s">
        <v>18</v>
      </c>
      <c r="K197" s="1" t="s">
        <v>12</v>
      </c>
      <c r="L197" s="1" t="s">
        <v>50</v>
      </c>
      <c r="M197" s="1" t="s">
        <v>19</v>
      </c>
      <c r="N197" s="1" t="s">
        <v>22</v>
      </c>
      <c r="O197" t="s">
        <v>15</v>
      </c>
    </row>
    <row r="198" spans="1:15" x14ac:dyDescent="0.25">
      <c r="A198" s="1" t="s">
        <v>324</v>
      </c>
      <c r="B198" s="1" t="s">
        <v>325</v>
      </c>
      <c r="C198" s="3">
        <v>45369.158333333333</v>
      </c>
      <c r="D198" s="4">
        <f t="shared" si="13"/>
        <v>45369</v>
      </c>
      <c r="E198" s="6">
        <v>8.7861111111075498</v>
      </c>
      <c r="F198" s="6" t="str" cm="1">
        <f t="array" ref="F198">_xlfn.IFS(
     AND(HOUR(session_data[[#This Row],[Time]])&gt;5,HOUR(session_data[[#This Row],[Time]])&lt;12),"Morning",
     AND(HOUR(session_data[[#This Row],[Time]])&gt;=12,HOUR(session_data[[#This Row],[Time]])&lt;17),"Afternoon",
     AND(HOUR(session_data[[#This Row],[Time]])&gt;=17,HOUR(session_data[[#This Row],[Time]])&lt;21),"Evening",
     TRUE,"Night"
)</f>
        <v>Evening</v>
      </c>
      <c r="G198" s="1">
        <f t="shared" si="14"/>
        <v>2024</v>
      </c>
      <c r="H198" s="1" t="str">
        <f t="shared" si="15"/>
        <v>Mar</v>
      </c>
      <c r="I198" s="1" t="str">
        <f t="shared" si="12"/>
        <v>Mon</v>
      </c>
      <c r="J198" s="1" t="s">
        <v>18</v>
      </c>
      <c r="K198" s="1" t="s">
        <v>29</v>
      </c>
      <c r="L198" s="1" t="s">
        <v>41</v>
      </c>
      <c r="M198" s="1" t="s">
        <v>40</v>
      </c>
      <c r="N198" s="1" t="s">
        <v>14</v>
      </c>
      <c r="O198" t="s">
        <v>45</v>
      </c>
    </row>
    <row r="199" spans="1:15" x14ac:dyDescent="0.25">
      <c r="A199" s="1" t="s">
        <v>326</v>
      </c>
      <c r="B199" s="1" t="s">
        <v>325</v>
      </c>
      <c r="C199" s="3">
        <v>45378.158333333333</v>
      </c>
      <c r="D199" s="4">
        <f t="shared" si="13"/>
        <v>45378</v>
      </c>
      <c r="E199" s="6">
        <v>8.8277777777742195</v>
      </c>
      <c r="F199" s="6" t="str" cm="1">
        <f t="array" ref="F199">_xlfn.IFS(
     AND(HOUR(session_data[[#This Row],[Time]])&gt;5,HOUR(session_data[[#This Row],[Time]])&lt;12),"Morning",
     AND(HOUR(session_data[[#This Row],[Time]])&gt;=12,HOUR(session_data[[#This Row],[Time]])&lt;17),"Afternoon",
     AND(HOUR(session_data[[#This Row],[Time]])&gt;=17,HOUR(session_data[[#This Row],[Time]])&lt;21),"Evening",
     TRUE,"Night"
)</f>
        <v>Evening</v>
      </c>
      <c r="G199" s="1">
        <f t="shared" si="14"/>
        <v>2024</v>
      </c>
      <c r="H199" s="1" t="str">
        <f t="shared" si="15"/>
        <v>Mar</v>
      </c>
      <c r="I199" s="1" t="str">
        <f t="shared" si="12"/>
        <v>Wed</v>
      </c>
      <c r="J199" s="1" t="s">
        <v>18</v>
      </c>
      <c r="K199" s="1" t="s">
        <v>29</v>
      </c>
      <c r="L199" s="1" t="s">
        <v>41</v>
      </c>
      <c r="M199" s="1" t="s">
        <v>40</v>
      </c>
      <c r="N199" s="1" t="s">
        <v>22</v>
      </c>
      <c r="O199" t="s">
        <v>45</v>
      </c>
    </row>
    <row r="200" spans="1:15" x14ac:dyDescent="0.25">
      <c r="A200" s="1" t="s">
        <v>327</v>
      </c>
      <c r="B200" s="1" t="s">
        <v>328</v>
      </c>
      <c r="C200" s="2">
        <v>45446.723611111112</v>
      </c>
      <c r="D200" s="4">
        <f t="shared" si="13"/>
        <v>45446</v>
      </c>
      <c r="E200" s="6">
        <v>8.8694444444408909</v>
      </c>
      <c r="F200" s="6" t="str" cm="1">
        <f t="array" ref="F200">_xlfn.IFS(
     AND(HOUR(session_data[[#This Row],[Time]])&gt;5,HOUR(session_data[[#This Row],[Time]])&lt;12),"Morning",
     AND(HOUR(session_data[[#This Row],[Time]])&gt;=12,HOUR(session_data[[#This Row],[Time]])&lt;17),"Afternoon",
     AND(HOUR(session_data[[#This Row],[Time]])&gt;=17,HOUR(session_data[[#This Row],[Time]])&lt;21),"Evening",
     TRUE,"Night"
)</f>
        <v>Evening</v>
      </c>
      <c r="G200" s="1">
        <f t="shared" si="14"/>
        <v>2024</v>
      </c>
      <c r="H200" s="1" t="str">
        <f t="shared" si="15"/>
        <v>Jun</v>
      </c>
      <c r="I200" s="1" t="str">
        <f t="shared" si="12"/>
        <v>Mon</v>
      </c>
      <c r="J200" s="1" t="s">
        <v>44</v>
      </c>
      <c r="K200" s="1" t="s">
        <v>12</v>
      </c>
      <c r="L200" s="1" t="s">
        <v>119</v>
      </c>
      <c r="M200" s="1" t="s">
        <v>40</v>
      </c>
      <c r="N200" s="1" t="s">
        <v>14</v>
      </c>
      <c r="O200" t="s">
        <v>45</v>
      </c>
    </row>
    <row r="201" spans="1:15" x14ac:dyDescent="0.25">
      <c r="A201" s="1" t="s">
        <v>329</v>
      </c>
      <c r="B201" s="1" t="s">
        <v>328</v>
      </c>
      <c r="C201" s="3">
        <v>45375.140277777777</v>
      </c>
      <c r="D201" s="4">
        <f t="shared" si="13"/>
        <v>45375</v>
      </c>
      <c r="E201" s="6">
        <v>8.9111111111075498</v>
      </c>
      <c r="F201" s="6" t="str" cm="1">
        <f t="array" ref="F201">_xlfn.IFS(
     AND(HOUR(session_data[[#This Row],[Time]])&gt;5,HOUR(session_data[[#This Row],[Time]])&lt;12),"Morning",
     AND(HOUR(session_data[[#This Row],[Time]])&gt;=12,HOUR(session_data[[#This Row],[Time]])&lt;17),"Afternoon",
     AND(HOUR(session_data[[#This Row],[Time]])&gt;=17,HOUR(session_data[[#This Row],[Time]])&lt;21),"Evening",
     TRUE,"Night"
)</f>
        <v>Night</v>
      </c>
      <c r="G201" s="1">
        <f t="shared" si="14"/>
        <v>2024</v>
      </c>
      <c r="H201" s="1" t="str">
        <f t="shared" si="15"/>
        <v>Mar</v>
      </c>
      <c r="I201" s="1" t="str">
        <f t="shared" si="12"/>
        <v>Sun</v>
      </c>
      <c r="J201" s="1" t="s">
        <v>44</v>
      </c>
      <c r="K201" s="1" t="s">
        <v>12</v>
      </c>
      <c r="L201" s="1" t="s">
        <v>119</v>
      </c>
      <c r="M201" s="1" t="s">
        <v>40</v>
      </c>
      <c r="N201" s="1" t="s">
        <v>22</v>
      </c>
      <c r="O201" t="s">
        <v>45</v>
      </c>
    </row>
    <row r="202" spans="1:15" x14ac:dyDescent="0.25">
      <c r="A202" s="1" t="s">
        <v>330</v>
      </c>
      <c r="B202" s="1" t="s">
        <v>331</v>
      </c>
      <c r="C202" s="3">
        <v>45427.413888888892</v>
      </c>
      <c r="D202" s="4">
        <f t="shared" si="13"/>
        <v>45427</v>
      </c>
      <c r="E202" s="6">
        <v>8.9527777777742195</v>
      </c>
      <c r="F202" s="6" t="str" cm="1">
        <f t="array" ref="F202">_xlfn.IFS(
     AND(HOUR(session_data[[#This Row],[Time]])&gt;5,HOUR(session_data[[#This Row],[Time]])&lt;12),"Morning",
     AND(HOUR(session_data[[#This Row],[Time]])&gt;=12,HOUR(session_data[[#This Row],[Time]])&lt;17),"Afternoon",
     AND(HOUR(session_data[[#This Row],[Time]])&gt;=17,HOUR(session_data[[#This Row],[Time]])&lt;21),"Evening",
     TRUE,"Night"
)</f>
        <v>Night</v>
      </c>
      <c r="G202" s="1">
        <f t="shared" si="14"/>
        <v>2024</v>
      </c>
      <c r="H202" s="1" t="str">
        <f t="shared" si="15"/>
        <v>May</v>
      </c>
      <c r="I202" s="1" t="str">
        <f t="shared" si="12"/>
        <v>Wed</v>
      </c>
      <c r="J202" s="1" t="s">
        <v>11</v>
      </c>
      <c r="K202" s="1" t="s">
        <v>12</v>
      </c>
      <c r="L202" s="1" t="s">
        <v>50</v>
      </c>
      <c r="M202" s="1" t="s">
        <v>19</v>
      </c>
      <c r="N202" s="1" t="s">
        <v>14</v>
      </c>
      <c r="O202" t="s">
        <v>15</v>
      </c>
    </row>
    <row r="203" spans="1:15" x14ac:dyDescent="0.25">
      <c r="A203" s="1" t="s">
        <v>332</v>
      </c>
      <c r="B203" s="1" t="s">
        <v>331</v>
      </c>
      <c r="C203" s="3">
        <v>45430.163888888892</v>
      </c>
      <c r="D203" s="4">
        <f t="shared" si="13"/>
        <v>45430</v>
      </c>
      <c r="E203" s="6">
        <v>8.9944444444408909</v>
      </c>
      <c r="F203" s="6" t="str" cm="1">
        <f t="array" ref="F203">_xlfn.IFS(
     AND(HOUR(session_data[[#This Row],[Time]])&gt;5,HOUR(session_data[[#This Row],[Time]])&lt;12),"Morning",
     AND(HOUR(session_data[[#This Row],[Time]])&gt;=12,HOUR(session_data[[#This Row],[Time]])&lt;17),"Afternoon",
     AND(HOUR(session_data[[#This Row],[Time]])&gt;=17,HOUR(session_data[[#This Row],[Time]])&lt;21),"Evening",
     TRUE,"Night"
)</f>
        <v>Night</v>
      </c>
      <c r="G203" s="1">
        <f t="shared" si="14"/>
        <v>2024</v>
      </c>
      <c r="H203" s="1" t="str">
        <f t="shared" si="15"/>
        <v>May</v>
      </c>
      <c r="I203" s="1" t="str">
        <f t="shared" si="12"/>
        <v>Sat</v>
      </c>
      <c r="J203" s="1" t="s">
        <v>11</v>
      </c>
      <c r="K203" s="1" t="s">
        <v>12</v>
      </c>
      <c r="L203" s="1" t="s">
        <v>50</v>
      </c>
      <c r="M203" s="1" t="s">
        <v>19</v>
      </c>
      <c r="N203" s="1" t="s">
        <v>22</v>
      </c>
      <c r="O203" t="s">
        <v>15</v>
      </c>
    </row>
    <row r="204" spans="1:15" x14ac:dyDescent="0.25">
      <c r="A204" s="1" t="s">
        <v>333</v>
      </c>
      <c r="B204" s="1" t="s">
        <v>334</v>
      </c>
      <c r="C204" s="3">
        <v>45319.177777777775</v>
      </c>
      <c r="D204" s="4">
        <f t="shared" si="13"/>
        <v>45319</v>
      </c>
      <c r="E204" s="6">
        <v>9.0361111111075498</v>
      </c>
      <c r="F204" s="6" t="str" cm="1">
        <f t="array" ref="F204">_xlfn.IFS(
     AND(HOUR(session_data[[#This Row],[Time]])&gt;5,HOUR(session_data[[#This Row],[Time]])&lt;12),"Morning",
     AND(HOUR(session_data[[#This Row],[Time]])&gt;=12,HOUR(session_data[[#This Row],[Time]])&lt;17),"Afternoon",
     AND(HOUR(session_data[[#This Row],[Time]])&gt;=17,HOUR(session_data[[#This Row],[Time]])&lt;21),"Evening",
     TRUE,"Night"
)</f>
        <v>Night</v>
      </c>
      <c r="G204" s="1">
        <f t="shared" si="14"/>
        <v>2024</v>
      </c>
      <c r="H204" s="1" t="str">
        <f t="shared" si="15"/>
        <v>Jan</v>
      </c>
      <c r="I204" s="1" t="str">
        <f t="shared" si="12"/>
        <v>Sun</v>
      </c>
      <c r="J204" s="1" t="s">
        <v>18</v>
      </c>
      <c r="K204" s="1" t="s">
        <v>12</v>
      </c>
      <c r="L204" s="1" t="s">
        <v>13</v>
      </c>
      <c r="M204" s="1" t="s">
        <v>32</v>
      </c>
      <c r="N204" s="1" t="s">
        <v>14</v>
      </c>
      <c r="O204" t="s">
        <v>45</v>
      </c>
    </row>
    <row r="205" spans="1:15" x14ac:dyDescent="0.25">
      <c r="A205" s="1" t="s">
        <v>335</v>
      </c>
      <c r="B205" s="1" t="s">
        <v>336</v>
      </c>
      <c r="C205" s="2">
        <v>45537.963194444441</v>
      </c>
      <c r="D205" s="4">
        <f t="shared" si="13"/>
        <v>45537</v>
      </c>
      <c r="E205" s="6">
        <v>9.0777777777742195</v>
      </c>
      <c r="F205" s="6" t="str" cm="1">
        <f t="array" ref="F205">_xlfn.IFS(
     AND(HOUR(session_data[[#This Row],[Time]])&gt;5,HOUR(session_data[[#This Row],[Time]])&lt;12),"Morning",
     AND(HOUR(session_data[[#This Row],[Time]])&gt;=12,HOUR(session_data[[#This Row],[Time]])&lt;17),"Afternoon",
     AND(HOUR(session_data[[#This Row],[Time]])&gt;=17,HOUR(session_data[[#This Row],[Time]])&lt;21),"Evening",
     TRUE,"Night"
)</f>
        <v>Night</v>
      </c>
      <c r="G205" s="1">
        <f t="shared" si="14"/>
        <v>2024</v>
      </c>
      <c r="H205" s="1" t="str">
        <f t="shared" si="15"/>
        <v>Sep</v>
      </c>
      <c r="I205" s="1" t="str">
        <f t="shared" si="12"/>
        <v>Mon</v>
      </c>
      <c r="J205" s="1" t="s">
        <v>18</v>
      </c>
      <c r="K205" s="1" t="s">
        <v>12</v>
      </c>
      <c r="L205" s="1" t="s">
        <v>79</v>
      </c>
      <c r="M205" s="1" t="s">
        <v>40</v>
      </c>
      <c r="N205" s="1" t="s">
        <v>14</v>
      </c>
      <c r="O205" t="s">
        <v>45</v>
      </c>
    </row>
    <row r="206" spans="1:15" x14ac:dyDescent="0.25">
      <c r="A206" s="1" t="s">
        <v>337</v>
      </c>
      <c r="B206" s="1" t="s">
        <v>338</v>
      </c>
      <c r="C206" s="3">
        <v>45411.805555555555</v>
      </c>
      <c r="D206" s="4">
        <f t="shared" si="13"/>
        <v>45411</v>
      </c>
      <c r="E206" s="6">
        <v>9.1194444444408909</v>
      </c>
      <c r="F206" s="6" t="str" cm="1">
        <f t="array" ref="F206">_xlfn.IFS(
     AND(HOUR(session_data[[#This Row],[Time]])&gt;5,HOUR(session_data[[#This Row],[Time]])&lt;12),"Morning",
     AND(HOUR(session_data[[#This Row],[Time]])&gt;=12,HOUR(session_data[[#This Row],[Time]])&lt;17),"Afternoon",
     AND(HOUR(session_data[[#This Row],[Time]])&gt;=17,HOUR(session_data[[#This Row],[Time]])&lt;21),"Evening",
     TRUE,"Night"
)</f>
        <v>Night</v>
      </c>
      <c r="G206" s="1">
        <f t="shared" si="14"/>
        <v>2024</v>
      </c>
      <c r="H206" s="1" t="str">
        <f t="shared" si="15"/>
        <v>Apr</v>
      </c>
      <c r="I206" s="1" t="str">
        <f t="shared" si="12"/>
        <v>Mon</v>
      </c>
      <c r="J206" s="1" t="s">
        <v>11</v>
      </c>
      <c r="K206" s="1" t="s">
        <v>29</v>
      </c>
      <c r="L206" s="1" t="s">
        <v>94</v>
      </c>
      <c r="M206" s="1" t="s">
        <v>32</v>
      </c>
      <c r="N206" s="1" t="s">
        <v>14</v>
      </c>
      <c r="O206" t="s">
        <v>15</v>
      </c>
    </row>
    <row r="207" spans="1:15" x14ac:dyDescent="0.25">
      <c r="A207" s="1" t="s">
        <v>339</v>
      </c>
      <c r="B207" s="1" t="s">
        <v>340</v>
      </c>
      <c r="C207" s="3">
        <v>45375.146527777775</v>
      </c>
      <c r="D207" s="4">
        <f t="shared" si="13"/>
        <v>45375</v>
      </c>
      <c r="E207" s="6">
        <v>9.1611111111075498</v>
      </c>
      <c r="F207" s="6" t="str" cm="1">
        <f t="array" ref="F207">_xlfn.IFS(
     AND(HOUR(session_data[[#This Row],[Time]])&gt;5,HOUR(session_data[[#This Row],[Time]])&lt;12),"Morning",
     AND(HOUR(session_data[[#This Row],[Time]])&gt;=12,HOUR(session_data[[#This Row],[Time]])&lt;17),"Afternoon",
     AND(HOUR(session_data[[#This Row],[Time]])&gt;=17,HOUR(session_data[[#This Row],[Time]])&lt;21),"Evening",
     TRUE,"Night"
)</f>
        <v>Night</v>
      </c>
      <c r="G207" s="1">
        <f t="shared" si="14"/>
        <v>2024</v>
      </c>
      <c r="H207" s="1" t="str">
        <f t="shared" si="15"/>
        <v>Mar</v>
      </c>
      <c r="I207" s="1" t="str">
        <f t="shared" si="12"/>
        <v>Sun</v>
      </c>
      <c r="J207" s="1" t="s">
        <v>11</v>
      </c>
      <c r="K207" s="1" t="s">
        <v>29</v>
      </c>
      <c r="L207" s="1" t="s">
        <v>30</v>
      </c>
      <c r="M207" s="1" t="s">
        <v>32</v>
      </c>
      <c r="N207" s="1" t="s">
        <v>14</v>
      </c>
      <c r="O207" t="s">
        <v>15</v>
      </c>
    </row>
    <row r="208" spans="1:15" x14ac:dyDescent="0.25">
      <c r="A208" s="1" t="s">
        <v>341</v>
      </c>
      <c r="B208" s="1" t="s">
        <v>340</v>
      </c>
      <c r="C208" s="2">
        <v>45508.396527777775</v>
      </c>
      <c r="D208" s="4">
        <f t="shared" si="13"/>
        <v>45508</v>
      </c>
      <c r="E208" s="6">
        <v>9.2027777777742195</v>
      </c>
      <c r="F208" s="6" t="str" cm="1">
        <f t="array" ref="F208">_xlfn.IFS(
     AND(HOUR(session_data[[#This Row],[Time]])&gt;5,HOUR(session_data[[#This Row],[Time]])&lt;12),"Morning",
     AND(HOUR(session_data[[#This Row],[Time]])&gt;=12,HOUR(session_data[[#This Row],[Time]])&lt;17),"Afternoon",
     AND(HOUR(session_data[[#This Row],[Time]])&gt;=17,HOUR(session_data[[#This Row],[Time]])&lt;21),"Evening",
     TRUE,"Night"
)</f>
        <v>Night</v>
      </c>
      <c r="G208" s="1">
        <f t="shared" si="14"/>
        <v>2024</v>
      </c>
      <c r="H208" s="1" t="str">
        <f t="shared" si="15"/>
        <v>Aug</v>
      </c>
      <c r="I208" s="1" t="str">
        <f t="shared" si="12"/>
        <v>Sun</v>
      </c>
      <c r="J208" s="1" t="s">
        <v>11</v>
      </c>
      <c r="K208" s="1" t="s">
        <v>29</v>
      </c>
      <c r="L208" s="1" t="s">
        <v>30</v>
      </c>
      <c r="M208" s="1" t="s">
        <v>32</v>
      </c>
      <c r="N208" s="1" t="s">
        <v>22</v>
      </c>
      <c r="O208" t="s">
        <v>15</v>
      </c>
    </row>
    <row r="209" spans="1:15" x14ac:dyDescent="0.25">
      <c r="A209" s="1" t="s">
        <v>342</v>
      </c>
      <c r="B209" s="1" t="s">
        <v>343</v>
      </c>
      <c r="C209" s="2">
        <v>45633.699305555558</v>
      </c>
      <c r="D209" s="4">
        <f t="shared" si="13"/>
        <v>45633</v>
      </c>
      <c r="E209" s="6">
        <v>9.2444444444408909</v>
      </c>
      <c r="F209" s="6" t="str" cm="1">
        <f t="array" ref="F209">_xlfn.IFS(
     AND(HOUR(session_data[[#This Row],[Time]])&gt;5,HOUR(session_data[[#This Row],[Time]])&lt;12),"Morning",
     AND(HOUR(session_data[[#This Row],[Time]])&gt;=12,HOUR(session_data[[#This Row],[Time]])&lt;17),"Afternoon",
     AND(HOUR(session_data[[#This Row],[Time]])&gt;=17,HOUR(session_data[[#This Row],[Time]])&lt;21),"Evening",
     TRUE,"Night"
)</f>
        <v>Night</v>
      </c>
      <c r="G209" s="1">
        <f t="shared" si="14"/>
        <v>2024</v>
      </c>
      <c r="H209" s="1" t="str">
        <f t="shared" si="15"/>
        <v>Dec</v>
      </c>
      <c r="I209" s="1" t="str">
        <f t="shared" si="12"/>
        <v>Sat</v>
      </c>
      <c r="J209" s="1" t="s">
        <v>28</v>
      </c>
      <c r="K209" s="1" t="s">
        <v>12</v>
      </c>
      <c r="L209" s="1" t="s">
        <v>30</v>
      </c>
      <c r="M209" s="1" t="s">
        <v>32</v>
      </c>
      <c r="N209" s="1" t="s">
        <v>14</v>
      </c>
      <c r="O209" t="s">
        <v>45</v>
      </c>
    </row>
    <row r="210" spans="1:15" x14ac:dyDescent="0.25">
      <c r="A210" s="1" t="s">
        <v>344</v>
      </c>
      <c r="B210" s="1" t="s">
        <v>345</v>
      </c>
      <c r="C210" s="3">
        <v>45369.478472222225</v>
      </c>
      <c r="D210" s="4">
        <f t="shared" si="13"/>
        <v>45369</v>
      </c>
      <c r="E210" s="6">
        <v>9.2861111111075498</v>
      </c>
      <c r="F210" s="6" t="str" cm="1">
        <f t="array" ref="F210">_xlfn.IFS(
     AND(HOUR(session_data[[#This Row],[Time]])&gt;5,HOUR(session_data[[#This Row],[Time]])&lt;12),"Morning",
     AND(HOUR(session_data[[#This Row],[Time]])&gt;=12,HOUR(session_data[[#This Row],[Time]])&lt;17),"Afternoon",
     AND(HOUR(session_data[[#This Row],[Time]])&gt;=17,HOUR(session_data[[#This Row],[Time]])&lt;21),"Evening",
     TRUE,"Night"
)</f>
        <v>Morning</v>
      </c>
      <c r="G210" s="1">
        <f t="shared" si="14"/>
        <v>2024</v>
      </c>
      <c r="H210" s="1" t="str">
        <f t="shared" si="15"/>
        <v>Mar</v>
      </c>
      <c r="I210" s="1" t="str">
        <f t="shared" si="12"/>
        <v>Mon</v>
      </c>
      <c r="J210" s="1" t="s">
        <v>11</v>
      </c>
      <c r="K210" s="1" t="s">
        <v>12</v>
      </c>
      <c r="L210" s="1" t="s">
        <v>59</v>
      </c>
      <c r="M210" s="1" t="s">
        <v>19</v>
      </c>
      <c r="N210" s="1" t="s">
        <v>14</v>
      </c>
      <c r="O210" t="s">
        <v>45</v>
      </c>
    </row>
    <row r="211" spans="1:15" x14ac:dyDescent="0.25">
      <c r="A211" s="1" t="s">
        <v>346</v>
      </c>
      <c r="B211" s="1" t="s">
        <v>345</v>
      </c>
      <c r="C211" s="2">
        <v>45416.811805555553</v>
      </c>
      <c r="D211" s="4">
        <f t="shared" si="13"/>
        <v>45416</v>
      </c>
      <c r="E211" s="6">
        <v>9.3277777777742195</v>
      </c>
      <c r="F211" s="6" t="str" cm="1">
        <f t="array" ref="F211">_xlfn.IFS(
     AND(HOUR(session_data[[#This Row],[Time]])&gt;5,HOUR(session_data[[#This Row],[Time]])&lt;12),"Morning",
     AND(HOUR(session_data[[#This Row],[Time]])&gt;=12,HOUR(session_data[[#This Row],[Time]])&lt;17),"Afternoon",
     AND(HOUR(session_data[[#This Row],[Time]])&gt;=17,HOUR(session_data[[#This Row],[Time]])&lt;21),"Evening",
     TRUE,"Night"
)</f>
        <v>Morning</v>
      </c>
      <c r="G211" s="1">
        <f t="shared" si="14"/>
        <v>2024</v>
      </c>
      <c r="H211" s="1" t="str">
        <f t="shared" si="15"/>
        <v>May</v>
      </c>
      <c r="I211" s="1" t="str">
        <f t="shared" si="12"/>
        <v>Sat</v>
      </c>
      <c r="J211" s="1" t="s">
        <v>11</v>
      </c>
      <c r="K211" s="1" t="s">
        <v>12</v>
      </c>
      <c r="L211" s="1" t="s">
        <v>59</v>
      </c>
      <c r="M211" s="1" t="s">
        <v>19</v>
      </c>
      <c r="N211" s="1" t="s">
        <v>22</v>
      </c>
      <c r="O211" t="s">
        <v>45</v>
      </c>
    </row>
    <row r="212" spans="1:15" x14ac:dyDescent="0.25">
      <c r="A212" s="1" t="s">
        <v>347</v>
      </c>
      <c r="B212" s="1" t="s">
        <v>348</v>
      </c>
      <c r="C212" s="3">
        <v>45524.35833333333</v>
      </c>
      <c r="D212" s="4">
        <f t="shared" si="13"/>
        <v>45524</v>
      </c>
      <c r="E212" s="6">
        <v>9.3694444444408909</v>
      </c>
      <c r="F212" s="6" t="str" cm="1">
        <f t="array" ref="F212">_xlfn.IFS(
     AND(HOUR(session_data[[#This Row],[Time]])&gt;5,HOUR(session_data[[#This Row],[Time]])&lt;12),"Morning",
     AND(HOUR(session_data[[#This Row],[Time]])&gt;=12,HOUR(session_data[[#This Row],[Time]])&lt;17),"Afternoon",
     AND(HOUR(session_data[[#This Row],[Time]])&gt;=17,HOUR(session_data[[#This Row],[Time]])&lt;21),"Evening",
     TRUE,"Night"
)</f>
        <v>Morning</v>
      </c>
      <c r="G212" s="1">
        <f t="shared" si="14"/>
        <v>2024</v>
      </c>
      <c r="H212" s="1" t="str">
        <f t="shared" si="15"/>
        <v>Aug</v>
      </c>
      <c r="I212" s="1" t="str">
        <f t="shared" si="12"/>
        <v>Tue</v>
      </c>
      <c r="J212" s="1" t="s">
        <v>44</v>
      </c>
      <c r="K212" s="1" t="s">
        <v>12</v>
      </c>
      <c r="L212" s="1" t="s">
        <v>30</v>
      </c>
      <c r="M212" s="1" t="s">
        <v>32</v>
      </c>
      <c r="N212" s="1" t="s">
        <v>14</v>
      </c>
      <c r="O212" t="s">
        <v>45</v>
      </c>
    </row>
    <row r="213" spans="1:15" x14ac:dyDescent="0.25">
      <c r="A213" s="1" t="s">
        <v>349</v>
      </c>
      <c r="B213" s="1" t="s">
        <v>348</v>
      </c>
      <c r="C213" s="3">
        <v>45549.48333333333</v>
      </c>
      <c r="D213" s="4">
        <f t="shared" si="13"/>
        <v>45549</v>
      </c>
      <c r="E213" s="6">
        <v>9.4111111111075498</v>
      </c>
      <c r="F213" s="6" t="str" cm="1">
        <f t="array" ref="F213">_xlfn.IFS(
     AND(HOUR(session_data[[#This Row],[Time]])&gt;5,HOUR(session_data[[#This Row],[Time]])&lt;12),"Morning",
     AND(HOUR(session_data[[#This Row],[Time]])&gt;=12,HOUR(session_data[[#This Row],[Time]])&lt;17),"Afternoon",
     AND(HOUR(session_data[[#This Row],[Time]])&gt;=17,HOUR(session_data[[#This Row],[Time]])&lt;21),"Evening",
     TRUE,"Night"
)</f>
        <v>Morning</v>
      </c>
      <c r="G213" s="1">
        <f t="shared" si="14"/>
        <v>2024</v>
      </c>
      <c r="H213" s="1" t="str">
        <f t="shared" si="15"/>
        <v>Sep</v>
      </c>
      <c r="I213" s="1" t="str">
        <f t="shared" si="12"/>
        <v>Sat</v>
      </c>
      <c r="J213" s="1" t="s">
        <v>44</v>
      </c>
      <c r="K213" s="1" t="s">
        <v>12</v>
      </c>
      <c r="L213" s="1" t="s">
        <v>30</v>
      </c>
      <c r="M213" s="1" t="s">
        <v>32</v>
      </c>
      <c r="N213" s="1" t="s">
        <v>22</v>
      </c>
      <c r="O213" t="s">
        <v>45</v>
      </c>
    </row>
    <row r="214" spans="1:15" x14ac:dyDescent="0.25">
      <c r="A214" s="1" t="s">
        <v>350</v>
      </c>
      <c r="B214" s="1" t="s">
        <v>348</v>
      </c>
      <c r="C214" s="3">
        <v>45561.73333333333</v>
      </c>
      <c r="D214" s="4">
        <f t="shared" si="13"/>
        <v>45561</v>
      </c>
      <c r="E214" s="6">
        <v>9.4527777777742195</v>
      </c>
      <c r="F214" s="6" t="str" cm="1">
        <f t="array" ref="F214">_xlfn.IFS(
     AND(HOUR(session_data[[#This Row],[Time]])&gt;5,HOUR(session_data[[#This Row],[Time]])&lt;12),"Morning",
     AND(HOUR(session_data[[#This Row],[Time]])&gt;=12,HOUR(session_data[[#This Row],[Time]])&lt;17),"Afternoon",
     AND(HOUR(session_data[[#This Row],[Time]])&gt;=17,HOUR(session_data[[#This Row],[Time]])&lt;21),"Evening",
     TRUE,"Night"
)</f>
        <v>Morning</v>
      </c>
      <c r="G214" s="1">
        <f t="shared" si="14"/>
        <v>2024</v>
      </c>
      <c r="H214" s="1" t="str">
        <f t="shared" si="15"/>
        <v>Sep</v>
      </c>
      <c r="I214" s="1" t="str">
        <f t="shared" si="12"/>
        <v>Thu</v>
      </c>
      <c r="J214" s="1" t="s">
        <v>44</v>
      </c>
      <c r="K214" s="1" t="s">
        <v>12</v>
      </c>
      <c r="L214" s="1" t="s">
        <v>30</v>
      </c>
      <c r="M214" s="1" t="s">
        <v>32</v>
      </c>
      <c r="N214" s="1" t="s">
        <v>22</v>
      </c>
      <c r="O214" t="s">
        <v>45</v>
      </c>
    </row>
    <row r="215" spans="1:15" x14ac:dyDescent="0.25">
      <c r="A215" s="1" t="s">
        <v>351</v>
      </c>
      <c r="B215" s="1" t="s">
        <v>348</v>
      </c>
      <c r="C215" s="3">
        <v>45610.941666666666</v>
      </c>
      <c r="D215" s="4">
        <f t="shared" si="13"/>
        <v>45610</v>
      </c>
      <c r="E215" s="6">
        <v>9.4944444444408909</v>
      </c>
      <c r="F215" s="6" t="str" cm="1">
        <f t="array" ref="F215">_xlfn.IFS(
     AND(HOUR(session_data[[#This Row],[Time]])&gt;5,HOUR(session_data[[#This Row],[Time]])&lt;12),"Morning",
     AND(HOUR(session_data[[#This Row],[Time]])&gt;=12,HOUR(session_data[[#This Row],[Time]])&lt;17),"Afternoon",
     AND(HOUR(session_data[[#This Row],[Time]])&gt;=17,HOUR(session_data[[#This Row],[Time]])&lt;21),"Evening",
     TRUE,"Night"
)</f>
        <v>Morning</v>
      </c>
      <c r="G215" s="1">
        <f t="shared" si="14"/>
        <v>2024</v>
      </c>
      <c r="H215" s="1" t="str">
        <f t="shared" si="15"/>
        <v>Nov</v>
      </c>
      <c r="I215" s="1" t="str">
        <f t="shared" si="12"/>
        <v>Thu</v>
      </c>
      <c r="J215" s="1" t="s">
        <v>44</v>
      </c>
      <c r="K215" s="1" t="s">
        <v>12</v>
      </c>
      <c r="L215" s="1" t="s">
        <v>30</v>
      </c>
      <c r="M215" s="1" t="s">
        <v>32</v>
      </c>
      <c r="N215" s="1" t="s">
        <v>22</v>
      </c>
      <c r="O215" t="s">
        <v>45</v>
      </c>
    </row>
    <row r="216" spans="1:15" x14ac:dyDescent="0.25">
      <c r="A216" s="1" t="s">
        <v>352</v>
      </c>
      <c r="B216" s="1" t="s">
        <v>353</v>
      </c>
      <c r="C216" s="3">
        <v>45156.762499999997</v>
      </c>
      <c r="D216" s="4">
        <f t="shared" si="13"/>
        <v>45156</v>
      </c>
      <c r="E216" s="6">
        <v>9.5361111111075498</v>
      </c>
      <c r="F216" s="6" t="str" cm="1">
        <f t="array" ref="F216">_xlfn.IFS(
     AND(HOUR(session_data[[#This Row],[Time]])&gt;5,HOUR(session_data[[#This Row],[Time]])&lt;12),"Morning",
     AND(HOUR(session_data[[#This Row],[Time]])&gt;=12,HOUR(session_data[[#This Row],[Time]])&lt;17),"Afternoon",
     AND(HOUR(session_data[[#This Row],[Time]])&gt;=17,HOUR(session_data[[#This Row],[Time]])&lt;21),"Evening",
     TRUE,"Night"
)</f>
        <v>Afternoon</v>
      </c>
      <c r="G216" s="1">
        <f t="shared" si="14"/>
        <v>2023</v>
      </c>
      <c r="H216" s="1" t="str">
        <f t="shared" si="15"/>
        <v>Aug</v>
      </c>
      <c r="I216" s="1" t="str">
        <f t="shared" si="12"/>
        <v>Fri</v>
      </c>
      <c r="J216" s="1" t="s">
        <v>44</v>
      </c>
      <c r="K216" s="1" t="s">
        <v>29</v>
      </c>
      <c r="L216" s="1" t="s">
        <v>59</v>
      </c>
      <c r="M216" s="1" t="s">
        <v>19</v>
      </c>
      <c r="N216" s="1" t="s">
        <v>14</v>
      </c>
      <c r="O216" t="s">
        <v>15</v>
      </c>
    </row>
    <row r="217" spans="1:15" x14ac:dyDescent="0.25">
      <c r="A217" s="1" t="s">
        <v>354</v>
      </c>
      <c r="B217" s="1" t="s">
        <v>355</v>
      </c>
      <c r="C217" s="2">
        <v>45292.252083333333</v>
      </c>
      <c r="D217" s="4">
        <f t="shared" si="13"/>
        <v>45292</v>
      </c>
      <c r="E217" s="6">
        <v>9.5777777777742195</v>
      </c>
      <c r="F217" s="6" t="str" cm="1">
        <f t="array" ref="F217">_xlfn.IFS(
     AND(HOUR(session_data[[#This Row],[Time]])&gt;5,HOUR(session_data[[#This Row],[Time]])&lt;12),"Morning",
     AND(HOUR(session_data[[#This Row],[Time]])&gt;=12,HOUR(session_data[[#This Row],[Time]])&lt;17),"Afternoon",
     AND(HOUR(session_data[[#This Row],[Time]])&gt;=17,HOUR(session_data[[#This Row],[Time]])&lt;21),"Evening",
     TRUE,"Night"
)</f>
        <v>Afternoon</v>
      </c>
      <c r="G217" s="1">
        <f t="shared" si="14"/>
        <v>2024</v>
      </c>
      <c r="H217" s="1" t="str">
        <f t="shared" si="15"/>
        <v>Jan</v>
      </c>
      <c r="I217" s="1" t="str">
        <f t="shared" si="12"/>
        <v>Mon</v>
      </c>
      <c r="J217" s="1" t="s">
        <v>11</v>
      </c>
      <c r="K217" s="1" t="s">
        <v>29</v>
      </c>
      <c r="L217" s="1" t="s">
        <v>41</v>
      </c>
      <c r="M217" s="1" t="s">
        <v>40</v>
      </c>
      <c r="N217" s="1" t="s">
        <v>14</v>
      </c>
      <c r="O217" t="s">
        <v>15</v>
      </c>
    </row>
    <row r="218" spans="1:15" x14ac:dyDescent="0.25">
      <c r="A218" s="1" t="s">
        <v>356</v>
      </c>
      <c r="B218" s="1" t="s">
        <v>355</v>
      </c>
      <c r="C218" s="2">
        <v>45445.127083333333</v>
      </c>
      <c r="D218" s="4">
        <f t="shared" si="13"/>
        <v>45445</v>
      </c>
      <c r="E218" s="6">
        <v>9.6194444444408909</v>
      </c>
      <c r="F218" s="6" t="str" cm="1">
        <f t="array" ref="F218">_xlfn.IFS(
     AND(HOUR(session_data[[#This Row],[Time]])&gt;5,HOUR(session_data[[#This Row],[Time]])&lt;12),"Morning",
     AND(HOUR(session_data[[#This Row],[Time]])&gt;=12,HOUR(session_data[[#This Row],[Time]])&lt;17),"Afternoon",
     AND(HOUR(session_data[[#This Row],[Time]])&gt;=17,HOUR(session_data[[#This Row],[Time]])&lt;21),"Evening",
     TRUE,"Night"
)</f>
        <v>Afternoon</v>
      </c>
      <c r="G218" s="1">
        <f t="shared" si="14"/>
        <v>2024</v>
      </c>
      <c r="H218" s="1" t="str">
        <f t="shared" si="15"/>
        <v>Jun</v>
      </c>
      <c r="I218" s="1" t="str">
        <f t="shared" si="12"/>
        <v>Sun</v>
      </c>
      <c r="J218" s="1" t="s">
        <v>11</v>
      </c>
      <c r="K218" s="1" t="s">
        <v>29</v>
      </c>
      <c r="L218" s="1" t="s">
        <v>41</v>
      </c>
      <c r="M218" s="1" t="s">
        <v>40</v>
      </c>
      <c r="N218" s="1" t="s">
        <v>22</v>
      </c>
      <c r="O218" t="s">
        <v>15</v>
      </c>
    </row>
    <row r="219" spans="1:15" x14ac:dyDescent="0.25">
      <c r="A219" s="1" t="s">
        <v>357</v>
      </c>
      <c r="B219" s="1" t="s">
        <v>358</v>
      </c>
      <c r="C219" s="2">
        <v>45450.297222222223</v>
      </c>
      <c r="D219" s="4">
        <f t="shared" si="13"/>
        <v>45450</v>
      </c>
      <c r="E219" s="6">
        <v>9.6611111111075498</v>
      </c>
      <c r="F219" s="6" t="str" cm="1">
        <f t="array" ref="F219">_xlfn.IFS(
     AND(HOUR(session_data[[#This Row],[Time]])&gt;5,HOUR(session_data[[#This Row],[Time]])&lt;12),"Morning",
     AND(HOUR(session_data[[#This Row],[Time]])&gt;=12,HOUR(session_data[[#This Row],[Time]])&lt;17),"Afternoon",
     AND(HOUR(session_data[[#This Row],[Time]])&gt;=17,HOUR(session_data[[#This Row],[Time]])&lt;21),"Evening",
     TRUE,"Night"
)</f>
        <v>Afternoon</v>
      </c>
      <c r="G219" s="1">
        <f t="shared" si="14"/>
        <v>2024</v>
      </c>
      <c r="H219" s="1" t="str">
        <f t="shared" si="15"/>
        <v>Jun</v>
      </c>
      <c r="I219" s="1" t="str">
        <f t="shared" si="12"/>
        <v>Fri</v>
      </c>
      <c r="J219" s="1" t="s">
        <v>11</v>
      </c>
      <c r="K219" s="1" t="s">
        <v>29</v>
      </c>
      <c r="L219" s="1" t="s">
        <v>50</v>
      </c>
      <c r="M219" s="1" t="s">
        <v>19</v>
      </c>
      <c r="N219" s="1" t="s">
        <v>14</v>
      </c>
      <c r="O219" t="s">
        <v>15</v>
      </c>
    </row>
    <row r="220" spans="1:15" x14ac:dyDescent="0.25">
      <c r="A220" s="1" t="s">
        <v>359</v>
      </c>
      <c r="B220" s="1" t="s">
        <v>358</v>
      </c>
      <c r="C220" s="3">
        <v>45491.922222222223</v>
      </c>
      <c r="D220" s="4">
        <f t="shared" si="13"/>
        <v>45491</v>
      </c>
      <c r="E220" s="6">
        <v>9.7027777777742195</v>
      </c>
      <c r="F220" s="6" t="str" cm="1">
        <f t="array" ref="F220">_xlfn.IFS(
     AND(HOUR(session_data[[#This Row],[Time]])&gt;5,HOUR(session_data[[#This Row],[Time]])&lt;12),"Morning",
     AND(HOUR(session_data[[#This Row],[Time]])&gt;=12,HOUR(session_data[[#This Row],[Time]])&lt;17),"Afternoon",
     AND(HOUR(session_data[[#This Row],[Time]])&gt;=17,HOUR(session_data[[#This Row],[Time]])&lt;21),"Evening",
     TRUE,"Night"
)</f>
        <v>Afternoon</v>
      </c>
      <c r="G220" s="1">
        <f t="shared" si="14"/>
        <v>2024</v>
      </c>
      <c r="H220" s="1" t="str">
        <f t="shared" si="15"/>
        <v>Jul</v>
      </c>
      <c r="I220" s="1" t="str">
        <f t="shared" si="12"/>
        <v>Thu</v>
      </c>
      <c r="J220" s="1" t="s">
        <v>11</v>
      </c>
      <c r="K220" s="1" t="s">
        <v>29</v>
      </c>
      <c r="L220" s="1" t="s">
        <v>50</v>
      </c>
      <c r="M220" s="1" t="s">
        <v>19</v>
      </c>
      <c r="N220" s="1" t="s">
        <v>22</v>
      </c>
      <c r="O220" t="s">
        <v>15</v>
      </c>
    </row>
    <row r="221" spans="1:15" x14ac:dyDescent="0.25">
      <c r="A221" s="1" t="s">
        <v>360</v>
      </c>
      <c r="B221" s="1" t="s">
        <v>358</v>
      </c>
      <c r="C221" s="3">
        <v>45521.505555555559</v>
      </c>
      <c r="D221" s="4">
        <f t="shared" si="13"/>
        <v>45521</v>
      </c>
      <c r="E221" s="6">
        <v>9.7444444444408909</v>
      </c>
      <c r="F221" s="6" t="str" cm="1">
        <f t="array" ref="F221">_xlfn.IFS(
     AND(HOUR(session_data[[#This Row],[Time]])&gt;5,HOUR(session_data[[#This Row],[Time]])&lt;12),"Morning",
     AND(HOUR(session_data[[#This Row],[Time]])&gt;=12,HOUR(session_data[[#This Row],[Time]])&lt;17),"Afternoon",
     AND(HOUR(session_data[[#This Row],[Time]])&gt;=17,HOUR(session_data[[#This Row],[Time]])&lt;21),"Evening",
     TRUE,"Night"
)</f>
        <v>Evening</v>
      </c>
      <c r="G221" s="1">
        <f t="shared" si="14"/>
        <v>2024</v>
      </c>
      <c r="H221" s="1" t="str">
        <f t="shared" si="15"/>
        <v>Aug</v>
      </c>
      <c r="I221" s="1" t="str">
        <f t="shared" si="12"/>
        <v>Sat</v>
      </c>
      <c r="J221" s="1" t="s">
        <v>11</v>
      </c>
      <c r="K221" s="1" t="s">
        <v>29</v>
      </c>
      <c r="L221" s="1" t="s">
        <v>50</v>
      </c>
      <c r="M221" s="1" t="s">
        <v>19</v>
      </c>
      <c r="N221" s="1" t="s">
        <v>22</v>
      </c>
      <c r="O221" t="s">
        <v>15</v>
      </c>
    </row>
    <row r="222" spans="1:15" x14ac:dyDescent="0.25">
      <c r="A222" s="1" t="s">
        <v>361</v>
      </c>
      <c r="B222" s="1" t="s">
        <v>362</v>
      </c>
      <c r="C222" s="2">
        <v>45416.960416666669</v>
      </c>
      <c r="D222" s="4">
        <f t="shared" si="13"/>
        <v>45416</v>
      </c>
      <c r="E222" s="6">
        <v>9.7861111111075498</v>
      </c>
      <c r="F222" s="6" t="str" cm="1">
        <f t="array" ref="F222">_xlfn.IFS(
     AND(HOUR(session_data[[#This Row],[Time]])&gt;5,HOUR(session_data[[#This Row],[Time]])&lt;12),"Morning",
     AND(HOUR(session_data[[#This Row],[Time]])&gt;=12,HOUR(session_data[[#This Row],[Time]])&lt;17),"Afternoon",
     AND(HOUR(session_data[[#This Row],[Time]])&gt;=17,HOUR(session_data[[#This Row],[Time]])&lt;21),"Evening",
     TRUE,"Night"
)</f>
        <v>Evening</v>
      </c>
      <c r="G222" s="1">
        <f t="shared" si="14"/>
        <v>2024</v>
      </c>
      <c r="H222" s="1" t="str">
        <f t="shared" si="15"/>
        <v>May</v>
      </c>
      <c r="I222" s="1" t="str">
        <f t="shared" si="12"/>
        <v>Sat</v>
      </c>
      <c r="J222" s="1" t="s">
        <v>18</v>
      </c>
      <c r="K222" s="1" t="s">
        <v>29</v>
      </c>
      <c r="L222" s="1" t="s">
        <v>50</v>
      </c>
      <c r="M222" s="1" t="s">
        <v>19</v>
      </c>
      <c r="N222" s="1" t="s">
        <v>14</v>
      </c>
      <c r="O222" t="s">
        <v>15</v>
      </c>
    </row>
    <row r="223" spans="1:15" x14ac:dyDescent="0.25">
      <c r="A223" s="1" t="s">
        <v>363</v>
      </c>
      <c r="B223" s="1" t="s">
        <v>364</v>
      </c>
      <c r="C223" s="2">
        <v>45508.106944444444</v>
      </c>
      <c r="D223" s="4">
        <f t="shared" si="13"/>
        <v>45508</v>
      </c>
      <c r="E223" s="6">
        <v>9.8277777777742195</v>
      </c>
      <c r="F223" s="6" t="str" cm="1">
        <f t="array" ref="F223">_xlfn.IFS(
     AND(HOUR(session_data[[#This Row],[Time]])&gt;5,HOUR(session_data[[#This Row],[Time]])&lt;12),"Morning",
     AND(HOUR(session_data[[#This Row],[Time]])&gt;=12,HOUR(session_data[[#This Row],[Time]])&lt;17),"Afternoon",
     AND(HOUR(session_data[[#This Row],[Time]])&gt;=17,HOUR(session_data[[#This Row],[Time]])&lt;21),"Evening",
     TRUE,"Night"
)</f>
        <v>Evening</v>
      </c>
      <c r="G223" s="1">
        <f t="shared" si="14"/>
        <v>2024</v>
      </c>
      <c r="H223" s="1" t="str">
        <f t="shared" si="15"/>
        <v>Aug</v>
      </c>
      <c r="I223" s="1" t="str">
        <f t="shared" si="12"/>
        <v>Sun</v>
      </c>
      <c r="J223" s="1" t="s">
        <v>66</v>
      </c>
      <c r="K223" s="1" t="s">
        <v>36</v>
      </c>
      <c r="L223" s="1" t="s">
        <v>13</v>
      </c>
      <c r="M223" s="1" t="s">
        <v>32</v>
      </c>
      <c r="N223" s="1" t="s">
        <v>14</v>
      </c>
      <c r="O223" t="s">
        <v>45</v>
      </c>
    </row>
    <row r="224" spans="1:15" x14ac:dyDescent="0.25">
      <c r="A224" s="1" t="s">
        <v>365</v>
      </c>
      <c r="B224" s="1" t="s">
        <v>366</v>
      </c>
      <c r="C224" s="2">
        <v>45608.034722222219</v>
      </c>
      <c r="D224" s="4">
        <f t="shared" si="13"/>
        <v>45608</v>
      </c>
      <c r="E224" s="6">
        <v>9.8694444444408909</v>
      </c>
      <c r="F224" s="6" t="str" cm="1">
        <f t="array" ref="F224">_xlfn.IFS(
     AND(HOUR(session_data[[#This Row],[Time]])&gt;5,HOUR(session_data[[#This Row],[Time]])&lt;12),"Morning",
     AND(HOUR(session_data[[#This Row],[Time]])&gt;=12,HOUR(session_data[[#This Row],[Time]])&lt;17),"Afternoon",
     AND(HOUR(session_data[[#This Row],[Time]])&gt;=17,HOUR(session_data[[#This Row],[Time]])&lt;21),"Evening",
     TRUE,"Night"
)</f>
        <v>Evening</v>
      </c>
      <c r="G224" s="1">
        <f t="shared" si="14"/>
        <v>2024</v>
      </c>
      <c r="H224" s="1" t="str">
        <f t="shared" si="15"/>
        <v>Nov</v>
      </c>
      <c r="I224" s="1" t="str">
        <f t="shared" si="12"/>
        <v>Tue</v>
      </c>
      <c r="J224" s="1" t="s">
        <v>11</v>
      </c>
      <c r="K224" s="1" t="s">
        <v>29</v>
      </c>
      <c r="L224" s="1" t="s">
        <v>13</v>
      </c>
      <c r="M224" s="1" t="s">
        <v>32</v>
      </c>
      <c r="N224" s="1" t="s">
        <v>14</v>
      </c>
      <c r="O224" t="s">
        <v>45</v>
      </c>
    </row>
    <row r="225" spans="1:15" x14ac:dyDescent="0.25">
      <c r="A225" s="1" t="s">
        <v>367</v>
      </c>
      <c r="B225" s="1" t="s">
        <v>368</v>
      </c>
      <c r="C225" s="3">
        <v>45463.038194444445</v>
      </c>
      <c r="D225" s="4">
        <f t="shared" si="13"/>
        <v>45463</v>
      </c>
      <c r="E225" s="6">
        <v>9.9111111111075498</v>
      </c>
      <c r="F225" s="6" t="str" cm="1">
        <f t="array" ref="F225">_xlfn.IFS(
     AND(HOUR(session_data[[#This Row],[Time]])&gt;5,HOUR(session_data[[#This Row],[Time]])&lt;12),"Morning",
     AND(HOUR(session_data[[#This Row],[Time]])&gt;=12,HOUR(session_data[[#This Row],[Time]])&lt;17),"Afternoon",
     AND(HOUR(session_data[[#This Row],[Time]])&gt;=17,HOUR(session_data[[#This Row],[Time]])&lt;21),"Evening",
     TRUE,"Night"
)</f>
        <v>Night</v>
      </c>
      <c r="G225" s="1">
        <f t="shared" si="14"/>
        <v>2024</v>
      </c>
      <c r="H225" s="1" t="str">
        <f t="shared" si="15"/>
        <v>Jun</v>
      </c>
      <c r="I225" s="1" t="str">
        <f t="shared" si="12"/>
        <v>Thu</v>
      </c>
      <c r="J225" s="1" t="s">
        <v>66</v>
      </c>
      <c r="K225" s="1" t="s">
        <v>12</v>
      </c>
      <c r="L225" s="1" t="s">
        <v>59</v>
      </c>
      <c r="M225" s="1" t="s">
        <v>19</v>
      </c>
      <c r="N225" s="1" t="s">
        <v>14</v>
      </c>
      <c r="O225" t="s">
        <v>15</v>
      </c>
    </row>
    <row r="226" spans="1:15" x14ac:dyDescent="0.25">
      <c r="A226" s="1" t="s">
        <v>369</v>
      </c>
      <c r="B226" s="1" t="s">
        <v>370</v>
      </c>
      <c r="C226" s="3">
        <v>45375.802083333336</v>
      </c>
      <c r="D226" s="4">
        <f t="shared" si="13"/>
        <v>45375</v>
      </c>
      <c r="E226" s="6">
        <v>9.9527777777742195</v>
      </c>
      <c r="F226" s="6" t="str" cm="1">
        <f t="array" ref="F226">_xlfn.IFS(
     AND(HOUR(session_data[[#This Row],[Time]])&gt;5,HOUR(session_data[[#This Row],[Time]])&lt;12),"Morning",
     AND(HOUR(session_data[[#This Row],[Time]])&gt;=12,HOUR(session_data[[#This Row],[Time]])&lt;17),"Afternoon",
     AND(HOUR(session_data[[#This Row],[Time]])&gt;=17,HOUR(session_data[[#This Row],[Time]])&lt;21),"Evening",
     TRUE,"Night"
)</f>
        <v>Night</v>
      </c>
      <c r="G226" s="1">
        <f t="shared" si="14"/>
        <v>2024</v>
      </c>
      <c r="H226" s="1" t="str">
        <f t="shared" si="15"/>
        <v>Mar</v>
      </c>
      <c r="I226" s="1" t="str">
        <f t="shared" si="12"/>
        <v>Sun</v>
      </c>
      <c r="J226" s="1" t="s">
        <v>11</v>
      </c>
      <c r="K226" s="1" t="s">
        <v>29</v>
      </c>
      <c r="L226" s="1" t="s">
        <v>94</v>
      </c>
      <c r="M226" s="1" t="s">
        <v>32</v>
      </c>
      <c r="N226" s="1" t="s">
        <v>14</v>
      </c>
      <c r="O226" t="s">
        <v>45</v>
      </c>
    </row>
    <row r="227" spans="1:15" x14ac:dyDescent="0.25">
      <c r="A227" s="1" t="s">
        <v>371</v>
      </c>
      <c r="B227" s="1" t="s">
        <v>370</v>
      </c>
      <c r="C227" s="2">
        <v>45326.21875</v>
      </c>
      <c r="D227" s="4">
        <f t="shared" si="13"/>
        <v>45326</v>
      </c>
      <c r="E227" s="6">
        <v>9.9944444444408909</v>
      </c>
      <c r="F227" s="6" t="str" cm="1">
        <f t="array" ref="F227">_xlfn.IFS(
     AND(HOUR(session_data[[#This Row],[Time]])&gt;5,HOUR(session_data[[#This Row],[Time]])&lt;12),"Morning",
     AND(HOUR(session_data[[#This Row],[Time]])&gt;=12,HOUR(session_data[[#This Row],[Time]])&lt;17),"Afternoon",
     AND(HOUR(session_data[[#This Row],[Time]])&gt;=17,HOUR(session_data[[#This Row],[Time]])&lt;21),"Evening",
     TRUE,"Night"
)</f>
        <v>Night</v>
      </c>
      <c r="G227" s="1">
        <f t="shared" si="14"/>
        <v>2024</v>
      </c>
      <c r="H227" s="1" t="str">
        <f t="shared" si="15"/>
        <v>Feb</v>
      </c>
      <c r="I227" s="1" t="str">
        <f t="shared" si="12"/>
        <v>Sun</v>
      </c>
      <c r="J227" s="1" t="s">
        <v>11</v>
      </c>
      <c r="K227" s="1" t="s">
        <v>29</v>
      </c>
      <c r="L227" s="1" t="s">
        <v>94</v>
      </c>
      <c r="M227" s="1" t="s">
        <v>32</v>
      </c>
      <c r="N227" s="1" t="s">
        <v>22</v>
      </c>
      <c r="O227" t="s">
        <v>45</v>
      </c>
    </row>
    <row r="228" spans="1:15" x14ac:dyDescent="0.25">
      <c r="A228" s="1" t="s">
        <v>372</v>
      </c>
      <c r="B228" s="1" t="s">
        <v>370</v>
      </c>
      <c r="C228" s="3">
        <v>45408.760416666664</v>
      </c>
      <c r="D228" s="4">
        <f t="shared" si="13"/>
        <v>45408</v>
      </c>
      <c r="E228" s="6">
        <v>10.0361111111076</v>
      </c>
      <c r="F228" s="6" t="str" cm="1">
        <f t="array" ref="F228">_xlfn.IFS(
     AND(HOUR(session_data[[#This Row],[Time]])&gt;5,HOUR(session_data[[#This Row],[Time]])&lt;12),"Morning",
     AND(HOUR(session_data[[#This Row],[Time]])&gt;=12,HOUR(session_data[[#This Row],[Time]])&lt;17),"Afternoon",
     AND(HOUR(session_data[[#This Row],[Time]])&gt;=17,HOUR(session_data[[#This Row],[Time]])&lt;21),"Evening",
     TRUE,"Night"
)</f>
        <v>Night</v>
      </c>
      <c r="G228" s="1">
        <f t="shared" si="14"/>
        <v>2024</v>
      </c>
      <c r="H228" s="1" t="str">
        <f t="shared" si="15"/>
        <v>Apr</v>
      </c>
      <c r="I228" s="1" t="str">
        <f t="shared" si="12"/>
        <v>Fri</v>
      </c>
      <c r="J228" s="1" t="s">
        <v>11</v>
      </c>
      <c r="K228" s="1" t="s">
        <v>29</v>
      </c>
      <c r="L228" s="1" t="s">
        <v>94</v>
      </c>
      <c r="M228" s="1" t="s">
        <v>32</v>
      </c>
      <c r="N228" s="1" t="s">
        <v>22</v>
      </c>
      <c r="O228" t="s">
        <v>45</v>
      </c>
    </row>
    <row r="229" spans="1:15" x14ac:dyDescent="0.25">
      <c r="A229" s="1" t="s">
        <v>373</v>
      </c>
      <c r="B229" s="1" t="s">
        <v>370</v>
      </c>
      <c r="C229" s="3">
        <v>45433.510416666664</v>
      </c>
      <c r="D229" s="4">
        <f t="shared" si="13"/>
        <v>45433</v>
      </c>
      <c r="E229" s="6">
        <v>10.0777777777742</v>
      </c>
      <c r="F229" s="6" t="str" cm="1">
        <f t="array" ref="F229">_xlfn.IFS(
     AND(HOUR(session_data[[#This Row],[Time]])&gt;5,HOUR(session_data[[#This Row],[Time]])&lt;12),"Morning",
     AND(HOUR(session_data[[#This Row],[Time]])&gt;=12,HOUR(session_data[[#This Row],[Time]])&lt;17),"Afternoon",
     AND(HOUR(session_data[[#This Row],[Time]])&gt;=17,HOUR(session_data[[#This Row],[Time]])&lt;21),"Evening",
     TRUE,"Night"
)</f>
        <v>Night</v>
      </c>
      <c r="G229" s="1">
        <f t="shared" si="14"/>
        <v>2024</v>
      </c>
      <c r="H229" s="1" t="str">
        <f t="shared" si="15"/>
        <v>May</v>
      </c>
      <c r="I229" s="1" t="str">
        <f t="shared" si="12"/>
        <v>Tue</v>
      </c>
      <c r="J229" s="1" t="s">
        <v>11</v>
      </c>
      <c r="K229" s="1" t="s">
        <v>29</v>
      </c>
      <c r="L229" s="1" t="s">
        <v>94</v>
      </c>
      <c r="M229" s="1" t="s">
        <v>32</v>
      </c>
      <c r="N229" s="1" t="s">
        <v>22</v>
      </c>
      <c r="O229" t="s">
        <v>45</v>
      </c>
    </row>
    <row r="230" spans="1:15" x14ac:dyDescent="0.25">
      <c r="A230" s="1" t="s">
        <v>374</v>
      </c>
      <c r="B230" s="1" t="s">
        <v>375</v>
      </c>
      <c r="C230" s="3">
        <v>45378.101388888892</v>
      </c>
      <c r="D230" s="4">
        <f t="shared" si="13"/>
        <v>45378</v>
      </c>
      <c r="E230" s="6">
        <v>10.1194444444409</v>
      </c>
      <c r="F230" s="6" t="str" cm="1">
        <f t="array" ref="F230">_xlfn.IFS(
     AND(HOUR(session_data[[#This Row],[Time]])&gt;5,HOUR(session_data[[#This Row],[Time]])&lt;12),"Morning",
     AND(HOUR(session_data[[#This Row],[Time]])&gt;=12,HOUR(session_data[[#This Row],[Time]])&lt;17),"Afternoon",
     AND(HOUR(session_data[[#This Row],[Time]])&gt;=17,HOUR(session_data[[#This Row],[Time]])&lt;21),"Evening",
     TRUE,"Night"
)</f>
        <v>Night</v>
      </c>
      <c r="G230" s="1">
        <f t="shared" si="14"/>
        <v>2024</v>
      </c>
      <c r="H230" s="1" t="str">
        <f t="shared" si="15"/>
        <v>Mar</v>
      </c>
      <c r="I230" s="1" t="str">
        <f t="shared" si="12"/>
        <v>Wed</v>
      </c>
      <c r="J230" s="1" t="s">
        <v>28</v>
      </c>
      <c r="K230" s="1" t="s">
        <v>12</v>
      </c>
      <c r="L230" s="1" t="s">
        <v>50</v>
      </c>
      <c r="M230" s="1" t="s">
        <v>19</v>
      </c>
      <c r="N230" s="1" t="s">
        <v>14</v>
      </c>
      <c r="O230" t="s">
        <v>15</v>
      </c>
    </row>
    <row r="231" spans="1:15" x14ac:dyDescent="0.25">
      <c r="A231" s="1" t="s">
        <v>376</v>
      </c>
      <c r="B231" s="1" t="s">
        <v>375</v>
      </c>
      <c r="C231" s="3">
        <v>45405.851388888892</v>
      </c>
      <c r="D231" s="4">
        <f t="shared" si="13"/>
        <v>45405</v>
      </c>
      <c r="E231" s="6">
        <v>10.1611111111076</v>
      </c>
      <c r="F231" s="6" t="str" cm="1">
        <f t="array" ref="F231">_xlfn.IFS(
     AND(HOUR(session_data[[#This Row],[Time]])&gt;5,HOUR(session_data[[#This Row],[Time]])&lt;12),"Morning",
     AND(HOUR(session_data[[#This Row],[Time]])&gt;=12,HOUR(session_data[[#This Row],[Time]])&lt;17),"Afternoon",
     AND(HOUR(session_data[[#This Row],[Time]])&gt;=17,HOUR(session_data[[#This Row],[Time]])&lt;21),"Evening",
     TRUE,"Night"
)</f>
        <v>Night</v>
      </c>
      <c r="G231" s="1">
        <f t="shared" si="14"/>
        <v>2024</v>
      </c>
      <c r="H231" s="1" t="str">
        <f t="shared" si="15"/>
        <v>Apr</v>
      </c>
      <c r="I231" s="1" t="str">
        <f t="shared" si="12"/>
        <v>Tue</v>
      </c>
      <c r="J231" s="1" t="s">
        <v>28</v>
      </c>
      <c r="K231" s="1" t="s">
        <v>12</v>
      </c>
      <c r="L231" s="1" t="s">
        <v>50</v>
      </c>
      <c r="M231" s="1" t="s">
        <v>19</v>
      </c>
      <c r="N231" s="1" t="s">
        <v>22</v>
      </c>
      <c r="O231" t="s">
        <v>15</v>
      </c>
    </row>
    <row r="232" spans="1:15" x14ac:dyDescent="0.25">
      <c r="A232" s="1" t="s">
        <v>377</v>
      </c>
      <c r="B232" s="1" t="s">
        <v>375</v>
      </c>
      <c r="C232" s="3">
        <v>45427.893055555556</v>
      </c>
      <c r="D232" s="4">
        <f t="shared" si="13"/>
        <v>45427</v>
      </c>
      <c r="E232" s="6">
        <v>10.2027777777742</v>
      </c>
      <c r="F232" s="6" t="str" cm="1">
        <f t="array" ref="F232">_xlfn.IFS(
     AND(HOUR(session_data[[#This Row],[Time]])&gt;5,HOUR(session_data[[#This Row],[Time]])&lt;12),"Morning",
     AND(HOUR(session_data[[#This Row],[Time]])&gt;=12,HOUR(session_data[[#This Row],[Time]])&lt;17),"Afternoon",
     AND(HOUR(session_data[[#This Row],[Time]])&gt;=17,HOUR(session_data[[#This Row],[Time]])&lt;21),"Evening",
     TRUE,"Night"
)</f>
        <v>Night</v>
      </c>
      <c r="G232" s="1">
        <f t="shared" si="14"/>
        <v>2024</v>
      </c>
      <c r="H232" s="1" t="str">
        <f t="shared" si="15"/>
        <v>May</v>
      </c>
      <c r="I232" s="1" t="str">
        <f t="shared" si="12"/>
        <v>Wed</v>
      </c>
      <c r="J232" s="1" t="s">
        <v>28</v>
      </c>
      <c r="K232" s="1" t="s">
        <v>12</v>
      </c>
      <c r="L232" s="1" t="s">
        <v>50</v>
      </c>
      <c r="M232" s="1" t="s">
        <v>19</v>
      </c>
      <c r="N232" s="1" t="s">
        <v>22</v>
      </c>
      <c r="O232" t="s">
        <v>15</v>
      </c>
    </row>
    <row r="233" spans="1:15" x14ac:dyDescent="0.25">
      <c r="A233" s="1" t="s">
        <v>378</v>
      </c>
      <c r="B233" s="1" t="s">
        <v>379</v>
      </c>
      <c r="C233" s="2">
        <v>45206.765972222223</v>
      </c>
      <c r="D233" s="4">
        <f t="shared" si="13"/>
        <v>45206</v>
      </c>
      <c r="E233" s="6">
        <v>10.2444444444409</v>
      </c>
      <c r="F233" s="6" t="str" cm="1">
        <f t="array" ref="F233">_xlfn.IFS(
     AND(HOUR(session_data[[#This Row],[Time]])&gt;5,HOUR(session_data[[#This Row],[Time]])&lt;12),"Morning",
     AND(HOUR(session_data[[#This Row],[Time]])&gt;=12,HOUR(session_data[[#This Row],[Time]])&lt;17),"Afternoon",
     AND(HOUR(session_data[[#This Row],[Time]])&gt;=17,HOUR(session_data[[#This Row],[Time]])&lt;21),"Evening",
     TRUE,"Night"
)</f>
        <v>Night</v>
      </c>
      <c r="G233" s="1">
        <f t="shared" si="14"/>
        <v>2023</v>
      </c>
      <c r="H233" s="1" t="str">
        <f t="shared" si="15"/>
        <v>Oct</v>
      </c>
      <c r="I233" s="1" t="str">
        <f t="shared" si="12"/>
        <v>Sat</v>
      </c>
      <c r="J233" s="1" t="s">
        <v>28</v>
      </c>
      <c r="K233" s="1" t="s">
        <v>12</v>
      </c>
      <c r="L233" s="1" t="s">
        <v>30</v>
      </c>
      <c r="M233" s="1" t="s">
        <v>32</v>
      </c>
      <c r="N233" s="1" t="s">
        <v>14</v>
      </c>
      <c r="O233" t="s">
        <v>45</v>
      </c>
    </row>
    <row r="234" spans="1:15" x14ac:dyDescent="0.25">
      <c r="A234" s="1" t="s">
        <v>380</v>
      </c>
      <c r="B234" s="1" t="s">
        <v>379</v>
      </c>
      <c r="C234" s="2">
        <v>45177.932638888888</v>
      </c>
      <c r="D234" s="4">
        <f t="shared" si="13"/>
        <v>45177</v>
      </c>
      <c r="E234" s="6">
        <v>10.2861111111076</v>
      </c>
      <c r="F234" s="6" t="str" cm="1">
        <f t="array" ref="F234">_xlfn.IFS(
     AND(HOUR(session_data[[#This Row],[Time]])&gt;5,HOUR(session_data[[#This Row],[Time]])&lt;12),"Morning",
     AND(HOUR(session_data[[#This Row],[Time]])&gt;=12,HOUR(session_data[[#This Row],[Time]])&lt;17),"Afternoon",
     AND(HOUR(session_data[[#This Row],[Time]])&gt;=17,HOUR(session_data[[#This Row],[Time]])&lt;21),"Evening",
     TRUE,"Night"
)</f>
        <v>Morning</v>
      </c>
      <c r="G234" s="1">
        <f t="shared" si="14"/>
        <v>2023</v>
      </c>
      <c r="H234" s="1" t="str">
        <f t="shared" si="15"/>
        <v>Sep</v>
      </c>
      <c r="I234" s="1" t="str">
        <f t="shared" si="12"/>
        <v>Fri</v>
      </c>
      <c r="J234" s="1" t="s">
        <v>28</v>
      </c>
      <c r="K234" s="1" t="s">
        <v>12</v>
      </c>
      <c r="L234" s="1" t="s">
        <v>30</v>
      </c>
      <c r="M234" s="1" t="s">
        <v>32</v>
      </c>
      <c r="N234" s="1" t="s">
        <v>22</v>
      </c>
      <c r="O234" t="s">
        <v>45</v>
      </c>
    </row>
    <row r="235" spans="1:15" x14ac:dyDescent="0.25">
      <c r="A235" s="1" t="s">
        <v>381</v>
      </c>
      <c r="B235" s="1" t="s">
        <v>382</v>
      </c>
      <c r="C235" s="3">
        <v>45366.583333333336</v>
      </c>
      <c r="D235" s="4">
        <f t="shared" si="13"/>
        <v>45366</v>
      </c>
      <c r="E235" s="6">
        <v>10.3277777777742</v>
      </c>
      <c r="F235" s="6" t="str" cm="1">
        <f t="array" ref="F235">_xlfn.IFS(
     AND(HOUR(session_data[[#This Row],[Time]])&gt;5,HOUR(session_data[[#This Row],[Time]])&lt;12),"Morning",
     AND(HOUR(session_data[[#This Row],[Time]])&gt;=12,HOUR(session_data[[#This Row],[Time]])&lt;17),"Afternoon",
     AND(HOUR(session_data[[#This Row],[Time]])&gt;=17,HOUR(session_data[[#This Row],[Time]])&lt;21),"Evening",
     TRUE,"Night"
)</f>
        <v>Morning</v>
      </c>
      <c r="G235" s="1">
        <f t="shared" si="14"/>
        <v>2024</v>
      </c>
      <c r="H235" s="1" t="str">
        <f t="shared" si="15"/>
        <v>Mar</v>
      </c>
      <c r="I235" s="1" t="str">
        <f t="shared" si="12"/>
        <v>Fri</v>
      </c>
      <c r="J235" s="1" t="s">
        <v>11</v>
      </c>
      <c r="K235" s="1" t="s">
        <v>29</v>
      </c>
      <c r="L235" s="1" t="s">
        <v>59</v>
      </c>
      <c r="M235" s="1" t="s">
        <v>19</v>
      </c>
      <c r="N235" s="1" t="s">
        <v>14</v>
      </c>
      <c r="O235" t="s">
        <v>45</v>
      </c>
    </row>
    <row r="236" spans="1:15" x14ac:dyDescent="0.25">
      <c r="A236" s="1" t="s">
        <v>383</v>
      </c>
      <c r="B236" s="1" t="s">
        <v>382</v>
      </c>
      <c r="C236" s="2">
        <v>45416.291666666664</v>
      </c>
      <c r="D236" s="4">
        <f t="shared" si="13"/>
        <v>45416</v>
      </c>
      <c r="E236" s="6">
        <v>10.3694444444409</v>
      </c>
      <c r="F236" s="6" t="str" cm="1">
        <f t="array" ref="F236">_xlfn.IFS(
     AND(HOUR(session_data[[#This Row],[Time]])&gt;5,HOUR(session_data[[#This Row],[Time]])&lt;12),"Morning",
     AND(HOUR(session_data[[#This Row],[Time]])&gt;=12,HOUR(session_data[[#This Row],[Time]])&lt;17),"Afternoon",
     AND(HOUR(session_data[[#This Row],[Time]])&gt;=17,HOUR(session_data[[#This Row],[Time]])&lt;21),"Evening",
     TRUE,"Night"
)</f>
        <v>Morning</v>
      </c>
      <c r="G236" s="1">
        <f t="shared" si="14"/>
        <v>2024</v>
      </c>
      <c r="H236" s="1" t="str">
        <f t="shared" si="15"/>
        <v>May</v>
      </c>
      <c r="I236" s="1" t="str">
        <f t="shared" si="12"/>
        <v>Sat</v>
      </c>
      <c r="J236" s="1" t="s">
        <v>11</v>
      </c>
      <c r="K236" s="1" t="s">
        <v>29</v>
      </c>
      <c r="L236" s="1" t="s">
        <v>59</v>
      </c>
      <c r="M236" s="1" t="s">
        <v>19</v>
      </c>
      <c r="N236" s="1" t="s">
        <v>22</v>
      </c>
      <c r="O236" t="s">
        <v>45</v>
      </c>
    </row>
    <row r="237" spans="1:15" x14ac:dyDescent="0.25">
      <c r="A237" s="1" t="s">
        <v>384</v>
      </c>
      <c r="B237" s="1" t="s">
        <v>382</v>
      </c>
      <c r="C237" s="2">
        <v>45540.75</v>
      </c>
      <c r="D237" s="4">
        <f t="shared" si="13"/>
        <v>45540</v>
      </c>
      <c r="E237" s="6">
        <v>10.4111111111076</v>
      </c>
      <c r="F237" s="6" t="str" cm="1">
        <f t="array" ref="F237">_xlfn.IFS(
     AND(HOUR(session_data[[#This Row],[Time]])&gt;5,HOUR(session_data[[#This Row],[Time]])&lt;12),"Morning",
     AND(HOUR(session_data[[#This Row],[Time]])&gt;=12,HOUR(session_data[[#This Row],[Time]])&lt;17),"Afternoon",
     AND(HOUR(session_data[[#This Row],[Time]])&gt;=17,HOUR(session_data[[#This Row],[Time]])&lt;21),"Evening",
     TRUE,"Night"
)</f>
        <v>Morning</v>
      </c>
      <c r="G237" s="1">
        <f t="shared" si="14"/>
        <v>2024</v>
      </c>
      <c r="H237" s="1" t="str">
        <f t="shared" si="15"/>
        <v>Sep</v>
      </c>
      <c r="I237" s="1" t="str">
        <f t="shared" si="12"/>
        <v>Thu</v>
      </c>
      <c r="J237" s="1" t="s">
        <v>11</v>
      </c>
      <c r="K237" s="1" t="s">
        <v>29</v>
      </c>
      <c r="L237" s="1" t="s">
        <v>59</v>
      </c>
      <c r="M237" s="1" t="s">
        <v>19</v>
      </c>
      <c r="N237" s="1" t="s">
        <v>22</v>
      </c>
      <c r="O237" t="s">
        <v>45</v>
      </c>
    </row>
    <row r="238" spans="1:15" x14ac:dyDescent="0.25">
      <c r="A238" s="1" t="s">
        <v>385</v>
      </c>
      <c r="B238" s="1" t="s">
        <v>382</v>
      </c>
      <c r="C238" s="3">
        <v>45430.875</v>
      </c>
      <c r="D238" s="4">
        <f t="shared" si="13"/>
        <v>45430</v>
      </c>
      <c r="E238" s="6">
        <v>10.4527777777742</v>
      </c>
      <c r="F238" s="6" t="str" cm="1">
        <f t="array" ref="F238">_xlfn.IFS(
     AND(HOUR(session_data[[#This Row],[Time]])&gt;5,HOUR(session_data[[#This Row],[Time]])&lt;12),"Morning",
     AND(HOUR(session_data[[#This Row],[Time]])&gt;=12,HOUR(session_data[[#This Row],[Time]])&lt;17),"Afternoon",
     AND(HOUR(session_data[[#This Row],[Time]])&gt;=17,HOUR(session_data[[#This Row],[Time]])&lt;21),"Evening",
     TRUE,"Night"
)</f>
        <v>Morning</v>
      </c>
      <c r="G238" s="1">
        <f t="shared" si="14"/>
        <v>2024</v>
      </c>
      <c r="H238" s="1" t="str">
        <f t="shared" si="15"/>
        <v>May</v>
      </c>
      <c r="I238" s="1" t="str">
        <f t="shared" si="12"/>
        <v>Sat</v>
      </c>
      <c r="J238" s="1" t="s">
        <v>11</v>
      </c>
      <c r="K238" s="1" t="s">
        <v>29</v>
      </c>
      <c r="L238" s="1" t="s">
        <v>59</v>
      </c>
      <c r="M238" s="1" t="s">
        <v>19</v>
      </c>
      <c r="N238" s="1" t="s">
        <v>22</v>
      </c>
      <c r="O238" t="s">
        <v>45</v>
      </c>
    </row>
    <row r="239" spans="1:15" x14ac:dyDescent="0.25">
      <c r="A239" s="1" t="s">
        <v>386</v>
      </c>
      <c r="B239" s="1" t="s">
        <v>387</v>
      </c>
      <c r="C239" s="2">
        <v>45354.548611111109</v>
      </c>
      <c r="D239" s="4">
        <f t="shared" si="13"/>
        <v>45354</v>
      </c>
      <c r="E239" s="6">
        <v>10.4944444444409</v>
      </c>
      <c r="F239" s="6" t="str" cm="1">
        <f t="array" ref="F239">_xlfn.IFS(
     AND(HOUR(session_data[[#This Row],[Time]])&gt;5,HOUR(session_data[[#This Row],[Time]])&lt;12),"Morning",
     AND(HOUR(session_data[[#This Row],[Time]])&gt;=12,HOUR(session_data[[#This Row],[Time]])&lt;17),"Afternoon",
     AND(HOUR(session_data[[#This Row],[Time]])&gt;=17,HOUR(session_data[[#This Row],[Time]])&lt;21),"Evening",
     TRUE,"Night"
)</f>
        <v>Morning</v>
      </c>
      <c r="G239" s="1">
        <f t="shared" si="14"/>
        <v>2024</v>
      </c>
      <c r="H239" s="1" t="str">
        <f t="shared" si="15"/>
        <v>Mar</v>
      </c>
      <c r="I239" s="1" t="str">
        <f t="shared" si="12"/>
        <v>Sun</v>
      </c>
      <c r="J239" s="1" t="s">
        <v>18</v>
      </c>
      <c r="K239" s="1" t="s">
        <v>12</v>
      </c>
      <c r="L239" s="1" t="s">
        <v>79</v>
      </c>
      <c r="M239" s="1" t="s">
        <v>40</v>
      </c>
      <c r="N239" s="1" t="s">
        <v>14</v>
      </c>
      <c r="O239" t="s">
        <v>45</v>
      </c>
    </row>
    <row r="240" spans="1:15" x14ac:dyDescent="0.25">
      <c r="A240" s="1" t="s">
        <v>388</v>
      </c>
      <c r="B240" s="1" t="s">
        <v>387</v>
      </c>
      <c r="C240" s="3">
        <v>45378.631944444445</v>
      </c>
      <c r="D240" s="4">
        <f t="shared" si="13"/>
        <v>45378</v>
      </c>
      <c r="E240" s="6">
        <v>10.5361111111076</v>
      </c>
      <c r="F240" s="6" t="str" cm="1">
        <f t="array" ref="F240">_xlfn.IFS(
     AND(HOUR(session_data[[#This Row],[Time]])&gt;5,HOUR(session_data[[#This Row],[Time]])&lt;12),"Morning",
     AND(HOUR(session_data[[#This Row],[Time]])&gt;=12,HOUR(session_data[[#This Row],[Time]])&lt;17),"Afternoon",
     AND(HOUR(session_data[[#This Row],[Time]])&gt;=17,HOUR(session_data[[#This Row],[Time]])&lt;21),"Evening",
     TRUE,"Night"
)</f>
        <v>Afternoon</v>
      </c>
      <c r="G240" s="1">
        <f t="shared" si="14"/>
        <v>2024</v>
      </c>
      <c r="H240" s="1" t="str">
        <f t="shared" si="15"/>
        <v>Mar</v>
      </c>
      <c r="I240" s="1" t="str">
        <f t="shared" si="12"/>
        <v>Wed</v>
      </c>
      <c r="J240" s="1" t="s">
        <v>18</v>
      </c>
      <c r="K240" s="1" t="s">
        <v>12</v>
      </c>
      <c r="L240" s="1" t="s">
        <v>79</v>
      </c>
      <c r="M240" s="1" t="s">
        <v>40</v>
      </c>
      <c r="N240" s="1" t="s">
        <v>22</v>
      </c>
      <c r="O240" t="s">
        <v>45</v>
      </c>
    </row>
    <row r="241" spans="1:15" x14ac:dyDescent="0.25">
      <c r="A241" s="1" t="s">
        <v>389</v>
      </c>
      <c r="B241" s="1" t="s">
        <v>387</v>
      </c>
      <c r="C241" s="2">
        <v>45416.965277777781</v>
      </c>
      <c r="D241" s="4">
        <f t="shared" si="13"/>
        <v>45416</v>
      </c>
      <c r="E241" s="6">
        <v>10.5777777777742</v>
      </c>
      <c r="F241" s="6" t="str" cm="1">
        <f t="array" ref="F241">_xlfn.IFS(
     AND(HOUR(session_data[[#This Row],[Time]])&gt;5,HOUR(session_data[[#This Row],[Time]])&lt;12),"Morning",
     AND(HOUR(session_data[[#This Row],[Time]])&gt;=12,HOUR(session_data[[#This Row],[Time]])&lt;17),"Afternoon",
     AND(HOUR(session_data[[#This Row],[Time]])&gt;=17,HOUR(session_data[[#This Row],[Time]])&lt;21),"Evening",
     TRUE,"Night"
)</f>
        <v>Afternoon</v>
      </c>
      <c r="G241" s="1">
        <f t="shared" si="14"/>
        <v>2024</v>
      </c>
      <c r="H241" s="1" t="str">
        <f t="shared" si="15"/>
        <v>May</v>
      </c>
      <c r="I241" s="1" t="str">
        <f t="shared" si="12"/>
        <v>Sat</v>
      </c>
      <c r="J241" s="1" t="s">
        <v>18</v>
      </c>
      <c r="K241" s="1" t="s">
        <v>12</v>
      </c>
      <c r="L241" s="1" t="s">
        <v>79</v>
      </c>
      <c r="M241" s="1" t="s">
        <v>40</v>
      </c>
      <c r="N241" s="1" t="s">
        <v>22</v>
      </c>
      <c r="O241" t="s">
        <v>45</v>
      </c>
    </row>
    <row r="242" spans="1:15" x14ac:dyDescent="0.25">
      <c r="A242" s="1" t="s">
        <v>390</v>
      </c>
      <c r="B242" s="1" t="s">
        <v>391</v>
      </c>
      <c r="C242" s="3">
        <v>45062.029861111114</v>
      </c>
      <c r="D242" s="4">
        <f t="shared" si="13"/>
        <v>45062</v>
      </c>
      <c r="E242" s="6">
        <v>10.6194444444409</v>
      </c>
      <c r="F242" s="6" t="str" cm="1">
        <f t="array" ref="F242">_xlfn.IFS(
     AND(HOUR(session_data[[#This Row],[Time]])&gt;5,HOUR(session_data[[#This Row],[Time]])&lt;12),"Morning",
     AND(HOUR(session_data[[#This Row],[Time]])&gt;=12,HOUR(session_data[[#This Row],[Time]])&lt;17),"Afternoon",
     AND(HOUR(session_data[[#This Row],[Time]])&gt;=17,HOUR(session_data[[#This Row],[Time]])&lt;21),"Evening",
     TRUE,"Night"
)</f>
        <v>Afternoon</v>
      </c>
      <c r="G242" s="1">
        <f t="shared" si="14"/>
        <v>2023</v>
      </c>
      <c r="H242" s="1" t="str">
        <f t="shared" si="15"/>
        <v>May</v>
      </c>
      <c r="I242" s="1" t="str">
        <f t="shared" si="12"/>
        <v>Tue</v>
      </c>
      <c r="J242" s="1" t="s">
        <v>11</v>
      </c>
      <c r="K242" s="1" t="s">
        <v>29</v>
      </c>
      <c r="L242" s="1" t="s">
        <v>50</v>
      </c>
      <c r="M242" s="1" t="s">
        <v>19</v>
      </c>
      <c r="N242" s="1" t="s">
        <v>14</v>
      </c>
      <c r="O242" t="s">
        <v>45</v>
      </c>
    </row>
    <row r="243" spans="1:15" x14ac:dyDescent="0.25">
      <c r="A243" s="1" t="s">
        <v>392</v>
      </c>
      <c r="B243" s="1" t="s">
        <v>393</v>
      </c>
      <c r="C243" s="3">
        <v>45408.363888888889</v>
      </c>
      <c r="D243" s="4">
        <f t="shared" si="13"/>
        <v>45408</v>
      </c>
      <c r="E243" s="6">
        <v>10.6611111111076</v>
      </c>
      <c r="F243" s="6" t="str" cm="1">
        <f t="array" ref="F243">_xlfn.IFS(
     AND(HOUR(session_data[[#This Row],[Time]])&gt;5,HOUR(session_data[[#This Row],[Time]])&lt;12),"Morning",
     AND(HOUR(session_data[[#This Row],[Time]])&gt;=12,HOUR(session_data[[#This Row],[Time]])&lt;17),"Afternoon",
     AND(HOUR(session_data[[#This Row],[Time]])&gt;=17,HOUR(session_data[[#This Row],[Time]])&lt;21),"Evening",
     TRUE,"Night"
)</f>
        <v>Afternoon</v>
      </c>
      <c r="G243" s="1">
        <f t="shared" si="14"/>
        <v>2024</v>
      </c>
      <c r="H243" s="1" t="str">
        <f t="shared" si="15"/>
        <v>Apr</v>
      </c>
      <c r="I243" s="1" t="str">
        <f t="shared" si="12"/>
        <v>Fri</v>
      </c>
      <c r="J243" s="1" t="s">
        <v>18</v>
      </c>
      <c r="K243" s="1" t="s">
        <v>12</v>
      </c>
      <c r="L243" s="1" t="s">
        <v>13</v>
      </c>
      <c r="M243" s="1" t="s">
        <v>32</v>
      </c>
      <c r="N243" s="1" t="s">
        <v>14</v>
      </c>
      <c r="O243" t="s">
        <v>45</v>
      </c>
    </row>
    <row r="244" spans="1:15" x14ac:dyDescent="0.25">
      <c r="A244" s="1" t="s">
        <v>394</v>
      </c>
      <c r="B244" s="1" t="s">
        <v>393</v>
      </c>
      <c r="C244" s="3">
        <v>45433.280555555553</v>
      </c>
      <c r="D244" s="4">
        <f t="shared" si="13"/>
        <v>45433</v>
      </c>
      <c r="E244" s="6">
        <v>10.7027777777742</v>
      </c>
      <c r="F244" s="6" t="str" cm="1">
        <f t="array" ref="F244">_xlfn.IFS(
     AND(HOUR(session_data[[#This Row],[Time]])&gt;5,HOUR(session_data[[#This Row],[Time]])&lt;12),"Morning",
     AND(HOUR(session_data[[#This Row],[Time]])&gt;=12,HOUR(session_data[[#This Row],[Time]])&lt;17),"Afternoon",
     AND(HOUR(session_data[[#This Row],[Time]])&gt;=17,HOUR(session_data[[#This Row],[Time]])&lt;21),"Evening",
     TRUE,"Night"
)</f>
        <v>Afternoon</v>
      </c>
      <c r="G244" s="1">
        <f t="shared" si="14"/>
        <v>2024</v>
      </c>
      <c r="H244" s="1" t="str">
        <f t="shared" si="15"/>
        <v>May</v>
      </c>
      <c r="I244" s="1" t="str">
        <f t="shared" si="12"/>
        <v>Tue</v>
      </c>
      <c r="J244" s="1" t="s">
        <v>18</v>
      </c>
      <c r="K244" s="1" t="s">
        <v>12</v>
      </c>
      <c r="L244" s="1" t="s">
        <v>13</v>
      </c>
      <c r="M244" s="1" t="s">
        <v>32</v>
      </c>
      <c r="N244" s="1" t="s">
        <v>22</v>
      </c>
      <c r="O244" t="s">
        <v>45</v>
      </c>
    </row>
    <row r="245" spans="1:15" x14ac:dyDescent="0.25">
      <c r="A245" s="1" t="s">
        <v>395</v>
      </c>
      <c r="B245" s="1" t="s">
        <v>393</v>
      </c>
      <c r="C245" s="2">
        <v>45510.030555555553</v>
      </c>
      <c r="D245" s="4">
        <f t="shared" si="13"/>
        <v>45510</v>
      </c>
      <c r="E245" s="6">
        <v>10.7444444444409</v>
      </c>
      <c r="F245" s="6" t="str" cm="1">
        <f t="array" ref="F245">_xlfn.IFS(
     AND(HOUR(session_data[[#This Row],[Time]])&gt;5,HOUR(session_data[[#This Row],[Time]])&lt;12),"Morning",
     AND(HOUR(session_data[[#This Row],[Time]])&gt;=12,HOUR(session_data[[#This Row],[Time]])&lt;17),"Afternoon",
     AND(HOUR(session_data[[#This Row],[Time]])&gt;=17,HOUR(session_data[[#This Row],[Time]])&lt;21),"Evening",
     TRUE,"Night"
)</f>
        <v>Evening</v>
      </c>
      <c r="G245" s="1">
        <f t="shared" si="14"/>
        <v>2024</v>
      </c>
      <c r="H245" s="1" t="str">
        <f t="shared" si="15"/>
        <v>Aug</v>
      </c>
      <c r="I245" s="1" t="str">
        <f t="shared" si="12"/>
        <v>Tue</v>
      </c>
      <c r="J245" s="1" t="s">
        <v>18</v>
      </c>
      <c r="K245" s="1" t="s">
        <v>12</v>
      </c>
      <c r="L245" s="1" t="s">
        <v>13</v>
      </c>
      <c r="M245" s="1" t="s">
        <v>32</v>
      </c>
      <c r="N245" s="1" t="s">
        <v>22</v>
      </c>
      <c r="O245" t="s">
        <v>45</v>
      </c>
    </row>
    <row r="246" spans="1:15" x14ac:dyDescent="0.25">
      <c r="A246" s="1" t="s">
        <v>396</v>
      </c>
      <c r="B246" s="1" t="s">
        <v>393</v>
      </c>
      <c r="C246" s="2">
        <v>45542.863888888889</v>
      </c>
      <c r="D246" s="4">
        <f t="shared" si="13"/>
        <v>45542</v>
      </c>
      <c r="E246" s="6">
        <v>10.7861111111076</v>
      </c>
      <c r="F246" s="6" t="str" cm="1">
        <f t="array" ref="F246">_xlfn.IFS(
     AND(HOUR(session_data[[#This Row],[Time]])&gt;5,HOUR(session_data[[#This Row],[Time]])&lt;12),"Morning",
     AND(HOUR(session_data[[#This Row],[Time]])&gt;=12,HOUR(session_data[[#This Row],[Time]])&lt;17),"Afternoon",
     AND(HOUR(session_data[[#This Row],[Time]])&gt;=17,HOUR(session_data[[#This Row],[Time]])&lt;21),"Evening",
     TRUE,"Night"
)</f>
        <v>Evening</v>
      </c>
      <c r="G246" s="1">
        <f t="shared" si="14"/>
        <v>2024</v>
      </c>
      <c r="H246" s="1" t="str">
        <f t="shared" si="15"/>
        <v>Sep</v>
      </c>
      <c r="I246" s="1" t="str">
        <f t="shared" si="12"/>
        <v>Sat</v>
      </c>
      <c r="J246" s="1" t="s">
        <v>18</v>
      </c>
      <c r="K246" s="1" t="s">
        <v>12</v>
      </c>
      <c r="L246" s="1" t="s">
        <v>13</v>
      </c>
      <c r="M246" s="1" t="s">
        <v>32</v>
      </c>
      <c r="N246" s="1" t="s">
        <v>22</v>
      </c>
      <c r="O246" t="s">
        <v>45</v>
      </c>
    </row>
    <row r="247" spans="1:15" x14ac:dyDescent="0.25">
      <c r="A247" s="1" t="s">
        <v>397</v>
      </c>
      <c r="B247" s="1" t="s">
        <v>398</v>
      </c>
      <c r="C247" s="3">
        <v>45616.780555555553</v>
      </c>
      <c r="D247" s="4">
        <f t="shared" si="13"/>
        <v>45616</v>
      </c>
      <c r="E247" s="6">
        <v>10.8277777777742</v>
      </c>
      <c r="F247" s="6" t="str" cm="1">
        <f t="array" ref="F247">_xlfn.IFS(
     AND(HOUR(session_data[[#This Row],[Time]])&gt;5,HOUR(session_data[[#This Row],[Time]])&lt;12),"Morning",
     AND(HOUR(session_data[[#This Row],[Time]])&gt;=12,HOUR(session_data[[#This Row],[Time]])&lt;17),"Afternoon",
     AND(HOUR(session_data[[#This Row],[Time]])&gt;=17,HOUR(session_data[[#This Row],[Time]])&lt;21),"Evening",
     TRUE,"Night"
)</f>
        <v>Evening</v>
      </c>
      <c r="G247" s="1">
        <f t="shared" si="14"/>
        <v>2024</v>
      </c>
      <c r="H247" s="1" t="str">
        <f t="shared" si="15"/>
        <v>Nov</v>
      </c>
      <c r="I247" s="1" t="str">
        <f t="shared" si="12"/>
        <v>Wed</v>
      </c>
      <c r="J247" s="1" t="s">
        <v>44</v>
      </c>
      <c r="K247" s="1" t="s">
        <v>12</v>
      </c>
      <c r="L247" s="1" t="s">
        <v>94</v>
      </c>
      <c r="M247" s="1" t="s">
        <v>32</v>
      </c>
      <c r="N247" s="1" t="s">
        <v>14</v>
      </c>
      <c r="O247" t="s">
        <v>15</v>
      </c>
    </row>
    <row r="248" spans="1:15" x14ac:dyDescent="0.25">
      <c r="A248" s="1" t="s">
        <v>399</v>
      </c>
      <c r="B248" s="1" t="s">
        <v>398</v>
      </c>
      <c r="C248" s="2">
        <v>45516.113888888889</v>
      </c>
      <c r="D248" s="4">
        <f t="shared" si="13"/>
        <v>45516</v>
      </c>
      <c r="E248" s="6">
        <v>10.8694444444409</v>
      </c>
      <c r="F248" s="6" t="str" cm="1">
        <f t="array" ref="F248">_xlfn.IFS(
     AND(HOUR(session_data[[#This Row],[Time]])&gt;5,HOUR(session_data[[#This Row],[Time]])&lt;12),"Morning",
     AND(HOUR(session_data[[#This Row],[Time]])&gt;=12,HOUR(session_data[[#This Row],[Time]])&lt;17),"Afternoon",
     AND(HOUR(session_data[[#This Row],[Time]])&gt;=17,HOUR(session_data[[#This Row],[Time]])&lt;21),"Evening",
     TRUE,"Night"
)</f>
        <v>Evening</v>
      </c>
      <c r="G248" s="1">
        <f t="shared" si="14"/>
        <v>2024</v>
      </c>
      <c r="H248" s="1" t="str">
        <f t="shared" si="15"/>
        <v>Aug</v>
      </c>
      <c r="I248" s="1" t="str">
        <f t="shared" si="12"/>
        <v>Mon</v>
      </c>
      <c r="J248" s="1" t="s">
        <v>44</v>
      </c>
      <c r="K248" s="1" t="s">
        <v>12</v>
      </c>
      <c r="L248" s="1" t="s">
        <v>94</v>
      </c>
      <c r="M248" s="1" t="s">
        <v>32</v>
      </c>
      <c r="N248" s="1" t="s">
        <v>22</v>
      </c>
      <c r="O248" t="s">
        <v>15</v>
      </c>
    </row>
    <row r="249" spans="1:15" x14ac:dyDescent="0.25">
      <c r="A249" s="1" t="s">
        <v>400</v>
      </c>
      <c r="B249" s="1" t="s">
        <v>401</v>
      </c>
      <c r="C249" s="3">
        <v>45349.415277777778</v>
      </c>
      <c r="D249" s="4">
        <f t="shared" si="13"/>
        <v>45349</v>
      </c>
      <c r="E249" s="6">
        <v>10.9111111111076</v>
      </c>
      <c r="F249" s="6" t="str" cm="1">
        <f t="array" ref="F249">_xlfn.IFS(
     AND(HOUR(session_data[[#This Row],[Time]])&gt;5,HOUR(session_data[[#This Row],[Time]])&lt;12),"Morning",
     AND(HOUR(session_data[[#This Row],[Time]])&gt;=12,HOUR(session_data[[#This Row],[Time]])&lt;17),"Afternoon",
     AND(HOUR(session_data[[#This Row],[Time]])&gt;=17,HOUR(session_data[[#This Row],[Time]])&lt;21),"Evening",
     TRUE,"Night"
)</f>
        <v>Night</v>
      </c>
      <c r="G249" s="1">
        <f t="shared" si="14"/>
        <v>2024</v>
      </c>
      <c r="H249" s="1" t="str">
        <f t="shared" si="15"/>
        <v>Feb</v>
      </c>
      <c r="I249" s="1" t="str">
        <f t="shared" si="12"/>
        <v>Tue</v>
      </c>
      <c r="J249" s="1" t="s">
        <v>66</v>
      </c>
      <c r="K249" s="1" t="s">
        <v>36</v>
      </c>
      <c r="L249" s="1" t="s">
        <v>119</v>
      </c>
      <c r="M249" s="1" t="s">
        <v>40</v>
      </c>
      <c r="N249" s="1" t="s">
        <v>14</v>
      </c>
      <c r="O249" t="s">
        <v>15</v>
      </c>
    </row>
    <row r="250" spans="1:15" x14ac:dyDescent="0.25">
      <c r="A250" s="1" t="s">
        <v>402</v>
      </c>
      <c r="B250" s="1" t="s">
        <v>401</v>
      </c>
      <c r="C250" s="2">
        <v>45416.123611111114</v>
      </c>
      <c r="D250" s="4">
        <f t="shared" si="13"/>
        <v>45416</v>
      </c>
      <c r="E250" s="6">
        <v>10.9527777777742</v>
      </c>
      <c r="F250" s="6" t="str" cm="1">
        <f t="array" ref="F250">_xlfn.IFS(
     AND(HOUR(session_data[[#This Row],[Time]])&gt;5,HOUR(session_data[[#This Row],[Time]])&lt;12),"Morning",
     AND(HOUR(session_data[[#This Row],[Time]])&gt;=12,HOUR(session_data[[#This Row],[Time]])&lt;17),"Afternoon",
     AND(HOUR(session_data[[#This Row],[Time]])&gt;=17,HOUR(session_data[[#This Row],[Time]])&lt;21),"Evening",
     TRUE,"Night"
)</f>
        <v>Night</v>
      </c>
      <c r="G250" s="1">
        <f t="shared" si="14"/>
        <v>2024</v>
      </c>
      <c r="H250" s="1" t="str">
        <f t="shared" si="15"/>
        <v>May</v>
      </c>
      <c r="I250" s="1" t="str">
        <f t="shared" si="12"/>
        <v>Sat</v>
      </c>
      <c r="J250" s="1" t="s">
        <v>66</v>
      </c>
      <c r="K250" s="1" t="s">
        <v>36</v>
      </c>
      <c r="L250" s="1" t="s">
        <v>119</v>
      </c>
      <c r="M250" s="1" t="s">
        <v>40</v>
      </c>
      <c r="N250" s="1" t="s">
        <v>22</v>
      </c>
      <c r="O250" t="s">
        <v>15</v>
      </c>
    </row>
    <row r="251" spans="1:15" x14ac:dyDescent="0.25">
      <c r="A251" s="1" t="s">
        <v>403</v>
      </c>
      <c r="B251" s="1" t="s">
        <v>401</v>
      </c>
      <c r="C251" s="3">
        <v>45405.831944444442</v>
      </c>
      <c r="D251" s="4">
        <f t="shared" si="13"/>
        <v>45405</v>
      </c>
      <c r="E251" s="6">
        <v>10.9944444444409</v>
      </c>
      <c r="F251" s="6" t="str" cm="1">
        <f t="array" ref="F251">_xlfn.IFS(
     AND(HOUR(session_data[[#This Row],[Time]])&gt;5,HOUR(session_data[[#This Row],[Time]])&lt;12),"Morning",
     AND(HOUR(session_data[[#This Row],[Time]])&gt;=12,HOUR(session_data[[#This Row],[Time]])&lt;17),"Afternoon",
     AND(HOUR(session_data[[#This Row],[Time]])&gt;=17,HOUR(session_data[[#This Row],[Time]])&lt;21),"Evening",
     TRUE,"Night"
)</f>
        <v>Night</v>
      </c>
      <c r="G251" s="1">
        <f t="shared" si="14"/>
        <v>2024</v>
      </c>
      <c r="H251" s="1" t="str">
        <f t="shared" si="15"/>
        <v>Apr</v>
      </c>
      <c r="I251" s="1" t="str">
        <f t="shared" si="12"/>
        <v>Tue</v>
      </c>
      <c r="J251" s="1" t="s">
        <v>66</v>
      </c>
      <c r="K251" s="1" t="s">
        <v>36</v>
      </c>
      <c r="L251" s="1" t="s">
        <v>119</v>
      </c>
      <c r="M251" s="1" t="s">
        <v>40</v>
      </c>
      <c r="N251" s="1" t="s">
        <v>22</v>
      </c>
      <c r="O251" t="s">
        <v>15</v>
      </c>
    </row>
    <row r="252" spans="1:15" x14ac:dyDescent="0.25">
      <c r="A252" s="1" t="s">
        <v>404</v>
      </c>
      <c r="B252" s="1" t="s">
        <v>405</v>
      </c>
      <c r="C252" s="2">
        <v>45474.554861111108</v>
      </c>
      <c r="D252" s="4">
        <f t="shared" si="13"/>
        <v>45474</v>
      </c>
      <c r="E252" s="6">
        <v>11.0361111111076</v>
      </c>
      <c r="F252" s="6" t="str" cm="1">
        <f t="array" ref="F252">_xlfn.IFS(
     AND(HOUR(session_data[[#This Row],[Time]])&gt;5,HOUR(session_data[[#This Row],[Time]])&lt;12),"Morning",
     AND(HOUR(session_data[[#This Row],[Time]])&gt;=12,HOUR(session_data[[#This Row],[Time]])&lt;17),"Afternoon",
     AND(HOUR(session_data[[#This Row],[Time]])&gt;=17,HOUR(session_data[[#This Row],[Time]])&lt;21),"Evening",
     TRUE,"Night"
)</f>
        <v>Night</v>
      </c>
      <c r="G252" s="1">
        <f t="shared" si="14"/>
        <v>2024</v>
      </c>
      <c r="H252" s="1" t="str">
        <f t="shared" si="15"/>
        <v>Jul</v>
      </c>
      <c r="I252" s="1" t="str">
        <f t="shared" si="12"/>
        <v>Mon</v>
      </c>
      <c r="J252" s="1" t="s">
        <v>11</v>
      </c>
      <c r="K252" s="1" t="s">
        <v>29</v>
      </c>
      <c r="L252" s="1" t="s">
        <v>50</v>
      </c>
      <c r="M252" s="1" t="s">
        <v>19</v>
      </c>
      <c r="N252" s="1" t="s">
        <v>14</v>
      </c>
      <c r="O252" t="s">
        <v>15</v>
      </c>
    </row>
    <row r="253" spans="1:15" x14ac:dyDescent="0.25">
      <c r="A253" s="1" t="s">
        <v>406</v>
      </c>
      <c r="B253" s="1" t="s">
        <v>405</v>
      </c>
      <c r="C253" s="3">
        <v>45316.97152777778</v>
      </c>
      <c r="D253" s="4">
        <f t="shared" si="13"/>
        <v>45316</v>
      </c>
      <c r="E253" s="6">
        <v>11.0777777777742</v>
      </c>
      <c r="F253" s="6" t="str" cm="1">
        <f t="array" ref="F253">_xlfn.IFS(
     AND(HOUR(session_data[[#This Row],[Time]])&gt;5,HOUR(session_data[[#This Row],[Time]])&lt;12),"Morning",
     AND(HOUR(session_data[[#This Row],[Time]])&gt;=12,HOUR(session_data[[#This Row],[Time]])&lt;17),"Afternoon",
     AND(HOUR(session_data[[#This Row],[Time]])&gt;=17,HOUR(session_data[[#This Row],[Time]])&lt;21),"Evening",
     TRUE,"Night"
)</f>
        <v>Night</v>
      </c>
      <c r="G253" s="1">
        <f t="shared" si="14"/>
        <v>2024</v>
      </c>
      <c r="H253" s="1" t="str">
        <f t="shared" si="15"/>
        <v>Jan</v>
      </c>
      <c r="I253" s="1" t="str">
        <f t="shared" si="12"/>
        <v>Thu</v>
      </c>
      <c r="J253" s="1" t="s">
        <v>11</v>
      </c>
      <c r="K253" s="1" t="s">
        <v>29</v>
      </c>
      <c r="L253" s="1" t="s">
        <v>50</v>
      </c>
      <c r="M253" s="1" t="s">
        <v>19</v>
      </c>
      <c r="N253" s="1" t="s">
        <v>22</v>
      </c>
      <c r="O253" t="s">
        <v>15</v>
      </c>
    </row>
    <row r="254" spans="1:15" x14ac:dyDescent="0.25">
      <c r="A254" s="1" t="s">
        <v>407</v>
      </c>
      <c r="B254" s="1" t="s">
        <v>405</v>
      </c>
      <c r="C254" s="3">
        <v>45337.34652777778</v>
      </c>
      <c r="D254" s="4">
        <f t="shared" si="13"/>
        <v>45337</v>
      </c>
      <c r="E254" s="6">
        <v>11.1194444444409</v>
      </c>
      <c r="F254" s="6" t="str" cm="1">
        <f t="array" ref="F254">_xlfn.IFS(
     AND(HOUR(session_data[[#This Row],[Time]])&gt;5,HOUR(session_data[[#This Row],[Time]])&lt;12),"Morning",
     AND(HOUR(session_data[[#This Row],[Time]])&gt;=12,HOUR(session_data[[#This Row],[Time]])&lt;17),"Afternoon",
     AND(HOUR(session_data[[#This Row],[Time]])&gt;=17,HOUR(session_data[[#This Row],[Time]])&lt;21),"Evening",
     TRUE,"Night"
)</f>
        <v>Night</v>
      </c>
      <c r="G254" s="1">
        <f t="shared" si="14"/>
        <v>2024</v>
      </c>
      <c r="H254" s="1" t="str">
        <f t="shared" si="15"/>
        <v>Feb</v>
      </c>
      <c r="I254" s="1" t="str">
        <f t="shared" si="12"/>
        <v>Thu</v>
      </c>
      <c r="J254" s="1" t="s">
        <v>11</v>
      </c>
      <c r="K254" s="1" t="s">
        <v>29</v>
      </c>
      <c r="L254" s="1" t="s">
        <v>50</v>
      </c>
      <c r="M254" s="1" t="s">
        <v>19</v>
      </c>
      <c r="N254" s="1" t="s">
        <v>22</v>
      </c>
      <c r="O254" t="s">
        <v>15</v>
      </c>
    </row>
    <row r="255" spans="1:15" x14ac:dyDescent="0.25">
      <c r="A255" s="1" t="s">
        <v>408</v>
      </c>
      <c r="B255" s="1" t="s">
        <v>405</v>
      </c>
      <c r="C255" s="2">
        <v>45446.22152777778</v>
      </c>
      <c r="D255" s="4">
        <f t="shared" si="13"/>
        <v>45446</v>
      </c>
      <c r="E255" s="6">
        <v>11.1611111111076</v>
      </c>
      <c r="F255" s="6" t="str" cm="1">
        <f t="array" ref="F255">_xlfn.IFS(
     AND(HOUR(session_data[[#This Row],[Time]])&gt;5,HOUR(session_data[[#This Row],[Time]])&lt;12),"Morning",
     AND(HOUR(session_data[[#This Row],[Time]])&gt;=12,HOUR(session_data[[#This Row],[Time]])&lt;17),"Afternoon",
     AND(HOUR(session_data[[#This Row],[Time]])&gt;=17,HOUR(session_data[[#This Row],[Time]])&lt;21),"Evening",
     TRUE,"Night"
)</f>
        <v>Night</v>
      </c>
      <c r="G255" s="1">
        <f t="shared" si="14"/>
        <v>2024</v>
      </c>
      <c r="H255" s="1" t="str">
        <f t="shared" si="15"/>
        <v>Jun</v>
      </c>
      <c r="I255" s="1" t="str">
        <f t="shared" si="12"/>
        <v>Mon</v>
      </c>
      <c r="J255" s="1" t="s">
        <v>11</v>
      </c>
      <c r="K255" s="1" t="s">
        <v>29</v>
      </c>
      <c r="L255" s="1" t="s">
        <v>50</v>
      </c>
      <c r="M255" s="1" t="s">
        <v>19</v>
      </c>
      <c r="N255" s="1" t="s">
        <v>22</v>
      </c>
      <c r="O255" t="s">
        <v>15</v>
      </c>
    </row>
    <row r="256" spans="1:15" x14ac:dyDescent="0.25">
      <c r="A256" s="1" t="s">
        <v>409</v>
      </c>
      <c r="B256" s="1" t="s">
        <v>410</v>
      </c>
      <c r="C256" s="2">
        <v>45353.24722222222</v>
      </c>
      <c r="D256" s="4">
        <f t="shared" si="13"/>
        <v>45353</v>
      </c>
      <c r="E256" s="6">
        <v>11.2027777777742</v>
      </c>
      <c r="F256" s="6" t="str" cm="1">
        <f t="array" ref="F256">_xlfn.IFS(
     AND(HOUR(session_data[[#This Row],[Time]])&gt;5,HOUR(session_data[[#This Row],[Time]])&lt;12),"Morning",
     AND(HOUR(session_data[[#This Row],[Time]])&gt;=12,HOUR(session_data[[#This Row],[Time]])&lt;17),"Afternoon",
     AND(HOUR(session_data[[#This Row],[Time]])&gt;=17,HOUR(session_data[[#This Row],[Time]])&lt;21),"Evening",
     TRUE,"Night"
)</f>
        <v>Night</v>
      </c>
      <c r="G256" s="1">
        <f t="shared" si="14"/>
        <v>2024</v>
      </c>
      <c r="H256" s="1" t="str">
        <f t="shared" si="15"/>
        <v>Mar</v>
      </c>
      <c r="I256" s="1" t="str">
        <f t="shared" si="12"/>
        <v>Sat</v>
      </c>
      <c r="J256" s="1" t="s">
        <v>11</v>
      </c>
      <c r="K256" s="1" t="s">
        <v>29</v>
      </c>
      <c r="L256" s="1" t="s">
        <v>20</v>
      </c>
      <c r="M256" s="1" t="s">
        <v>19</v>
      </c>
      <c r="N256" s="1" t="s">
        <v>14</v>
      </c>
      <c r="O256" t="s">
        <v>45</v>
      </c>
    </row>
    <row r="257" spans="1:15" x14ac:dyDescent="0.25">
      <c r="A257" s="1" t="s">
        <v>411</v>
      </c>
      <c r="B257" s="1" t="s">
        <v>412</v>
      </c>
      <c r="C257" s="2">
        <v>45510.501388888886</v>
      </c>
      <c r="D257" s="4">
        <f t="shared" si="13"/>
        <v>45510</v>
      </c>
      <c r="E257" s="6">
        <v>11.2444444444409</v>
      </c>
      <c r="F257" s="6" t="str" cm="1">
        <f t="array" ref="F257">_xlfn.IFS(
     AND(HOUR(session_data[[#This Row],[Time]])&gt;5,HOUR(session_data[[#This Row],[Time]])&lt;12),"Morning",
     AND(HOUR(session_data[[#This Row],[Time]])&gt;=12,HOUR(session_data[[#This Row],[Time]])&lt;17),"Afternoon",
     AND(HOUR(session_data[[#This Row],[Time]])&gt;=17,HOUR(session_data[[#This Row],[Time]])&lt;21),"Evening",
     TRUE,"Night"
)</f>
        <v>Night</v>
      </c>
      <c r="G257" s="1">
        <f t="shared" si="14"/>
        <v>2024</v>
      </c>
      <c r="H257" s="1" t="str">
        <f t="shared" si="15"/>
        <v>Aug</v>
      </c>
      <c r="I257" s="1" t="str">
        <f t="shared" si="12"/>
        <v>Tue</v>
      </c>
      <c r="J257" s="1" t="s">
        <v>18</v>
      </c>
      <c r="K257" s="1" t="s">
        <v>29</v>
      </c>
      <c r="L257" s="1" t="s">
        <v>79</v>
      </c>
      <c r="M257" s="1" t="s">
        <v>40</v>
      </c>
      <c r="N257" s="1" t="s">
        <v>14</v>
      </c>
      <c r="O257" t="s">
        <v>15</v>
      </c>
    </row>
    <row r="258" spans="1:15" x14ac:dyDescent="0.25">
      <c r="A258" s="1" t="s">
        <v>413</v>
      </c>
      <c r="B258" s="1" t="s">
        <v>414</v>
      </c>
      <c r="C258" s="3">
        <v>45457.1</v>
      </c>
      <c r="D258" s="4">
        <f t="shared" si="13"/>
        <v>45457</v>
      </c>
      <c r="E258" s="6">
        <v>11.2861111111076</v>
      </c>
      <c r="F258" s="6" t="str" cm="1">
        <f t="array" ref="F258">_xlfn.IFS(
     AND(HOUR(session_data[[#This Row],[Time]])&gt;5,HOUR(session_data[[#This Row],[Time]])&lt;12),"Morning",
     AND(HOUR(session_data[[#This Row],[Time]])&gt;=12,HOUR(session_data[[#This Row],[Time]])&lt;17),"Afternoon",
     AND(HOUR(session_data[[#This Row],[Time]])&gt;=17,HOUR(session_data[[#This Row],[Time]])&lt;21),"Evening",
     TRUE,"Night"
)</f>
        <v>Morning</v>
      </c>
      <c r="G258" s="1">
        <f t="shared" si="14"/>
        <v>2024</v>
      </c>
      <c r="H258" s="1" t="str">
        <f t="shared" si="15"/>
        <v>Jun</v>
      </c>
      <c r="I258" s="1" t="str">
        <f t="shared" ref="I258:I321" si="16">TEXT(D258,"DDD")</f>
        <v>Fri</v>
      </c>
      <c r="J258" s="1" t="s">
        <v>44</v>
      </c>
      <c r="K258" s="1" t="s">
        <v>12</v>
      </c>
      <c r="L258" s="1" t="s">
        <v>41</v>
      </c>
      <c r="M258" s="1" t="s">
        <v>40</v>
      </c>
      <c r="N258" s="1" t="s">
        <v>14</v>
      </c>
      <c r="O258" t="s">
        <v>15</v>
      </c>
    </row>
    <row r="259" spans="1:15" x14ac:dyDescent="0.25">
      <c r="A259" s="1" t="s">
        <v>415</v>
      </c>
      <c r="B259" s="1" t="s">
        <v>416</v>
      </c>
      <c r="C259" s="2">
        <v>45292.725694444445</v>
      </c>
      <c r="D259" s="4">
        <f t="shared" ref="D259:D322" si="17">INT(C259)</f>
        <v>45292</v>
      </c>
      <c r="E259" s="6">
        <v>11.3277777777742</v>
      </c>
      <c r="F259" s="6" t="str" cm="1">
        <f t="array" ref="F259">_xlfn.IFS(
     AND(HOUR(session_data[[#This Row],[Time]])&gt;5,HOUR(session_data[[#This Row],[Time]])&lt;12),"Morning",
     AND(HOUR(session_data[[#This Row],[Time]])&gt;=12,HOUR(session_data[[#This Row],[Time]])&lt;17),"Afternoon",
     AND(HOUR(session_data[[#This Row],[Time]])&gt;=17,HOUR(session_data[[#This Row],[Time]])&lt;21),"Evening",
     TRUE,"Night"
)</f>
        <v>Morning</v>
      </c>
      <c r="G259" s="1">
        <f t="shared" ref="G259:G322" si="18">YEAR(D259)</f>
        <v>2024</v>
      </c>
      <c r="H259" s="1" t="str">
        <f t="shared" ref="H259:H322" si="19">TEXT(D259,"MMM")</f>
        <v>Jan</v>
      </c>
      <c r="I259" s="1" t="str">
        <f t="shared" si="16"/>
        <v>Mon</v>
      </c>
      <c r="J259" s="1" t="s">
        <v>44</v>
      </c>
      <c r="K259" s="1" t="s">
        <v>29</v>
      </c>
      <c r="L259" s="1" t="s">
        <v>30</v>
      </c>
      <c r="M259" s="1" t="s">
        <v>32</v>
      </c>
      <c r="N259" s="1" t="s">
        <v>14</v>
      </c>
      <c r="O259" t="s">
        <v>45</v>
      </c>
    </row>
    <row r="260" spans="1:15" x14ac:dyDescent="0.25">
      <c r="A260" s="1" t="s">
        <v>417</v>
      </c>
      <c r="B260" s="1" t="s">
        <v>416</v>
      </c>
      <c r="C260" s="3">
        <v>45319.309027777781</v>
      </c>
      <c r="D260" s="4">
        <f t="shared" si="17"/>
        <v>45319</v>
      </c>
      <c r="E260" s="6">
        <v>11.3694444444409</v>
      </c>
      <c r="F260" s="6" t="str" cm="1">
        <f t="array" ref="F260">_xlfn.IFS(
     AND(HOUR(session_data[[#This Row],[Time]])&gt;5,HOUR(session_data[[#This Row],[Time]])&lt;12),"Morning",
     AND(HOUR(session_data[[#This Row],[Time]])&gt;=12,HOUR(session_data[[#This Row],[Time]])&lt;17),"Afternoon",
     AND(HOUR(session_data[[#This Row],[Time]])&gt;=17,HOUR(session_data[[#This Row],[Time]])&lt;21),"Evening",
     TRUE,"Night"
)</f>
        <v>Morning</v>
      </c>
      <c r="G260" s="1">
        <f t="shared" si="18"/>
        <v>2024</v>
      </c>
      <c r="H260" s="1" t="str">
        <f t="shared" si="19"/>
        <v>Jan</v>
      </c>
      <c r="I260" s="1" t="str">
        <f t="shared" si="16"/>
        <v>Sun</v>
      </c>
      <c r="J260" s="1" t="s">
        <v>44</v>
      </c>
      <c r="K260" s="1" t="s">
        <v>29</v>
      </c>
      <c r="L260" s="1" t="s">
        <v>30</v>
      </c>
      <c r="M260" s="1" t="s">
        <v>32</v>
      </c>
      <c r="N260" s="1" t="s">
        <v>22</v>
      </c>
      <c r="O260" t="s">
        <v>45</v>
      </c>
    </row>
    <row r="261" spans="1:15" x14ac:dyDescent="0.25">
      <c r="A261" s="1" t="s">
        <v>418</v>
      </c>
      <c r="B261" s="1" t="s">
        <v>419</v>
      </c>
      <c r="C261" s="3">
        <v>45433.499305555553</v>
      </c>
      <c r="D261" s="4">
        <f t="shared" si="17"/>
        <v>45433</v>
      </c>
      <c r="E261" s="6">
        <v>11.4111111111076</v>
      </c>
      <c r="F261" s="6" t="str" cm="1">
        <f t="array" ref="F261">_xlfn.IFS(
     AND(HOUR(session_data[[#This Row],[Time]])&gt;5,HOUR(session_data[[#This Row],[Time]])&lt;12),"Morning",
     AND(HOUR(session_data[[#This Row],[Time]])&gt;=12,HOUR(session_data[[#This Row],[Time]])&lt;17),"Afternoon",
     AND(HOUR(session_data[[#This Row],[Time]])&gt;=17,HOUR(session_data[[#This Row],[Time]])&lt;21),"Evening",
     TRUE,"Night"
)</f>
        <v>Morning</v>
      </c>
      <c r="G261" s="1">
        <f t="shared" si="18"/>
        <v>2024</v>
      </c>
      <c r="H261" s="1" t="str">
        <f t="shared" si="19"/>
        <v>May</v>
      </c>
      <c r="I261" s="1" t="str">
        <f t="shared" si="16"/>
        <v>Tue</v>
      </c>
      <c r="J261" s="1" t="s">
        <v>11</v>
      </c>
      <c r="K261" s="1" t="s">
        <v>12</v>
      </c>
      <c r="L261" s="1" t="s">
        <v>59</v>
      </c>
      <c r="M261" s="1" t="s">
        <v>19</v>
      </c>
      <c r="N261" s="1" t="s">
        <v>14</v>
      </c>
      <c r="O261" t="s">
        <v>45</v>
      </c>
    </row>
    <row r="262" spans="1:15" x14ac:dyDescent="0.25">
      <c r="A262" s="1" t="s">
        <v>420</v>
      </c>
      <c r="B262" s="1" t="s">
        <v>419</v>
      </c>
      <c r="C262" s="2">
        <v>45510.499305555553</v>
      </c>
      <c r="D262" s="4">
        <f t="shared" si="17"/>
        <v>45510</v>
      </c>
      <c r="E262" s="6">
        <v>11.4527777777742</v>
      </c>
      <c r="F262" s="6" t="str" cm="1">
        <f t="array" ref="F262">_xlfn.IFS(
     AND(HOUR(session_data[[#This Row],[Time]])&gt;5,HOUR(session_data[[#This Row],[Time]])&lt;12),"Morning",
     AND(HOUR(session_data[[#This Row],[Time]])&gt;=12,HOUR(session_data[[#This Row],[Time]])&lt;17),"Afternoon",
     AND(HOUR(session_data[[#This Row],[Time]])&gt;=17,HOUR(session_data[[#This Row],[Time]])&lt;21),"Evening",
     TRUE,"Night"
)</f>
        <v>Morning</v>
      </c>
      <c r="G262" s="1">
        <f t="shared" si="18"/>
        <v>2024</v>
      </c>
      <c r="H262" s="1" t="str">
        <f t="shared" si="19"/>
        <v>Aug</v>
      </c>
      <c r="I262" s="1" t="str">
        <f t="shared" si="16"/>
        <v>Tue</v>
      </c>
      <c r="J262" s="1" t="s">
        <v>11</v>
      </c>
      <c r="K262" s="1" t="s">
        <v>12</v>
      </c>
      <c r="L262" s="1" t="s">
        <v>59</v>
      </c>
      <c r="M262" s="1" t="s">
        <v>19</v>
      </c>
      <c r="N262" s="1" t="s">
        <v>22</v>
      </c>
      <c r="O262" t="s">
        <v>45</v>
      </c>
    </row>
    <row r="263" spans="1:15" x14ac:dyDescent="0.25">
      <c r="A263" s="1" t="s">
        <v>421</v>
      </c>
      <c r="B263" s="1" t="s">
        <v>419</v>
      </c>
      <c r="C263" s="3">
        <v>45472.040972222225</v>
      </c>
      <c r="D263" s="4">
        <f t="shared" si="17"/>
        <v>45472</v>
      </c>
      <c r="E263" s="6">
        <v>11.4944444444409</v>
      </c>
      <c r="F263" s="6" t="str" cm="1">
        <f t="array" ref="F263">_xlfn.IFS(
     AND(HOUR(session_data[[#This Row],[Time]])&gt;5,HOUR(session_data[[#This Row],[Time]])&lt;12),"Morning",
     AND(HOUR(session_data[[#This Row],[Time]])&gt;=12,HOUR(session_data[[#This Row],[Time]])&lt;17),"Afternoon",
     AND(HOUR(session_data[[#This Row],[Time]])&gt;=17,HOUR(session_data[[#This Row],[Time]])&lt;21),"Evening",
     TRUE,"Night"
)</f>
        <v>Morning</v>
      </c>
      <c r="G263" s="1">
        <f t="shared" si="18"/>
        <v>2024</v>
      </c>
      <c r="H263" s="1" t="str">
        <f t="shared" si="19"/>
        <v>Jun</v>
      </c>
      <c r="I263" s="1" t="str">
        <f t="shared" si="16"/>
        <v>Sat</v>
      </c>
      <c r="J263" s="1" t="s">
        <v>11</v>
      </c>
      <c r="K263" s="1" t="s">
        <v>12</v>
      </c>
      <c r="L263" s="1" t="s">
        <v>59</v>
      </c>
      <c r="M263" s="1" t="s">
        <v>19</v>
      </c>
      <c r="N263" s="1" t="s">
        <v>22</v>
      </c>
      <c r="O263" t="s">
        <v>45</v>
      </c>
    </row>
    <row r="264" spans="1:15" x14ac:dyDescent="0.25">
      <c r="A264" s="1" t="s">
        <v>422</v>
      </c>
      <c r="B264" s="1" t="s">
        <v>423</v>
      </c>
      <c r="C264" s="3">
        <v>45068.113888888889</v>
      </c>
      <c r="D264" s="4">
        <f t="shared" si="17"/>
        <v>45068</v>
      </c>
      <c r="E264" s="6">
        <v>11.5361111111076</v>
      </c>
      <c r="F264" s="6" t="str" cm="1">
        <f t="array" ref="F264">_xlfn.IFS(
     AND(HOUR(session_data[[#This Row],[Time]])&gt;5,HOUR(session_data[[#This Row],[Time]])&lt;12),"Morning",
     AND(HOUR(session_data[[#This Row],[Time]])&gt;=12,HOUR(session_data[[#This Row],[Time]])&lt;17),"Afternoon",
     AND(HOUR(session_data[[#This Row],[Time]])&gt;=17,HOUR(session_data[[#This Row],[Time]])&lt;21),"Evening",
     TRUE,"Night"
)</f>
        <v>Afternoon</v>
      </c>
      <c r="G264" s="1">
        <f t="shared" si="18"/>
        <v>2023</v>
      </c>
      <c r="H264" s="1" t="str">
        <f t="shared" si="19"/>
        <v>May</v>
      </c>
      <c r="I264" s="1" t="str">
        <f t="shared" si="16"/>
        <v>Mon</v>
      </c>
      <c r="J264" s="1" t="s">
        <v>44</v>
      </c>
      <c r="K264" s="1" t="s">
        <v>12</v>
      </c>
      <c r="L264" s="1" t="s">
        <v>50</v>
      </c>
      <c r="M264" s="1" t="s">
        <v>19</v>
      </c>
      <c r="N264" s="1" t="s">
        <v>14</v>
      </c>
      <c r="O264" t="s">
        <v>15</v>
      </c>
    </row>
    <row r="265" spans="1:15" x14ac:dyDescent="0.25">
      <c r="A265" s="1" t="s">
        <v>424</v>
      </c>
      <c r="B265" s="1" t="s">
        <v>423</v>
      </c>
      <c r="C265" s="3">
        <v>45098.780555555553</v>
      </c>
      <c r="D265" s="4">
        <f t="shared" si="17"/>
        <v>45098</v>
      </c>
      <c r="E265" s="6">
        <v>11.5777777777742</v>
      </c>
      <c r="F265" s="6" t="str" cm="1">
        <f t="array" ref="F265">_xlfn.IFS(
     AND(HOUR(session_data[[#This Row],[Time]])&gt;5,HOUR(session_data[[#This Row],[Time]])&lt;12),"Morning",
     AND(HOUR(session_data[[#This Row],[Time]])&gt;=12,HOUR(session_data[[#This Row],[Time]])&lt;17),"Afternoon",
     AND(HOUR(session_data[[#This Row],[Time]])&gt;=17,HOUR(session_data[[#This Row],[Time]])&lt;21),"Evening",
     TRUE,"Night"
)</f>
        <v>Afternoon</v>
      </c>
      <c r="G265" s="1">
        <f t="shared" si="18"/>
        <v>2023</v>
      </c>
      <c r="H265" s="1" t="str">
        <f t="shared" si="19"/>
        <v>Jun</v>
      </c>
      <c r="I265" s="1" t="str">
        <f t="shared" si="16"/>
        <v>Wed</v>
      </c>
      <c r="J265" s="1" t="s">
        <v>44</v>
      </c>
      <c r="K265" s="1" t="s">
        <v>12</v>
      </c>
      <c r="L265" s="1" t="s">
        <v>50</v>
      </c>
      <c r="M265" s="1" t="s">
        <v>19</v>
      </c>
      <c r="N265" s="1" t="s">
        <v>22</v>
      </c>
      <c r="O265" t="s">
        <v>15</v>
      </c>
    </row>
    <row r="266" spans="1:15" x14ac:dyDescent="0.25">
      <c r="A266" s="1" t="s">
        <v>425</v>
      </c>
      <c r="B266" s="1" t="s">
        <v>423</v>
      </c>
      <c r="C266" s="2">
        <v>45206.197222222225</v>
      </c>
      <c r="D266" s="4">
        <f t="shared" si="17"/>
        <v>45206</v>
      </c>
      <c r="E266" s="6">
        <v>11.6194444444409</v>
      </c>
      <c r="F266" s="6" t="str" cm="1">
        <f t="array" ref="F266">_xlfn.IFS(
     AND(HOUR(session_data[[#This Row],[Time]])&gt;5,HOUR(session_data[[#This Row],[Time]])&lt;12),"Morning",
     AND(HOUR(session_data[[#This Row],[Time]])&gt;=12,HOUR(session_data[[#This Row],[Time]])&lt;17),"Afternoon",
     AND(HOUR(session_data[[#This Row],[Time]])&gt;=17,HOUR(session_data[[#This Row],[Time]])&lt;21),"Evening",
     TRUE,"Night"
)</f>
        <v>Afternoon</v>
      </c>
      <c r="G266" s="1">
        <f t="shared" si="18"/>
        <v>2023</v>
      </c>
      <c r="H266" s="1" t="str">
        <f t="shared" si="19"/>
        <v>Oct</v>
      </c>
      <c r="I266" s="1" t="str">
        <f t="shared" si="16"/>
        <v>Sat</v>
      </c>
      <c r="J266" s="1" t="s">
        <v>44</v>
      </c>
      <c r="K266" s="1" t="s">
        <v>12</v>
      </c>
      <c r="L266" s="1" t="s">
        <v>50</v>
      </c>
      <c r="M266" s="1" t="s">
        <v>19</v>
      </c>
      <c r="N266" s="1" t="s">
        <v>22</v>
      </c>
      <c r="O266" t="s">
        <v>15</v>
      </c>
    </row>
    <row r="267" spans="1:15" x14ac:dyDescent="0.25">
      <c r="A267" s="1" t="s">
        <v>426</v>
      </c>
      <c r="B267" s="1" t="s">
        <v>423</v>
      </c>
      <c r="C267" s="3">
        <v>45138.072222222225</v>
      </c>
      <c r="D267" s="4">
        <f t="shared" si="17"/>
        <v>45138</v>
      </c>
      <c r="E267" s="6">
        <v>11.6611111111076</v>
      </c>
      <c r="F267" s="6" t="str" cm="1">
        <f t="array" ref="F267">_xlfn.IFS(
     AND(HOUR(session_data[[#This Row],[Time]])&gt;5,HOUR(session_data[[#This Row],[Time]])&lt;12),"Morning",
     AND(HOUR(session_data[[#This Row],[Time]])&gt;=12,HOUR(session_data[[#This Row],[Time]])&lt;17),"Afternoon",
     AND(HOUR(session_data[[#This Row],[Time]])&gt;=17,HOUR(session_data[[#This Row],[Time]])&lt;21),"Evening",
     TRUE,"Night"
)</f>
        <v>Afternoon</v>
      </c>
      <c r="G267" s="1">
        <f t="shared" si="18"/>
        <v>2023</v>
      </c>
      <c r="H267" s="1" t="str">
        <f t="shared" si="19"/>
        <v>Jul</v>
      </c>
      <c r="I267" s="1" t="str">
        <f t="shared" si="16"/>
        <v>Mon</v>
      </c>
      <c r="J267" s="1" t="s">
        <v>44</v>
      </c>
      <c r="K267" s="1" t="s">
        <v>12</v>
      </c>
      <c r="L267" s="1" t="s">
        <v>50</v>
      </c>
      <c r="M267" s="1" t="s">
        <v>19</v>
      </c>
      <c r="N267" s="1" t="s">
        <v>22</v>
      </c>
      <c r="O267" t="s">
        <v>15</v>
      </c>
    </row>
    <row r="268" spans="1:15" x14ac:dyDescent="0.25">
      <c r="A268" s="1" t="s">
        <v>427</v>
      </c>
      <c r="B268" s="1" t="s">
        <v>428</v>
      </c>
      <c r="C268" s="3">
        <v>45494.684027777781</v>
      </c>
      <c r="D268" s="4">
        <f t="shared" si="17"/>
        <v>45494</v>
      </c>
      <c r="E268" s="6">
        <v>11.7027777777742</v>
      </c>
      <c r="F268" s="6" t="str" cm="1">
        <f t="array" ref="F268">_xlfn.IFS(
     AND(HOUR(session_data[[#This Row],[Time]])&gt;5,HOUR(session_data[[#This Row],[Time]])&lt;12),"Morning",
     AND(HOUR(session_data[[#This Row],[Time]])&gt;=12,HOUR(session_data[[#This Row],[Time]])&lt;17),"Afternoon",
     AND(HOUR(session_data[[#This Row],[Time]])&gt;=17,HOUR(session_data[[#This Row],[Time]])&lt;21),"Evening",
     TRUE,"Night"
)</f>
        <v>Afternoon</v>
      </c>
      <c r="G268" s="1">
        <f t="shared" si="18"/>
        <v>2024</v>
      </c>
      <c r="H268" s="1" t="str">
        <f t="shared" si="19"/>
        <v>Jul</v>
      </c>
      <c r="I268" s="1" t="str">
        <f t="shared" si="16"/>
        <v>Sun</v>
      </c>
      <c r="J268" s="1" t="s">
        <v>28</v>
      </c>
      <c r="K268" s="1" t="s">
        <v>12</v>
      </c>
      <c r="L268" s="1" t="s">
        <v>94</v>
      </c>
      <c r="M268" s="1" t="s">
        <v>32</v>
      </c>
      <c r="N268" s="1" t="s">
        <v>14</v>
      </c>
      <c r="O268" t="s">
        <v>45</v>
      </c>
    </row>
    <row r="269" spans="1:15" x14ac:dyDescent="0.25">
      <c r="A269" s="1" t="s">
        <v>429</v>
      </c>
      <c r="B269" s="1" t="s">
        <v>430</v>
      </c>
      <c r="C269" s="3">
        <v>45527.45208333333</v>
      </c>
      <c r="D269" s="4">
        <f t="shared" si="17"/>
        <v>45527</v>
      </c>
      <c r="E269" s="6">
        <v>11.7444444444409</v>
      </c>
      <c r="F269" s="6" t="str" cm="1">
        <f t="array" ref="F269">_xlfn.IFS(
     AND(HOUR(session_data[[#This Row],[Time]])&gt;5,HOUR(session_data[[#This Row],[Time]])&lt;12),"Morning",
     AND(HOUR(session_data[[#This Row],[Time]])&gt;=12,HOUR(session_data[[#This Row],[Time]])&lt;17),"Afternoon",
     AND(HOUR(session_data[[#This Row],[Time]])&gt;=17,HOUR(session_data[[#This Row],[Time]])&lt;21),"Evening",
     TRUE,"Night"
)</f>
        <v>Evening</v>
      </c>
      <c r="G269" s="1">
        <f t="shared" si="18"/>
        <v>2024</v>
      </c>
      <c r="H269" s="1" t="str">
        <f t="shared" si="19"/>
        <v>Aug</v>
      </c>
      <c r="I269" s="1" t="str">
        <f t="shared" si="16"/>
        <v>Fri</v>
      </c>
      <c r="J269" s="1" t="s">
        <v>28</v>
      </c>
      <c r="K269" s="1" t="s">
        <v>12</v>
      </c>
      <c r="L269" s="1" t="s">
        <v>50</v>
      </c>
      <c r="M269" s="1" t="s">
        <v>19</v>
      </c>
      <c r="N269" s="1" t="s">
        <v>14</v>
      </c>
      <c r="O269" t="s">
        <v>45</v>
      </c>
    </row>
    <row r="270" spans="1:15" x14ac:dyDescent="0.25">
      <c r="A270" s="1" t="s">
        <v>431</v>
      </c>
      <c r="B270" s="1" t="s">
        <v>430</v>
      </c>
      <c r="C270" s="2">
        <v>45513.45208333333</v>
      </c>
      <c r="D270" s="4">
        <f t="shared" si="17"/>
        <v>45513</v>
      </c>
      <c r="E270" s="6">
        <v>11.7861111111076</v>
      </c>
      <c r="F270" s="6" t="str" cm="1">
        <f t="array" ref="F270">_xlfn.IFS(
     AND(HOUR(session_data[[#This Row],[Time]])&gt;5,HOUR(session_data[[#This Row],[Time]])&lt;12),"Morning",
     AND(HOUR(session_data[[#This Row],[Time]])&gt;=12,HOUR(session_data[[#This Row],[Time]])&lt;17),"Afternoon",
     AND(HOUR(session_data[[#This Row],[Time]])&gt;=17,HOUR(session_data[[#This Row],[Time]])&lt;21),"Evening",
     TRUE,"Night"
)</f>
        <v>Evening</v>
      </c>
      <c r="G270" s="1">
        <f t="shared" si="18"/>
        <v>2024</v>
      </c>
      <c r="H270" s="1" t="str">
        <f t="shared" si="19"/>
        <v>Aug</v>
      </c>
      <c r="I270" s="1" t="str">
        <f t="shared" si="16"/>
        <v>Fri</v>
      </c>
      <c r="J270" s="1" t="s">
        <v>28</v>
      </c>
      <c r="K270" s="1" t="s">
        <v>12</v>
      </c>
      <c r="L270" s="1" t="s">
        <v>50</v>
      </c>
      <c r="M270" s="1" t="s">
        <v>19</v>
      </c>
      <c r="N270" s="1" t="s">
        <v>22</v>
      </c>
      <c r="O270" t="s">
        <v>45</v>
      </c>
    </row>
    <row r="271" spans="1:15" x14ac:dyDescent="0.25">
      <c r="A271" s="1" t="s">
        <v>432</v>
      </c>
      <c r="B271" s="1" t="s">
        <v>433</v>
      </c>
      <c r="C271" s="3">
        <v>45625.506249999999</v>
      </c>
      <c r="D271" s="4">
        <f t="shared" si="17"/>
        <v>45625</v>
      </c>
      <c r="E271" s="6">
        <v>11.8277777777742</v>
      </c>
      <c r="F271" s="6" t="str" cm="1">
        <f t="array" ref="F271">_xlfn.IFS(
     AND(HOUR(session_data[[#This Row],[Time]])&gt;5,HOUR(session_data[[#This Row],[Time]])&lt;12),"Morning",
     AND(HOUR(session_data[[#This Row],[Time]])&gt;=12,HOUR(session_data[[#This Row],[Time]])&lt;17),"Afternoon",
     AND(HOUR(session_data[[#This Row],[Time]])&gt;=17,HOUR(session_data[[#This Row],[Time]])&lt;21),"Evening",
     TRUE,"Night"
)</f>
        <v>Evening</v>
      </c>
      <c r="G271" s="1">
        <f t="shared" si="18"/>
        <v>2024</v>
      </c>
      <c r="H271" s="1" t="str">
        <f t="shared" si="19"/>
        <v>Nov</v>
      </c>
      <c r="I271" s="1" t="str">
        <f t="shared" si="16"/>
        <v>Fri</v>
      </c>
      <c r="J271" s="1" t="s">
        <v>44</v>
      </c>
      <c r="K271" s="1" t="s">
        <v>29</v>
      </c>
      <c r="L271" s="1" t="s">
        <v>30</v>
      </c>
      <c r="M271" s="1" t="s">
        <v>32</v>
      </c>
      <c r="N271" s="1" t="s">
        <v>14</v>
      </c>
      <c r="O271" t="s">
        <v>45</v>
      </c>
    </row>
    <row r="272" spans="1:15" x14ac:dyDescent="0.25">
      <c r="A272" s="1" t="s">
        <v>434</v>
      </c>
      <c r="B272" s="1" t="s">
        <v>433</v>
      </c>
      <c r="C272" s="2">
        <v>45608.214583333334</v>
      </c>
      <c r="D272" s="4">
        <f t="shared" si="17"/>
        <v>45608</v>
      </c>
      <c r="E272" s="6">
        <v>11.8694444444409</v>
      </c>
      <c r="F272" s="6" t="str" cm="1">
        <f t="array" ref="F272">_xlfn.IFS(
     AND(HOUR(session_data[[#This Row],[Time]])&gt;5,HOUR(session_data[[#This Row],[Time]])&lt;12),"Morning",
     AND(HOUR(session_data[[#This Row],[Time]])&gt;=12,HOUR(session_data[[#This Row],[Time]])&lt;17),"Afternoon",
     AND(HOUR(session_data[[#This Row],[Time]])&gt;=17,HOUR(session_data[[#This Row],[Time]])&lt;21),"Evening",
     TRUE,"Night"
)</f>
        <v>Evening</v>
      </c>
      <c r="G272" s="1">
        <f t="shared" si="18"/>
        <v>2024</v>
      </c>
      <c r="H272" s="1" t="str">
        <f t="shared" si="19"/>
        <v>Nov</v>
      </c>
      <c r="I272" s="1" t="str">
        <f t="shared" si="16"/>
        <v>Tue</v>
      </c>
      <c r="J272" s="1" t="s">
        <v>44</v>
      </c>
      <c r="K272" s="1" t="s">
        <v>29</v>
      </c>
      <c r="L272" s="1" t="s">
        <v>30</v>
      </c>
      <c r="M272" s="1" t="s">
        <v>32</v>
      </c>
      <c r="N272" s="1" t="s">
        <v>22</v>
      </c>
      <c r="O272" t="s">
        <v>45</v>
      </c>
    </row>
    <row r="273" spans="1:15" x14ac:dyDescent="0.25">
      <c r="A273" s="1" t="s">
        <v>435</v>
      </c>
      <c r="B273" s="1" t="s">
        <v>436</v>
      </c>
      <c r="C273" s="2">
        <v>45538.840277777781</v>
      </c>
      <c r="D273" s="4">
        <f t="shared" si="17"/>
        <v>45538</v>
      </c>
      <c r="E273" s="6">
        <v>11.9111111111076</v>
      </c>
      <c r="F273" s="6" t="str" cm="1">
        <f t="array" ref="F273">_xlfn.IFS(
     AND(HOUR(session_data[[#This Row],[Time]])&gt;5,HOUR(session_data[[#This Row],[Time]])&lt;12),"Morning",
     AND(HOUR(session_data[[#This Row],[Time]])&gt;=12,HOUR(session_data[[#This Row],[Time]])&lt;17),"Afternoon",
     AND(HOUR(session_data[[#This Row],[Time]])&gt;=17,HOUR(session_data[[#This Row],[Time]])&lt;21),"Evening",
     TRUE,"Night"
)</f>
        <v>Night</v>
      </c>
      <c r="G273" s="1">
        <f t="shared" si="18"/>
        <v>2024</v>
      </c>
      <c r="H273" s="1" t="str">
        <f t="shared" si="19"/>
        <v>Sep</v>
      </c>
      <c r="I273" s="1" t="str">
        <f t="shared" si="16"/>
        <v>Tue</v>
      </c>
      <c r="J273" s="1" t="s">
        <v>66</v>
      </c>
      <c r="K273" s="1" t="s">
        <v>29</v>
      </c>
      <c r="L273" s="1" t="s">
        <v>79</v>
      </c>
      <c r="M273" s="1" t="s">
        <v>40</v>
      </c>
      <c r="N273" s="1" t="s">
        <v>14</v>
      </c>
      <c r="O273" t="s">
        <v>45</v>
      </c>
    </row>
    <row r="274" spans="1:15" x14ac:dyDescent="0.25">
      <c r="A274" s="1" t="s">
        <v>437</v>
      </c>
      <c r="B274" s="1" t="s">
        <v>438</v>
      </c>
      <c r="C274" s="2">
        <v>45330.729166666664</v>
      </c>
      <c r="D274" s="4">
        <f t="shared" si="17"/>
        <v>45330</v>
      </c>
      <c r="E274" s="6">
        <v>11.9527777777742</v>
      </c>
      <c r="F274" s="6" t="str" cm="1">
        <f t="array" ref="F274">_xlfn.IFS(
     AND(HOUR(session_data[[#This Row],[Time]])&gt;5,HOUR(session_data[[#This Row],[Time]])&lt;12),"Morning",
     AND(HOUR(session_data[[#This Row],[Time]])&gt;=12,HOUR(session_data[[#This Row],[Time]])&lt;17),"Afternoon",
     AND(HOUR(session_data[[#This Row],[Time]])&gt;=17,HOUR(session_data[[#This Row],[Time]])&lt;21),"Evening",
     TRUE,"Night"
)</f>
        <v>Night</v>
      </c>
      <c r="G274" s="1">
        <f t="shared" si="18"/>
        <v>2024</v>
      </c>
      <c r="H274" s="1" t="str">
        <f t="shared" si="19"/>
        <v>Feb</v>
      </c>
      <c r="I274" s="1" t="str">
        <f t="shared" si="16"/>
        <v>Thu</v>
      </c>
      <c r="J274" s="1" t="s">
        <v>28</v>
      </c>
      <c r="K274" s="1" t="s">
        <v>12</v>
      </c>
      <c r="L274" s="1" t="s">
        <v>41</v>
      </c>
      <c r="M274" s="1" t="s">
        <v>40</v>
      </c>
      <c r="N274" s="1" t="s">
        <v>14</v>
      </c>
      <c r="O274" t="s">
        <v>15</v>
      </c>
    </row>
    <row r="275" spans="1:15" x14ac:dyDescent="0.25">
      <c r="A275" s="1" t="s">
        <v>439</v>
      </c>
      <c r="B275" s="1" t="s">
        <v>440</v>
      </c>
      <c r="C275" s="2">
        <v>45604.526388888888</v>
      </c>
      <c r="D275" s="4">
        <f t="shared" si="17"/>
        <v>45604</v>
      </c>
      <c r="E275" s="6">
        <v>11.9944444444409</v>
      </c>
      <c r="F275" s="6" t="str" cm="1">
        <f t="array" ref="F275">_xlfn.IFS(
     AND(HOUR(session_data[[#This Row],[Time]])&gt;5,HOUR(session_data[[#This Row],[Time]])&lt;12),"Morning",
     AND(HOUR(session_data[[#This Row],[Time]])&gt;=12,HOUR(session_data[[#This Row],[Time]])&lt;17),"Afternoon",
     AND(HOUR(session_data[[#This Row],[Time]])&gt;=17,HOUR(session_data[[#This Row],[Time]])&lt;21),"Evening",
     TRUE,"Night"
)</f>
        <v>Night</v>
      </c>
      <c r="G275" s="1">
        <f t="shared" si="18"/>
        <v>2024</v>
      </c>
      <c r="H275" s="1" t="str">
        <f t="shared" si="19"/>
        <v>Nov</v>
      </c>
      <c r="I275" s="1" t="str">
        <f t="shared" si="16"/>
        <v>Fri</v>
      </c>
      <c r="J275" s="1" t="s">
        <v>44</v>
      </c>
      <c r="K275" s="1" t="s">
        <v>29</v>
      </c>
      <c r="L275" s="1" t="s">
        <v>79</v>
      </c>
      <c r="M275" s="1" t="s">
        <v>40</v>
      </c>
      <c r="N275" s="1" t="s">
        <v>14</v>
      </c>
      <c r="O275" t="s">
        <v>45</v>
      </c>
    </row>
    <row r="276" spans="1:15" x14ac:dyDescent="0.25">
      <c r="A276" s="1" t="s">
        <v>441</v>
      </c>
      <c r="B276" s="1" t="s">
        <v>442</v>
      </c>
      <c r="C276" s="3">
        <v>45460.39166666667</v>
      </c>
      <c r="D276" s="4">
        <f t="shared" si="17"/>
        <v>45460</v>
      </c>
      <c r="E276" s="6">
        <v>12.0361111111076</v>
      </c>
      <c r="F276" s="6" t="str" cm="1">
        <f t="array" ref="F276">_xlfn.IFS(
     AND(HOUR(session_data[[#This Row],[Time]])&gt;5,HOUR(session_data[[#This Row],[Time]])&lt;12),"Morning",
     AND(HOUR(session_data[[#This Row],[Time]])&gt;=12,HOUR(session_data[[#This Row],[Time]])&lt;17),"Afternoon",
     AND(HOUR(session_data[[#This Row],[Time]])&gt;=17,HOUR(session_data[[#This Row],[Time]])&lt;21),"Evening",
     TRUE,"Night"
)</f>
        <v>Night</v>
      </c>
      <c r="G276" s="1">
        <f t="shared" si="18"/>
        <v>2024</v>
      </c>
      <c r="H276" s="1" t="str">
        <f t="shared" si="19"/>
        <v>Jun</v>
      </c>
      <c r="I276" s="1" t="str">
        <f t="shared" si="16"/>
        <v>Mon</v>
      </c>
      <c r="J276" s="1" t="s">
        <v>18</v>
      </c>
      <c r="K276" s="1" t="s">
        <v>29</v>
      </c>
      <c r="L276" s="1" t="s">
        <v>79</v>
      </c>
      <c r="M276" s="1" t="s">
        <v>40</v>
      </c>
      <c r="N276" s="1" t="s">
        <v>14</v>
      </c>
      <c r="O276" t="s">
        <v>45</v>
      </c>
    </row>
    <row r="277" spans="1:15" x14ac:dyDescent="0.25">
      <c r="A277" s="1" t="s">
        <v>443</v>
      </c>
      <c r="B277" s="1" t="s">
        <v>442</v>
      </c>
      <c r="C277" s="3">
        <v>45494.14166666667</v>
      </c>
      <c r="D277" s="4">
        <f t="shared" si="17"/>
        <v>45494</v>
      </c>
      <c r="E277" s="6">
        <v>12.0777777777742</v>
      </c>
      <c r="F277" s="6" t="str" cm="1">
        <f t="array" ref="F277">_xlfn.IFS(
     AND(HOUR(session_data[[#This Row],[Time]])&gt;5,HOUR(session_data[[#This Row],[Time]])&lt;12),"Morning",
     AND(HOUR(session_data[[#This Row],[Time]])&gt;=12,HOUR(session_data[[#This Row],[Time]])&lt;17),"Afternoon",
     AND(HOUR(session_data[[#This Row],[Time]])&gt;=17,HOUR(session_data[[#This Row],[Time]])&lt;21),"Evening",
     TRUE,"Night"
)</f>
        <v>Night</v>
      </c>
      <c r="G277" s="1">
        <f t="shared" si="18"/>
        <v>2024</v>
      </c>
      <c r="H277" s="1" t="str">
        <f t="shared" si="19"/>
        <v>Jul</v>
      </c>
      <c r="I277" s="1" t="str">
        <f t="shared" si="16"/>
        <v>Sun</v>
      </c>
      <c r="J277" s="1" t="s">
        <v>18</v>
      </c>
      <c r="K277" s="1" t="s">
        <v>29</v>
      </c>
      <c r="L277" s="1" t="s">
        <v>79</v>
      </c>
      <c r="M277" s="1" t="s">
        <v>40</v>
      </c>
      <c r="N277" s="1" t="s">
        <v>22</v>
      </c>
      <c r="O277" t="s">
        <v>45</v>
      </c>
    </row>
    <row r="278" spans="1:15" x14ac:dyDescent="0.25">
      <c r="A278" s="1" t="s">
        <v>444</v>
      </c>
      <c r="B278" s="1" t="s">
        <v>442</v>
      </c>
      <c r="C278" s="2">
        <v>45330.35</v>
      </c>
      <c r="D278" s="4">
        <f t="shared" si="17"/>
        <v>45330</v>
      </c>
      <c r="E278" s="6">
        <v>12.1194444444409</v>
      </c>
      <c r="F278" s="6" t="str" cm="1">
        <f t="array" ref="F278">_xlfn.IFS(
     AND(HOUR(session_data[[#This Row],[Time]])&gt;5,HOUR(session_data[[#This Row],[Time]])&lt;12),"Morning",
     AND(HOUR(session_data[[#This Row],[Time]])&gt;=12,HOUR(session_data[[#This Row],[Time]])&lt;17),"Afternoon",
     AND(HOUR(session_data[[#This Row],[Time]])&gt;=17,HOUR(session_data[[#This Row],[Time]])&lt;21),"Evening",
     TRUE,"Night"
)</f>
        <v>Night</v>
      </c>
      <c r="G278" s="1">
        <f t="shared" si="18"/>
        <v>2024</v>
      </c>
      <c r="H278" s="1" t="str">
        <f t="shared" si="19"/>
        <v>Feb</v>
      </c>
      <c r="I278" s="1" t="str">
        <f t="shared" si="16"/>
        <v>Thu</v>
      </c>
      <c r="J278" s="1" t="s">
        <v>18</v>
      </c>
      <c r="K278" s="1" t="s">
        <v>29</v>
      </c>
      <c r="L278" s="1" t="s">
        <v>79</v>
      </c>
      <c r="M278" s="1" t="s">
        <v>40</v>
      </c>
      <c r="N278" s="1" t="s">
        <v>22</v>
      </c>
      <c r="O278" t="s">
        <v>45</v>
      </c>
    </row>
    <row r="279" spans="1:15" x14ac:dyDescent="0.25">
      <c r="A279" s="1" t="s">
        <v>445</v>
      </c>
      <c r="B279" s="1" t="s">
        <v>442</v>
      </c>
      <c r="C279" s="3">
        <v>45530.01666666667</v>
      </c>
      <c r="D279" s="4">
        <f t="shared" si="17"/>
        <v>45530</v>
      </c>
      <c r="E279" s="6">
        <v>12.1611111111076</v>
      </c>
      <c r="F279" s="6" t="str" cm="1">
        <f t="array" ref="F279">_xlfn.IFS(
     AND(HOUR(session_data[[#This Row],[Time]])&gt;5,HOUR(session_data[[#This Row],[Time]])&lt;12),"Morning",
     AND(HOUR(session_data[[#This Row],[Time]])&gt;=12,HOUR(session_data[[#This Row],[Time]])&lt;17),"Afternoon",
     AND(HOUR(session_data[[#This Row],[Time]])&gt;=17,HOUR(session_data[[#This Row],[Time]])&lt;21),"Evening",
     TRUE,"Night"
)</f>
        <v>Night</v>
      </c>
      <c r="G279" s="1">
        <f t="shared" si="18"/>
        <v>2024</v>
      </c>
      <c r="H279" s="1" t="str">
        <f t="shared" si="19"/>
        <v>Aug</v>
      </c>
      <c r="I279" s="1" t="str">
        <f t="shared" si="16"/>
        <v>Mon</v>
      </c>
      <c r="J279" s="1" t="s">
        <v>18</v>
      </c>
      <c r="K279" s="1" t="s">
        <v>29</v>
      </c>
      <c r="L279" s="1" t="s">
        <v>79</v>
      </c>
      <c r="M279" s="1" t="s">
        <v>40</v>
      </c>
      <c r="N279" s="1" t="s">
        <v>22</v>
      </c>
      <c r="O279" t="s">
        <v>45</v>
      </c>
    </row>
    <row r="280" spans="1:15" x14ac:dyDescent="0.25">
      <c r="A280" s="1" t="s">
        <v>446</v>
      </c>
      <c r="B280" s="1" t="s">
        <v>447</v>
      </c>
      <c r="C280" s="2">
        <v>45326.875</v>
      </c>
      <c r="D280" s="4">
        <f t="shared" si="17"/>
        <v>45326</v>
      </c>
      <c r="E280" s="6">
        <v>12.2027777777742</v>
      </c>
      <c r="F280" s="6" t="str" cm="1">
        <f t="array" ref="F280">_xlfn.IFS(
     AND(HOUR(session_data[[#This Row],[Time]])&gt;5,HOUR(session_data[[#This Row],[Time]])&lt;12),"Morning",
     AND(HOUR(session_data[[#This Row],[Time]])&gt;=12,HOUR(session_data[[#This Row],[Time]])&lt;17),"Afternoon",
     AND(HOUR(session_data[[#This Row],[Time]])&gt;=17,HOUR(session_data[[#This Row],[Time]])&lt;21),"Evening",
     TRUE,"Night"
)</f>
        <v>Night</v>
      </c>
      <c r="G280" s="1">
        <f t="shared" si="18"/>
        <v>2024</v>
      </c>
      <c r="H280" s="1" t="str">
        <f t="shared" si="19"/>
        <v>Feb</v>
      </c>
      <c r="I280" s="1" t="str">
        <f t="shared" si="16"/>
        <v>Sun</v>
      </c>
      <c r="J280" s="1" t="s">
        <v>18</v>
      </c>
      <c r="K280" s="1" t="s">
        <v>36</v>
      </c>
      <c r="L280" s="1" t="s">
        <v>20</v>
      </c>
      <c r="M280" s="1" t="s">
        <v>19</v>
      </c>
      <c r="N280" s="1" t="s">
        <v>14</v>
      </c>
      <c r="O280" t="s">
        <v>45</v>
      </c>
    </row>
    <row r="281" spans="1:15" x14ac:dyDescent="0.25">
      <c r="A281" s="1" t="s">
        <v>448</v>
      </c>
      <c r="B281" s="1" t="s">
        <v>449</v>
      </c>
      <c r="C281" s="2">
        <v>45566.589583333334</v>
      </c>
      <c r="D281" s="4">
        <f t="shared" si="17"/>
        <v>45566</v>
      </c>
      <c r="E281" s="6">
        <v>12.2444444444409</v>
      </c>
      <c r="F281" s="6" t="str" cm="1">
        <f t="array" ref="F281">_xlfn.IFS(
     AND(HOUR(session_data[[#This Row],[Time]])&gt;5,HOUR(session_data[[#This Row],[Time]])&lt;12),"Morning",
     AND(HOUR(session_data[[#This Row],[Time]])&gt;=12,HOUR(session_data[[#This Row],[Time]])&lt;17),"Afternoon",
     AND(HOUR(session_data[[#This Row],[Time]])&gt;=17,HOUR(session_data[[#This Row],[Time]])&lt;21),"Evening",
     TRUE,"Night"
)</f>
        <v>Night</v>
      </c>
      <c r="G281" s="1">
        <f t="shared" si="18"/>
        <v>2024</v>
      </c>
      <c r="H281" s="1" t="str">
        <f t="shared" si="19"/>
        <v>Oct</v>
      </c>
      <c r="I281" s="1" t="str">
        <f t="shared" si="16"/>
        <v>Tue</v>
      </c>
      <c r="J281" s="1" t="s">
        <v>11</v>
      </c>
      <c r="K281" s="1" t="s">
        <v>29</v>
      </c>
      <c r="L281" s="1" t="s">
        <v>13</v>
      </c>
      <c r="M281" s="1" t="s">
        <v>32</v>
      </c>
      <c r="N281" s="1" t="s">
        <v>14</v>
      </c>
      <c r="O281" t="s">
        <v>45</v>
      </c>
    </row>
    <row r="282" spans="1:15" x14ac:dyDescent="0.25">
      <c r="A282" s="1" t="s">
        <v>450</v>
      </c>
      <c r="B282" s="1" t="s">
        <v>449</v>
      </c>
      <c r="C282" s="3">
        <v>45322.006249999999</v>
      </c>
      <c r="D282" s="4">
        <f t="shared" si="17"/>
        <v>45322</v>
      </c>
      <c r="E282" s="6">
        <v>12.2861111111076</v>
      </c>
      <c r="F282" s="6" t="str" cm="1">
        <f t="array" ref="F282">_xlfn.IFS(
     AND(HOUR(session_data[[#This Row],[Time]])&gt;5,HOUR(session_data[[#This Row],[Time]])&lt;12),"Morning",
     AND(HOUR(session_data[[#This Row],[Time]])&gt;=12,HOUR(session_data[[#This Row],[Time]])&lt;17),"Afternoon",
     AND(HOUR(session_data[[#This Row],[Time]])&gt;=17,HOUR(session_data[[#This Row],[Time]])&lt;21),"Evening",
     TRUE,"Night"
)</f>
        <v>Morning</v>
      </c>
      <c r="G282" s="1">
        <f t="shared" si="18"/>
        <v>2024</v>
      </c>
      <c r="H282" s="1" t="str">
        <f t="shared" si="19"/>
        <v>Jan</v>
      </c>
      <c r="I282" s="1" t="str">
        <f t="shared" si="16"/>
        <v>Wed</v>
      </c>
      <c r="J282" s="1" t="s">
        <v>11</v>
      </c>
      <c r="K282" s="1" t="s">
        <v>29</v>
      </c>
      <c r="L282" s="1" t="s">
        <v>13</v>
      </c>
      <c r="M282" s="1" t="s">
        <v>32</v>
      </c>
      <c r="N282" s="1" t="s">
        <v>22</v>
      </c>
      <c r="O282" t="s">
        <v>45</v>
      </c>
    </row>
    <row r="283" spans="1:15" x14ac:dyDescent="0.25">
      <c r="A283" s="1" t="s">
        <v>451</v>
      </c>
      <c r="B283" s="1" t="s">
        <v>452</v>
      </c>
      <c r="C283" s="2">
        <v>45537.479861111111</v>
      </c>
      <c r="D283" s="4">
        <f t="shared" si="17"/>
        <v>45537</v>
      </c>
      <c r="E283" s="6">
        <v>12.3277777777742</v>
      </c>
      <c r="F283" s="6" t="str" cm="1">
        <f t="array" ref="F283">_xlfn.IFS(
     AND(HOUR(session_data[[#This Row],[Time]])&gt;5,HOUR(session_data[[#This Row],[Time]])&lt;12),"Morning",
     AND(HOUR(session_data[[#This Row],[Time]])&gt;=12,HOUR(session_data[[#This Row],[Time]])&lt;17),"Afternoon",
     AND(HOUR(session_data[[#This Row],[Time]])&gt;=17,HOUR(session_data[[#This Row],[Time]])&lt;21),"Evening",
     TRUE,"Night"
)</f>
        <v>Morning</v>
      </c>
      <c r="G283" s="1">
        <f t="shared" si="18"/>
        <v>2024</v>
      </c>
      <c r="H283" s="1" t="str">
        <f t="shared" si="19"/>
        <v>Sep</v>
      </c>
      <c r="I283" s="1" t="str">
        <f t="shared" si="16"/>
        <v>Mon</v>
      </c>
      <c r="J283" s="1" t="s">
        <v>18</v>
      </c>
      <c r="K283" s="1" t="s">
        <v>12</v>
      </c>
      <c r="L283" s="1" t="s">
        <v>20</v>
      </c>
      <c r="M283" s="1" t="s">
        <v>19</v>
      </c>
      <c r="N283" s="1" t="s">
        <v>14</v>
      </c>
      <c r="O283" t="s">
        <v>45</v>
      </c>
    </row>
    <row r="284" spans="1:15" x14ac:dyDescent="0.25">
      <c r="A284" s="1" t="s">
        <v>453</v>
      </c>
      <c r="B284" s="1" t="s">
        <v>452</v>
      </c>
      <c r="C284" s="3">
        <v>45349.021527777775</v>
      </c>
      <c r="D284" s="4">
        <f t="shared" si="17"/>
        <v>45349</v>
      </c>
      <c r="E284" s="6">
        <v>12.3694444444409</v>
      </c>
      <c r="F284" s="6" t="str" cm="1">
        <f t="array" ref="F284">_xlfn.IFS(
     AND(HOUR(session_data[[#This Row],[Time]])&gt;5,HOUR(session_data[[#This Row],[Time]])&lt;12),"Morning",
     AND(HOUR(session_data[[#This Row],[Time]])&gt;=12,HOUR(session_data[[#This Row],[Time]])&lt;17),"Afternoon",
     AND(HOUR(session_data[[#This Row],[Time]])&gt;=17,HOUR(session_data[[#This Row],[Time]])&lt;21),"Evening",
     TRUE,"Night"
)</f>
        <v>Morning</v>
      </c>
      <c r="G284" s="1">
        <f t="shared" si="18"/>
        <v>2024</v>
      </c>
      <c r="H284" s="1" t="str">
        <f t="shared" si="19"/>
        <v>Feb</v>
      </c>
      <c r="I284" s="1" t="str">
        <f t="shared" si="16"/>
        <v>Tue</v>
      </c>
      <c r="J284" s="1" t="s">
        <v>18</v>
      </c>
      <c r="K284" s="1" t="s">
        <v>12</v>
      </c>
      <c r="L284" s="1" t="s">
        <v>20</v>
      </c>
      <c r="M284" s="1" t="s">
        <v>19</v>
      </c>
      <c r="N284" s="1" t="s">
        <v>22</v>
      </c>
      <c r="O284" t="s">
        <v>45</v>
      </c>
    </row>
    <row r="285" spans="1:15" x14ac:dyDescent="0.25">
      <c r="A285" s="1" t="s">
        <v>454</v>
      </c>
      <c r="B285" s="1" t="s">
        <v>452</v>
      </c>
      <c r="C285" s="3">
        <v>45375.646527777775</v>
      </c>
      <c r="D285" s="4">
        <f t="shared" si="17"/>
        <v>45375</v>
      </c>
      <c r="E285" s="6">
        <v>12.4111111111076</v>
      </c>
      <c r="F285" s="6" t="str" cm="1">
        <f t="array" ref="F285">_xlfn.IFS(
     AND(HOUR(session_data[[#This Row],[Time]])&gt;5,HOUR(session_data[[#This Row],[Time]])&lt;12),"Morning",
     AND(HOUR(session_data[[#This Row],[Time]])&gt;=12,HOUR(session_data[[#This Row],[Time]])&lt;17),"Afternoon",
     AND(HOUR(session_data[[#This Row],[Time]])&gt;=17,HOUR(session_data[[#This Row],[Time]])&lt;21),"Evening",
     TRUE,"Night"
)</f>
        <v>Morning</v>
      </c>
      <c r="G285" s="1">
        <f t="shared" si="18"/>
        <v>2024</v>
      </c>
      <c r="H285" s="1" t="str">
        <f t="shared" si="19"/>
        <v>Mar</v>
      </c>
      <c r="I285" s="1" t="str">
        <f t="shared" si="16"/>
        <v>Sun</v>
      </c>
      <c r="J285" s="1" t="s">
        <v>18</v>
      </c>
      <c r="K285" s="1" t="s">
        <v>12</v>
      </c>
      <c r="L285" s="1" t="s">
        <v>20</v>
      </c>
      <c r="M285" s="1" t="s">
        <v>19</v>
      </c>
      <c r="N285" s="1" t="s">
        <v>22</v>
      </c>
      <c r="O285" t="s">
        <v>45</v>
      </c>
    </row>
    <row r="286" spans="1:15" x14ac:dyDescent="0.25">
      <c r="A286" s="1" t="s">
        <v>455</v>
      </c>
      <c r="B286" s="1" t="s">
        <v>456</v>
      </c>
      <c r="C286" s="3">
        <v>45342.263194444444</v>
      </c>
      <c r="D286" s="4">
        <f t="shared" si="17"/>
        <v>45342</v>
      </c>
      <c r="E286" s="6">
        <v>12.4527777777742</v>
      </c>
      <c r="F286" s="6" t="str" cm="1">
        <f t="array" ref="F286">_xlfn.IFS(
     AND(HOUR(session_data[[#This Row],[Time]])&gt;5,HOUR(session_data[[#This Row],[Time]])&lt;12),"Morning",
     AND(HOUR(session_data[[#This Row],[Time]])&gt;=12,HOUR(session_data[[#This Row],[Time]])&lt;17),"Afternoon",
     AND(HOUR(session_data[[#This Row],[Time]])&gt;=17,HOUR(session_data[[#This Row],[Time]])&lt;21),"Evening",
     TRUE,"Night"
)</f>
        <v>Morning</v>
      </c>
      <c r="G286" s="1">
        <f t="shared" si="18"/>
        <v>2024</v>
      </c>
      <c r="H286" s="1" t="str">
        <f t="shared" si="19"/>
        <v>Feb</v>
      </c>
      <c r="I286" s="1" t="str">
        <f t="shared" si="16"/>
        <v>Tue</v>
      </c>
      <c r="J286" s="1" t="s">
        <v>18</v>
      </c>
      <c r="K286" s="1" t="s">
        <v>12</v>
      </c>
      <c r="L286" s="1" t="s">
        <v>20</v>
      </c>
      <c r="M286" s="1" t="s">
        <v>19</v>
      </c>
      <c r="N286" s="1" t="s">
        <v>14</v>
      </c>
      <c r="O286" t="s">
        <v>45</v>
      </c>
    </row>
    <row r="287" spans="1:15" x14ac:dyDescent="0.25">
      <c r="A287" s="1" t="s">
        <v>457</v>
      </c>
      <c r="B287" s="1" t="s">
        <v>458</v>
      </c>
      <c r="C287" s="3">
        <v>45040.45416666667</v>
      </c>
      <c r="D287" s="4">
        <f t="shared" si="17"/>
        <v>45040</v>
      </c>
      <c r="E287" s="6">
        <v>12.4944444444409</v>
      </c>
      <c r="F287" s="6" t="str" cm="1">
        <f t="array" ref="F287">_xlfn.IFS(
     AND(HOUR(session_data[[#This Row],[Time]])&gt;5,HOUR(session_data[[#This Row],[Time]])&lt;12),"Morning",
     AND(HOUR(session_data[[#This Row],[Time]])&gt;=12,HOUR(session_data[[#This Row],[Time]])&lt;17),"Afternoon",
     AND(HOUR(session_data[[#This Row],[Time]])&gt;=17,HOUR(session_data[[#This Row],[Time]])&lt;21),"Evening",
     TRUE,"Night"
)</f>
        <v>Morning</v>
      </c>
      <c r="G287" s="1">
        <f t="shared" si="18"/>
        <v>2023</v>
      </c>
      <c r="H287" s="1" t="str">
        <f t="shared" si="19"/>
        <v>Apr</v>
      </c>
      <c r="I287" s="1" t="str">
        <f t="shared" si="16"/>
        <v>Mon</v>
      </c>
      <c r="J287" s="1" t="s">
        <v>18</v>
      </c>
      <c r="K287" s="1" t="s">
        <v>29</v>
      </c>
      <c r="L287" s="1" t="s">
        <v>94</v>
      </c>
      <c r="M287" s="1" t="s">
        <v>32</v>
      </c>
      <c r="N287" s="1" t="s">
        <v>14</v>
      </c>
      <c r="O287" t="s">
        <v>45</v>
      </c>
    </row>
    <row r="288" spans="1:15" x14ac:dyDescent="0.25">
      <c r="A288" s="1" t="s">
        <v>459</v>
      </c>
      <c r="B288" s="1" t="s">
        <v>458</v>
      </c>
      <c r="C288" s="3">
        <v>45065.495833333334</v>
      </c>
      <c r="D288" s="4">
        <f t="shared" si="17"/>
        <v>45065</v>
      </c>
      <c r="E288" s="6">
        <v>12.5361111111076</v>
      </c>
      <c r="F288" s="6" t="str" cm="1">
        <f t="array" ref="F288">_xlfn.IFS(
     AND(HOUR(session_data[[#This Row],[Time]])&gt;5,HOUR(session_data[[#This Row],[Time]])&lt;12),"Morning",
     AND(HOUR(session_data[[#This Row],[Time]])&gt;=12,HOUR(session_data[[#This Row],[Time]])&lt;17),"Afternoon",
     AND(HOUR(session_data[[#This Row],[Time]])&gt;=17,HOUR(session_data[[#This Row],[Time]])&lt;21),"Evening",
     TRUE,"Night"
)</f>
        <v>Afternoon</v>
      </c>
      <c r="G288" s="1">
        <f t="shared" si="18"/>
        <v>2023</v>
      </c>
      <c r="H288" s="1" t="str">
        <f t="shared" si="19"/>
        <v>May</v>
      </c>
      <c r="I288" s="1" t="str">
        <f t="shared" si="16"/>
        <v>Fri</v>
      </c>
      <c r="J288" s="1" t="s">
        <v>18</v>
      </c>
      <c r="K288" s="1" t="s">
        <v>29</v>
      </c>
      <c r="L288" s="1" t="s">
        <v>94</v>
      </c>
      <c r="M288" s="1" t="s">
        <v>32</v>
      </c>
      <c r="N288" s="1" t="s">
        <v>22</v>
      </c>
      <c r="O288" t="s">
        <v>45</v>
      </c>
    </row>
    <row r="289" spans="1:15" x14ac:dyDescent="0.25">
      <c r="A289" s="1" t="s">
        <v>460</v>
      </c>
      <c r="B289" s="1" t="s">
        <v>458</v>
      </c>
      <c r="C289" s="2">
        <v>45175.20416666667</v>
      </c>
      <c r="D289" s="4">
        <f t="shared" si="17"/>
        <v>45175</v>
      </c>
      <c r="E289" s="6">
        <v>12.5777777777742</v>
      </c>
      <c r="F289" s="6" t="str" cm="1">
        <f t="array" ref="F289">_xlfn.IFS(
     AND(HOUR(session_data[[#This Row],[Time]])&gt;5,HOUR(session_data[[#This Row],[Time]])&lt;12),"Morning",
     AND(HOUR(session_data[[#This Row],[Time]])&gt;=12,HOUR(session_data[[#This Row],[Time]])&lt;17),"Afternoon",
     AND(HOUR(session_data[[#This Row],[Time]])&gt;=17,HOUR(session_data[[#This Row],[Time]])&lt;21),"Evening",
     TRUE,"Night"
)</f>
        <v>Afternoon</v>
      </c>
      <c r="G289" s="1">
        <f t="shared" si="18"/>
        <v>2023</v>
      </c>
      <c r="H289" s="1" t="str">
        <f t="shared" si="19"/>
        <v>Sep</v>
      </c>
      <c r="I289" s="1" t="str">
        <f t="shared" si="16"/>
        <v>Wed</v>
      </c>
      <c r="J289" s="1" t="s">
        <v>18</v>
      </c>
      <c r="K289" s="1" t="s">
        <v>29</v>
      </c>
      <c r="L289" s="1" t="s">
        <v>94</v>
      </c>
      <c r="M289" s="1" t="s">
        <v>32</v>
      </c>
      <c r="N289" s="1" t="s">
        <v>22</v>
      </c>
      <c r="O289" t="s">
        <v>45</v>
      </c>
    </row>
    <row r="290" spans="1:15" x14ac:dyDescent="0.25">
      <c r="A290" s="1" t="s">
        <v>461</v>
      </c>
      <c r="B290" s="1" t="s">
        <v>458</v>
      </c>
      <c r="C290" s="3">
        <v>45101.287499999999</v>
      </c>
      <c r="D290" s="4">
        <f t="shared" si="17"/>
        <v>45101</v>
      </c>
      <c r="E290" s="6">
        <v>12.6194444444409</v>
      </c>
      <c r="F290" s="6" t="str" cm="1">
        <f t="array" ref="F290">_xlfn.IFS(
     AND(HOUR(session_data[[#This Row],[Time]])&gt;5,HOUR(session_data[[#This Row],[Time]])&lt;12),"Morning",
     AND(HOUR(session_data[[#This Row],[Time]])&gt;=12,HOUR(session_data[[#This Row],[Time]])&lt;17),"Afternoon",
     AND(HOUR(session_data[[#This Row],[Time]])&gt;=17,HOUR(session_data[[#This Row],[Time]])&lt;21),"Evening",
     TRUE,"Night"
)</f>
        <v>Afternoon</v>
      </c>
      <c r="G290" s="1">
        <f t="shared" si="18"/>
        <v>2023</v>
      </c>
      <c r="H290" s="1" t="str">
        <f t="shared" si="19"/>
        <v>Jun</v>
      </c>
      <c r="I290" s="1" t="str">
        <f t="shared" si="16"/>
        <v>Sat</v>
      </c>
      <c r="J290" s="1" t="s">
        <v>18</v>
      </c>
      <c r="K290" s="1" t="s">
        <v>29</v>
      </c>
      <c r="L290" s="1" t="s">
        <v>94</v>
      </c>
      <c r="M290" s="1" t="s">
        <v>32</v>
      </c>
      <c r="N290" s="1" t="s">
        <v>22</v>
      </c>
      <c r="O290" t="s">
        <v>45</v>
      </c>
    </row>
    <row r="291" spans="1:15" x14ac:dyDescent="0.25">
      <c r="A291" s="1" t="s">
        <v>462</v>
      </c>
      <c r="B291" s="1" t="s">
        <v>458</v>
      </c>
      <c r="C291" s="3">
        <v>45129.537499999999</v>
      </c>
      <c r="D291" s="4">
        <f t="shared" si="17"/>
        <v>45129</v>
      </c>
      <c r="E291" s="6">
        <v>12.6611111111076</v>
      </c>
      <c r="F291" s="6" t="str" cm="1">
        <f t="array" ref="F291">_xlfn.IFS(
     AND(HOUR(session_data[[#This Row],[Time]])&gt;5,HOUR(session_data[[#This Row],[Time]])&lt;12),"Morning",
     AND(HOUR(session_data[[#This Row],[Time]])&gt;=12,HOUR(session_data[[#This Row],[Time]])&lt;17),"Afternoon",
     AND(HOUR(session_data[[#This Row],[Time]])&gt;=17,HOUR(session_data[[#This Row],[Time]])&lt;21),"Evening",
     TRUE,"Night"
)</f>
        <v>Afternoon</v>
      </c>
      <c r="G291" s="1">
        <f t="shared" si="18"/>
        <v>2023</v>
      </c>
      <c r="H291" s="1" t="str">
        <f t="shared" si="19"/>
        <v>Jul</v>
      </c>
      <c r="I291" s="1" t="str">
        <f t="shared" si="16"/>
        <v>Sat</v>
      </c>
      <c r="J291" s="1" t="s">
        <v>18</v>
      </c>
      <c r="K291" s="1" t="s">
        <v>29</v>
      </c>
      <c r="L291" s="1" t="s">
        <v>94</v>
      </c>
      <c r="M291" s="1" t="s">
        <v>32</v>
      </c>
      <c r="N291" s="1" t="s">
        <v>22</v>
      </c>
      <c r="O291" t="s">
        <v>45</v>
      </c>
    </row>
    <row r="292" spans="1:15" x14ac:dyDescent="0.25">
      <c r="A292" s="1" t="s">
        <v>463</v>
      </c>
      <c r="B292" s="1" t="s">
        <v>464</v>
      </c>
      <c r="C292" s="3">
        <v>45375.071527777778</v>
      </c>
      <c r="D292" s="4">
        <f t="shared" si="17"/>
        <v>45375</v>
      </c>
      <c r="E292" s="6">
        <v>12.7027777777742</v>
      </c>
      <c r="F292" s="6" t="str" cm="1">
        <f t="array" ref="F292">_xlfn.IFS(
     AND(HOUR(session_data[[#This Row],[Time]])&gt;5,HOUR(session_data[[#This Row],[Time]])&lt;12),"Morning",
     AND(HOUR(session_data[[#This Row],[Time]])&gt;=12,HOUR(session_data[[#This Row],[Time]])&lt;17),"Afternoon",
     AND(HOUR(session_data[[#This Row],[Time]])&gt;=17,HOUR(session_data[[#This Row],[Time]])&lt;21),"Evening",
     TRUE,"Night"
)</f>
        <v>Afternoon</v>
      </c>
      <c r="G292" s="1">
        <f t="shared" si="18"/>
        <v>2024</v>
      </c>
      <c r="H292" s="1" t="str">
        <f t="shared" si="19"/>
        <v>Mar</v>
      </c>
      <c r="I292" s="1" t="str">
        <f t="shared" si="16"/>
        <v>Sun</v>
      </c>
      <c r="J292" s="1" t="s">
        <v>11</v>
      </c>
      <c r="K292" s="1" t="s">
        <v>12</v>
      </c>
      <c r="L292" s="1" t="s">
        <v>50</v>
      </c>
      <c r="M292" s="1" t="s">
        <v>19</v>
      </c>
      <c r="N292" s="1" t="s">
        <v>14</v>
      </c>
      <c r="O292" t="s">
        <v>45</v>
      </c>
    </row>
    <row r="293" spans="1:15" x14ac:dyDescent="0.25">
      <c r="A293" s="1" t="s">
        <v>465</v>
      </c>
      <c r="B293" s="1" t="s">
        <v>464</v>
      </c>
      <c r="C293" s="2">
        <v>45508.238194444442</v>
      </c>
      <c r="D293" s="4">
        <f t="shared" si="17"/>
        <v>45508</v>
      </c>
      <c r="E293" s="6">
        <v>12.7444444444409</v>
      </c>
      <c r="F293" s="6" t="str" cm="1">
        <f t="array" ref="F293">_xlfn.IFS(
     AND(HOUR(session_data[[#This Row],[Time]])&gt;5,HOUR(session_data[[#This Row],[Time]])&lt;12),"Morning",
     AND(HOUR(session_data[[#This Row],[Time]])&gt;=12,HOUR(session_data[[#This Row],[Time]])&lt;17),"Afternoon",
     AND(HOUR(session_data[[#This Row],[Time]])&gt;=17,HOUR(session_data[[#This Row],[Time]])&lt;21),"Evening",
     TRUE,"Night"
)</f>
        <v>Evening</v>
      </c>
      <c r="G293" s="1">
        <f t="shared" si="18"/>
        <v>2024</v>
      </c>
      <c r="H293" s="1" t="str">
        <f t="shared" si="19"/>
        <v>Aug</v>
      </c>
      <c r="I293" s="1" t="str">
        <f t="shared" si="16"/>
        <v>Sun</v>
      </c>
      <c r="J293" s="1" t="s">
        <v>11</v>
      </c>
      <c r="K293" s="1" t="s">
        <v>12</v>
      </c>
      <c r="L293" s="1" t="s">
        <v>50</v>
      </c>
      <c r="M293" s="1" t="s">
        <v>19</v>
      </c>
      <c r="N293" s="1" t="s">
        <v>22</v>
      </c>
      <c r="O293" t="s">
        <v>45</v>
      </c>
    </row>
    <row r="294" spans="1:15" x14ac:dyDescent="0.25">
      <c r="A294" s="1" t="s">
        <v>466</v>
      </c>
      <c r="B294" s="1" t="s">
        <v>464</v>
      </c>
      <c r="C294" s="2">
        <v>45356.779861111114</v>
      </c>
      <c r="D294" s="4">
        <f t="shared" si="17"/>
        <v>45356</v>
      </c>
      <c r="E294" s="6">
        <v>12.7861111111076</v>
      </c>
      <c r="F294" s="6" t="str" cm="1">
        <f t="array" ref="F294">_xlfn.IFS(
     AND(HOUR(session_data[[#This Row],[Time]])&gt;5,HOUR(session_data[[#This Row],[Time]])&lt;12),"Morning",
     AND(HOUR(session_data[[#This Row],[Time]])&gt;=12,HOUR(session_data[[#This Row],[Time]])&lt;17),"Afternoon",
     AND(HOUR(session_data[[#This Row],[Time]])&gt;=17,HOUR(session_data[[#This Row],[Time]])&lt;21),"Evening",
     TRUE,"Night"
)</f>
        <v>Evening</v>
      </c>
      <c r="G294" s="1">
        <f t="shared" si="18"/>
        <v>2024</v>
      </c>
      <c r="H294" s="1" t="str">
        <f t="shared" si="19"/>
        <v>Mar</v>
      </c>
      <c r="I294" s="1" t="str">
        <f t="shared" si="16"/>
        <v>Tue</v>
      </c>
      <c r="J294" s="1" t="s">
        <v>11</v>
      </c>
      <c r="K294" s="1" t="s">
        <v>12</v>
      </c>
      <c r="L294" s="1" t="s">
        <v>50</v>
      </c>
      <c r="M294" s="1" t="s">
        <v>19</v>
      </c>
      <c r="N294" s="1" t="s">
        <v>22</v>
      </c>
      <c r="O294" t="s">
        <v>45</v>
      </c>
    </row>
    <row r="295" spans="1:15" x14ac:dyDescent="0.25">
      <c r="A295" s="1" t="s">
        <v>467</v>
      </c>
      <c r="B295" s="1" t="s">
        <v>464</v>
      </c>
      <c r="C295" s="3">
        <v>45433.446527777778</v>
      </c>
      <c r="D295" s="4">
        <f t="shared" si="17"/>
        <v>45433</v>
      </c>
      <c r="E295" s="6">
        <v>12.8277777777742</v>
      </c>
      <c r="F295" s="6" t="str" cm="1">
        <f t="array" ref="F295">_xlfn.IFS(
     AND(HOUR(session_data[[#This Row],[Time]])&gt;5,HOUR(session_data[[#This Row],[Time]])&lt;12),"Morning",
     AND(HOUR(session_data[[#This Row],[Time]])&gt;=12,HOUR(session_data[[#This Row],[Time]])&lt;17),"Afternoon",
     AND(HOUR(session_data[[#This Row],[Time]])&gt;=17,HOUR(session_data[[#This Row],[Time]])&lt;21),"Evening",
     TRUE,"Night"
)</f>
        <v>Evening</v>
      </c>
      <c r="G295" s="1">
        <f t="shared" si="18"/>
        <v>2024</v>
      </c>
      <c r="H295" s="1" t="str">
        <f t="shared" si="19"/>
        <v>May</v>
      </c>
      <c r="I295" s="1" t="str">
        <f t="shared" si="16"/>
        <v>Tue</v>
      </c>
      <c r="J295" s="1" t="s">
        <v>11</v>
      </c>
      <c r="K295" s="1" t="s">
        <v>12</v>
      </c>
      <c r="L295" s="1" t="s">
        <v>50</v>
      </c>
      <c r="M295" s="1" t="s">
        <v>19</v>
      </c>
      <c r="N295" s="1" t="s">
        <v>22</v>
      </c>
      <c r="O295" t="s">
        <v>45</v>
      </c>
    </row>
    <row r="296" spans="1:15" x14ac:dyDescent="0.25">
      <c r="A296" s="1" t="s">
        <v>468</v>
      </c>
      <c r="B296" s="1" t="s">
        <v>464</v>
      </c>
      <c r="C296" s="2">
        <v>45418.613194444442</v>
      </c>
      <c r="D296" s="4">
        <f t="shared" si="17"/>
        <v>45418</v>
      </c>
      <c r="E296" s="6">
        <v>12.8694444444409</v>
      </c>
      <c r="F296" s="6" t="str" cm="1">
        <f t="array" ref="F296">_xlfn.IFS(
     AND(HOUR(session_data[[#This Row],[Time]])&gt;5,HOUR(session_data[[#This Row],[Time]])&lt;12),"Morning",
     AND(HOUR(session_data[[#This Row],[Time]])&gt;=12,HOUR(session_data[[#This Row],[Time]])&lt;17),"Afternoon",
     AND(HOUR(session_data[[#This Row],[Time]])&gt;=17,HOUR(session_data[[#This Row],[Time]])&lt;21),"Evening",
     TRUE,"Night"
)</f>
        <v>Evening</v>
      </c>
      <c r="G296" s="1">
        <f t="shared" si="18"/>
        <v>2024</v>
      </c>
      <c r="H296" s="1" t="str">
        <f t="shared" si="19"/>
        <v>May</v>
      </c>
      <c r="I296" s="1" t="str">
        <f t="shared" si="16"/>
        <v>Mon</v>
      </c>
      <c r="J296" s="1" t="s">
        <v>11</v>
      </c>
      <c r="K296" s="1" t="s">
        <v>12</v>
      </c>
      <c r="L296" s="1" t="s">
        <v>50</v>
      </c>
      <c r="M296" s="1" t="s">
        <v>19</v>
      </c>
      <c r="N296" s="1" t="s">
        <v>22</v>
      </c>
      <c r="O296" t="s">
        <v>45</v>
      </c>
    </row>
    <row r="297" spans="1:15" x14ac:dyDescent="0.25">
      <c r="A297" s="1" t="s">
        <v>469</v>
      </c>
      <c r="B297" s="1" t="s">
        <v>470</v>
      </c>
      <c r="C297" s="3">
        <v>45316.23541666667</v>
      </c>
      <c r="D297" s="4">
        <f t="shared" si="17"/>
        <v>45316</v>
      </c>
      <c r="E297" s="6">
        <v>12.9111111111076</v>
      </c>
      <c r="F297" s="6" t="str" cm="1">
        <f t="array" ref="F297">_xlfn.IFS(
     AND(HOUR(session_data[[#This Row],[Time]])&gt;5,HOUR(session_data[[#This Row],[Time]])&lt;12),"Morning",
     AND(HOUR(session_data[[#This Row],[Time]])&gt;=12,HOUR(session_data[[#This Row],[Time]])&lt;17),"Afternoon",
     AND(HOUR(session_data[[#This Row],[Time]])&gt;=17,HOUR(session_data[[#This Row],[Time]])&lt;21),"Evening",
     TRUE,"Night"
)</f>
        <v>Night</v>
      </c>
      <c r="G297" s="1">
        <f t="shared" si="18"/>
        <v>2024</v>
      </c>
      <c r="H297" s="1" t="str">
        <f t="shared" si="19"/>
        <v>Jan</v>
      </c>
      <c r="I297" s="1" t="str">
        <f t="shared" si="16"/>
        <v>Thu</v>
      </c>
      <c r="J297" s="1" t="s">
        <v>11</v>
      </c>
      <c r="K297" s="1" t="s">
        <v>12</v>
      </c>
      <c r="L297" s="1" t="s">
        <v>41</v>
      </c>
      <c r="M297" s="1" t="s">
        <v>40</v>
      </c>
      <c r="N297" s="1" t="s">
        <v>14</v>
      </c>
      <c r="O297" t="s">
        <v>15</v>
      </c>
    </row>
    <row r="298" spans="1:15" x14ac:dyDescent="0.25">
      <c r="A298" s="1" t="s">
        <v>471</v>
      </c>
      <c r="B298" s="1" t="s">
        <v>472</v>
      </c>
      <c r="C298" s="3">
        <v>45378.597222222219</v>
      </c>
      <c r="D298" s="4">
        <f t="shared" si="17"/>
        <v>45378</v>
      </c>
      <c r="E298" s="6">
        <v>12.9527777777742</v>
      </c>
      <c r="F298" s="6" t="str" cm="1">
        <f t="array" ref="F298">_xlfn.IFS(
     AND(HOUR(session_data[[#This Row],[Time]])&gt;5,HOUR(session_data[[#This Row],[Time]])&lt;12),"Morning",
     AND(HOUR(session_data[[#This Row],[Time]])&gt;=12,HOUR(session_data[[#This Row],[Time]])&lt;17),"Afternoon",
     AND(HOUR(session_data[[#This Row],[Time]])&gt;=17,HOUR(session_data[[#This Row],[Time]])&lt;21),"Evening",
     TRUE,"Night"
)</f>
        <v>Night</v>
      </c>
      <c r="G298" s="1">
        <f t="shared" si="18"/>
        <v>2024</v>
      </c>
      <c r="H298" s="1" t="str">
        <f t="shared" si="19"/>
        <v>Mar</v>
      </c>
      <c r="I298" s="1" t="str">
        <f t="shared" si="16"/>
        <v>Wed</v>
      </c>
      <c r="J298" s="1" t="s">
        <v>11</v>
      </c>
      <c r="K298" s="1" t="s">
        <v>29</v>
      </c>
      <c r="L298" s="1" t="s">
        <v>50</v>
      </c>
      <c r="M298" s="1" t="s">
        <v>19</v>
      </c>
      <c r="N298" s="1" t="s">
        <v>14</v>
      </c>
      <c r="O298" t="s">
        <v>15</v>
      </c>
    </row>
    <row r="299" spans="1:15" x14ac:dyDescent="0.25">
      <c r="A299" s="1" t="s">
        <v>473</v>
      </c>
      <c r="B299" s="1" t="s">
        <v>472</v>
      </c>
      <c r="C299" s="3">
        <v>45399.472222222219</v>
      </c>
      <c r="D299" s="4">
        <f t="shared" si="17"/>
        <v>45399</v>
      </c>
      <c r="E299" s="6">
        <v>12.9944444444409</v>
      </c>
      <c r="F299" s="6" t="str" cm="1">
        <f t="array" ref="F299">_xlfn.IFS(
     AND(HOUR(session_data[[#This Row],[Time]])&gt;5,HOUR(session_data[[#This Row],[Time]])&lt;12),"Morning",
     AND(HOUR(session_data[[#This Row],[Time]])&gt;=12,HOUR(session_data[[#This Row],[Time]])&lt;17),"Afternoon",
     AND(HOUR(session_data[[#This Row],[Time]])&gt;=17,HOUR(session_data[[#This Row],[Time]])&lt;21),"Evening",
     TRUE,"Night"
)</f>
        <v>Night</v>
      </c>
      <c r="G299" s="1">
        <f t="shared" si="18"/>
        <v>2024</v>
      </c>
      <c r="H299" s="1" t="str">
        <f t="shared" si="19"/>
        <v>Apr</v>
      </c>
      <c r="I299" s="1" t="str">
        <f t="shared" si="16"/>
        <v>Wed</v>
      </c>
      <c r="J299" s="1" t="s">
        <v>11</v>
      </c>
      <c r="K299" s="1" t="s">
        <v>29</v>
      </c>
      <c r="L299" s="1" t="s">
        <v>50</v>
      </c>
      <c r="M299" s="1" t="s">
        <v>19</v>
      </c>
      <c r="N299" s="1" t="s">
        <v>22</v>
      </c>
      <c r="O299" t="s">
        <v>15</v>
      </c>
    </row>
    <row r="300" spans="1:15" x14ac:dyDescent="0.25">
      <c r="A300" s="1" t="s">
        <v>474</v>
      </c>
      <c r="B300" s="1" t="s">
        <v>475</v>
      </c>
      <c r="C300" s="3">
        <v>45457.72152777778</v>
      </c>
      <c r="D300" s="4">
        <f t="shared" si="17"/>
        <v>45457</v>
      </c>
      <c r="E300" s="6">
        <v>13.0361111111076</v>
      </c>
      <c r="F300" s="6" t="str" cm="1">
        <f t="array" ref="F300">_xlfn.IFS(
     AND(HOUR(session_data[[#This Row],[Time]])&gt;5,HOUR(session_data[[#This Row],[Time]])&lt;12),"Morning",
     AND(HOUR(session_data[[#This Row],[Time]])&gt;=12,HOUR(session_data[[#This Row],[Time]])&lt;17),"Afternoon",
     AND(HOUR(session_data[[#This Row],[Time]])&gt;=17,HOUR(session_data[[#This Row],[Time]])&lt;21),"Evening",
     TRUE,"Night"
)</f>
        <v>Night</v>
      </c>
      <c r="G300" s="1">
        <f t="shared" si="18"/>
        <v>2024</v>
      </c>
      <c r="H300" s="1" t="str">
        <f t="shared" si="19"/>
        <v>Jun</v>
      </c>
      <c r="I300" s="1" t="str">
        <f t="shared" si="16"/>
        <v>Fri</v>
      </c>
      <c r="J300" s="1" t="s">
        <v>66</v>
      </c>
      <c r="K300" s="1" t="s">
        <v>36</v>
      </c>
      <c r="L300" s="1" t="s">
        <v>79</v>
      </c>
      <c r="M300" s="1" t="s">
        <v>40</v>
      </c>
      <c r="N300" s="1" t="s">
        <v>14</v>
      </c>
      <c r="O300" t="s">
        <v>45</v>
      </c>
    </row>
    <row r="301" spans="1:15" x14ac:dyDescent="0.25">
      <c r="A301" s="1" t="s">
        <v>476</v>
      </c>
      <c r="B301" s="1" t="s">
        <v>477</v>
      </c>
      <c r="C301" s="3">
        <v>45307.396527777775</v>
      </c>
      <c r="D301" s="4">
        <f t="shared" si="17"/>
        <v>45307</v>
      </c>
      <c r="E301" s="6">
        <v>13.0777777777742</v>
      </c>
      <c r="F301" s="6" t="str" cm="1">
        <f t="array" ref="F301">_xlfn.IFS(
     AND(HOUR(session_data[[#This Row],[Time]])&gt;5,HOUR(session_data[[#This Row],[Time]])&lt;12),"Morning",
     AND(HOUR(session_data[[#This Row],[Time]])&gt;=12,HOUR(session_data[[#This Row],[Time]])&lt;17),"Afternoon",
     AND(HOUR(session_data[[#This Row],[Time]])&gt;=17,HOUR(session_data[[#This Row],[Time]])&lt;21),"Evening",
     TRUE,"Night"
)</f>
        <v>Night</v>
      </c>
      <c r="G301" s="1">
        <f t="shared" si="18"/>
        <v>2024</v>
      </c>
      <c r="H301" s="1" t="str">
        <f t="shared" si="19"/>
        <v>Jan</v>
      </c>
      <c r="I301" s="1" t="str">
        <f t="shared" si="16"/>
        <v>Tue</v>
      </c>
      <c r="J301" s="1" t="s">
        <v>28</v>
      </c>
      <c r="K301" s="1" t="s">
        <v>12</v>
      </c>
      <c r="L301" s="1" t="s">
        <v>119</v>
      </c>
      <c r="M301" s="1" t="s">
        <v>40</v>
      </c>
      <c r="N301" s="1" t="s">
        <v>14</v>
      </c>
      <c r="O301" t="s">
        <v>45</v>
      </c>
    </row>
    <row r="302" spans="1:15" x14ac:dyDescent="0.25">
      <c r="A302" s="1" t="s">
        <v>478</v>
      </c>
      <c r="B302" s="1" t="s">
        <v>479</v>
      </c>
      <c r="C302" s="2">
        <v>45515.411111111112</v>
      </c>
      <c r="D302" s="4">
        <f t="shared" si="17"/>
        <v>45515</v>
      </c>
      <c r="E302" s="6">
        <v>13.1194444444409</v>
      </c>
      <c r="F302" s="6" t="str" cm="1">
        <f t="array" ref="F302">_xlfn.IFS(
     AND(HOUR(session_data[[#This Row],[Time]])&gt;5,HOUR(session_data[[#This Row],[Time]])&lt;12),"Morning",
     AND(HOUR(session_data[[#This Row],[Time]])&gt;=12,HOUR(session_data[[#This Row],[Time]])&lt;17),"Afternoon",
     AND(HOUR(session_data[[#This Row],[Time]])&gt;=17,HOUR(session_data[[#This Row],[Time]])&lt;21),"Evening",
     TRUE,"Night"
)</f>
        <v>Night</v>
      </c>
      <c r="G302" s="1">
        <f t="shared" si="18"/>
        <v>2024</v>
      </c>
      <c r="H302" s="1" t="str">
        <f t="shared" si="19"/>
        <v>Aug</v>
      </c>
      <c r="I302" s="1" t="str">
        <f t="shared" si="16"/>
        <v>Sun</v>
      </c>
      <c r="J302" s="1" t="s">
        <v>18</v>
      </c>
      <c r="K302" s="1" t="s">
        <v>12</v>
      </c>
      <c r="L302" s="1" t="s">
        <v>59</v>
      </c>
      <c r="M302" s="1" t="s">
        <v>19</v>
      </c>
      <c r="N302" s="1" t="s">
        <v>14</v>
      </c>
      <c r="O302" t="s">
        <v>15</v>
      </c>
    </row>
    <row r="303" spans="1:15" x14ac:dyDescent="0.25">
      <c r="A303" s="1" t="s">
        <v>480</v>
      </c>
      <c r="B303" s="1" t="s">
        <v>481</v>
      </c>
      <c r="C303" s="2">
        <v>45421.199305555558</v>
      </c>
      <c r="D303" s="4">
        <f t="shared" si="17"/>
        <v>45421</v>
      </c>
      <c r="E303" s="6">
        <v>13.1611111111076</v>
      </c>
      <c r="F303" s="6" t="str" cm="1">
        <f t="array" ref="F303">_xlfn.IFS(
     AND(HOUR(session_data[[#This Row],[Time]])&gt;5,HOUR(session_data[[#This Row],[Time]])&lt;12),"Morning",
     AND(HOUR(session_data[[#This Row],[Time]])&gt;=12,HOUR(session_data[[#This Row],[Time]])&lt;17),"Afternoon",
     AND(HOUR(session_data[[#This Row],[Time]])&gt;=17,HOUR(session_data[[#This Row],[Time]])&lt;21),"Evening",
     TRUE,"Night"
)</f>
        <v>Night</v>
      </c>
      <c r="G303" s="1">
        <f t="shared" si="18"/>
        <v>2024</v>
      </c>
      <c r="H303" s="1" t="str">
        <f t="shared" si="19"/>
        <v>May</v>
      </c>
      <c r="I303" s="1" t="str">
        <f t="shared" si="16"/>
        <v>Thu</v>
      </c>
      <c r="J303" s="1" t="s">
        <v>28</v>
      </c>
      <c r="K303" s="1" t="s">
        <v>12</v>
      </c>
      <c r="L303" s="1" t="s">
        <v>13</v>
      </c>
      <c r="M303" s="1" t="s">
        <v>32</v>
      </c>
      <c r="N303" s="1" t="s">
        <v>14</v>
      </c>
      <c r="O303" t="s">
        <v>15</v>
      </c>
    </row>
    <row r="304" spans="1:15" x14ac:dyDescent="0.25">
      <c r="A304" s="1" t="s">
        <v>482</v>
      </c>
      <c r="B304" s="1" t="s">
        <v>481</v>
      </c>
      <c r="C304" s="3">
        <v>45561.657638888886</v>
      </c>
      <c r="D304" s="4">
        <f t="shared" si="17"/>
        <v>45561</v>
      </c>
      <c r="E304" s="6">
        <v>13.2027777777742</v>
      </c>
      <c r="F304" s="6" t="str" cm="1">
        <f t="array" ref="F304">_xlfn.IFS(
     AND(HOUR(session_data[[#This Row],[Time]])&gt;5,HOUR(session_data[[#This Row],[Time]])&lt;12),"Morning",
     AND(HOUR(session_data[[#This Row],[Time]])&gt;=12,HOUR(session_data[[#This Row],[Time]])&lt;17),"Afternoon",
     AND(HOUR(session_data[[#This Row],[Time]])&gt;=17,HOUR(session_data[[#This Row],[Time]])&lt;21),"Evening",
     TRUE,"Night"
)</f>
        <v>Night</v>
      </c>
      <c r="G304" s="1">
        <f t="shared" si="18"/>
        <v>2024</v>
      </c>
      <c r="H304" s="1" t="str">
        <f t="shared" si="19"/>
        <v>Sep</v>
      </c>
      <c r="I304" s="1" t="str">
        <f t="shared" si="16"/>
        <v>Thu</v>
      </c>
      <c r="J304" s="1" t="s">
        <v>28</v>
      </c>
      <c r="K304" s="1" t="s">
        <v>12</v>
      </c>
      <c r="L304" s="1" t="s">
        <v>13</v>
      </c>
      <c r="M304" s="1" t="s">
        <v>32</v>
      </c>
      <c r="N304" s="1" t="s">
        <v>22</v>
      </c>
      <c r="O304" t="s">
        <v>15</v>
      </c>
    </row>
    <row r="305" spans="1:15" x14ac:dyDescent="0.25">
      <c r="A305" s="1" t="s">
        <v>483</v>
      </c>
      <c r="B305" s="1" t="s">
        <v>484</v>
      </c>
      <c r="C305" s="3">
        <v>45408.929861111108</v>
      </c>
      <c r="D305" s="4">
        <f t="shared" si="17"/>
        <v>45408</v>
      </c>
      <c r="E305" s="6">
        <v>13.2444444444409</v>
      </c>
      <c r="F305" s="6" t="str" cm="1">
        <f t="array" ref="F305">_xlfn.IFS(
     AND(HOUR(session_data[[#This Row],[Time]])&gt;5,HOUR(session_data[[#This Row],[Time]])&lt;12),"Morning",
     AND(HOUR(session_data[[#This Row],[Time]])&gt;=12,HOUR(session_data[[#This Row],[Time]])&lt;17),"Afternoon",
     AND(HOUR(session_data[[#This Row],[Time]])&gt;=17,HOUR(session_data[[#This Row],[Time]])&lt;21),"Evening",
     TRUE,"Night"
)</f>
        <v>Night</v>
      </c>
      <c r="G305" s="1">
        <f t="shared" si="18"/>
        <v>2024</v>
      </c>
      <c r="H305" s="1" t="str">
        <f t="shared" si="19"/>
        <v>Apr</v>
      </c>
      <c r="I305" s="1" t="str">
        <f t="shared" si="16"/>
        <v>Fri</v>
      </c>
      <c r="J305" s="1" t="s">
        <v>11</v>
      </c>
      <c r="K305" s="1" t="s">
        <v>12</v>
      </c>
      <c r="L305" s="1" t="s">
        <v>30</v>
      </c>
      <c r="M305" s="1" t="s">
        <v>32</v>
      </c>
      <c r="N305" s="1" t="s">
        <v>14</v>
      </c>
      <c r="O305" t="s">
        <v>45</v>
      </c>
    </row>
    <row r="306" spans="1:15" x14ac:dyDescent="0.25">
      <c r="A306" s="1" t="s">
        <v>485</v>
      </c>
      <c r="B306" s="1" t="s">
        <v>484</v>
      </c>
      <c r="C306" s="3">
        <v>45442.804861111108</v>
      </c>
      <c r="D306" s="4">
        <f t="shared" si="17"/>
        <v>45442</v>
      </c>
      <c r="E306" s="6">
        <v>13.2861111111076</v>
      </c>
      <c r="F306" s="6" t="str" cm="1">
        <f t="array" ref="F306">_xlfn.IFS(
     AND(HOUR(session_data[[#This Row],[Time]])&gt;5,HOUR(session_data[[#This Row],[Time]])&lt;12),"Morning",
     AND(HOUR(session_data[[#This Row],[Time]])&gt;=12,HOUR(session_data[[#This Row],[Time]])&lt;17),"Afternoon",
     AND(HOUR(session_data[[#This Row],[Time]])&gt;=17,HOUR(session_data[[#This Row],[Time]])&lt;21),"Evening",
     TRUE,"Night"
)</f>
        <v>Morning</v>
      </c>
      <c r="G306" s="1">
        <f t="shared" si="18"/>
        <v>2024</v>
      </c>
      <c r="H306" s="1" t="str">
        <f t="shared" si="19"/>
        <v>May</v>
      </c>
      <c r="I306" s="1" t="str">
        <f t="shared" si="16"/>
        <v>Thu</v>
      </c>
      <c r="J306" s="1" t="s">
        <v>11</v>
      </c>
      <c r="K306" s="1" t="s">
        <v>12</v>
      </c>
      <c r="L306" s="1" t="s">
        <v>30</v>
      </c>
      <c r="M306" s="1" t="s">
        <v>32</v>
      </c>
      <c r="N306" s="1" t="s">
        <v>22</v>
      </c>
      <c r="O306" t="s">
        <v>45</v>
      </c>
    </row>
    <row r="307" spans="1:15" x14ac:dyDescent="0.25">
      <c r="A307" s="1" t="s">
        <v>486</v>
      </c>
      <c r="B307" s="1" t="s">
        <v>487</v>
      </c>
      <c r="C307" s="3">
        <v>45307.318749999999</v>
      </c>
      <c r="D307" s="4">
        <f t="shared" si="17"/>
        <v>45307</v>
      </c>
      <c r="E307" s="6">
        <v>13.3277777777742</v>
      </c>
      <c r="F307" s="6" t="str" cm="1">
        <f t="array" ref="F307">_xlfn.IFS(
     AND(HOUR(session_data[[#This Row],[Time]])&gt;5,HOUR(session_data[[#This Row],[Time]])&lt;12),"Morning",
     AND(HOUR(session_data[[#This Row],[Time]])&gt;=12,HOUR(session_data[[#This Row],[Time]])&lt;17),"Afternoon",
     AND(HOUR(session_data[[#This Row],[Time]])&gt;=17,HOUR(session_data[[#This Row],[Time]])&lt;21),"Evening",
     TRUE,"Night"
)</f>
        <v>Morning</v>
      </c>
      <c r="G307" s="1">
        <f t="shared" si="18"/>
        <v>2024</v>
      </c>
      <c r="H307" s="1" t="str">
        <f t="shared" si="19"/>
        <v>Jan</v>
      </c>
      <c r="I307" s="1" t="str">
        <f t="shared" si="16"/>
        <v>Tue</v>
      </c>
      <c r="J307" s="1" t="s">
        <v>11</v>
      </c>
      <c r="K307" s="1" t="s">
        <v>12</v>
      </c>
      <c r="L307" s="1" t="s">
        <v>20</v>
      </c>
      <c r="M307" s="1" t="s">
        <v>19</v>
      </c>
      <c r="N307" s="1" t="s">
        <v>14</v>
      </c>
      <c r="O307" t="s">
        <v>45</v>
      </c>
    </row>
    <row r="308" spans="1:15" x14ac:dyDescent="0.25">
      <c r="A308" s="1" t="s">
        <v>488</v>
      </c>
      <c r="B308" s="1" t="s">
        <v>489</v>
      </c>
      <c r="C308" s="3">
        <v>45337.476388888892</v>
      </c>
      <c r="D308" s="4">
        <f t="shared" si="17"/>
        <v>45337</v>
      </c>
      <c r="E308" s="6">
        <v>13.3694444444409</v>
      </c>
      <c r="F308" s="6" t="str" cm="1">
        <f t="array" ref="F308">_xlfn.IFS(
     AND(HOUR(session_data[[#This Row],[Time]])&gt;5,HOUR(session_data[[#This Row],[Time]])&lt;12),"Morning",
     AND(HOUR(session_data[[#This Row],[Time]])&gt;=12,HOUR(session_data[[#This Row],[Time]])&lt;17),"Afternoon",
     AND(HOUR(session_data[[#This Row],[Time]])&gt;=17,HOUR(session_data[[#This Row],[Time]])&lt;21),"Evening",
     TRUE,"Night"
)</f>
        <v>Morning</v>
      </c>
      <c r="G308" s="1">
        <f t="shared" si="18"/>
        <v>2024</v>
      </c>
      <c r="H308" s="1" t="str">
        <f t="shared" si="19"/>
        <v>Feb</v>
      </c>
      <c r="I308" s="1" t="str">
        <f t="shared" si="16"/>
        <v>Thu</v>
      </c>
      <c r="J308" s="1" t="s">
        <v>66</v>
      </c>
      <c r="K308" s="1" t="s">
        <v>12</v>
      </c>
      <c r="L308" s="1" t="s">
        <v>13</v>
      </c>
      <c r="M308" s="1" t="s">
        <v>32</v>
      </c>
      <c r="N308" s="1" t="s">
        <v>14</v>
      </c>
      <c r="O308" t="s">
        <v>45</v>
      </c>
    </row>
    <row r="309" spans="1:15" x14ac:dyDescent="0.25">
      <c r="A309" s="1" t="s">
        <v>490</v>
      </c>
      <c r="B309" s="1" t="s">
        <v>491</v>
      </c>
      <c r="C309" s="3">
        <v>45408.711111111108</v>
      </c>
      <c r="D309" s="4">
        <f t="shared" si="17"/>
        <v>45408</v>
      </c>
      <c r="E309" s="6">
        <v>13.4111111111076</v>
      </c>
      <c r="F309" s="6" t="str" cm="1">
        <f t="array" ref="F309">_xlfn.IFS(
     AND(HOUR(session_data[[#This Row],[Time]])&gt;5,HOUR(session_data[[#This Row],[Time]])&lt;12),"Morning",
     AND(HOUR(session_data[[#This Row],[Time]])&gt;=12,HOUR(session_data[[#This Row],[Time]])&lt;17),"Afternoon",
     AND(HOUR(session_data[[#This Row],[Time]])&gt;=17,HOUR(session_data[[#This Row],[Time]])&lt;21),"Evening",
     TRUE,"Night"
)</f>
        <v>Morning</v>
      </c>
      <c r="G309" s="1">
        <f t="shared" si="18"/>
        <v>2024</v>
      </c>
      <c r="H309" s="1" t="str">
        <f t="shared" si="19"/>
        <v>Apr</v>
      </c>
      <c r="I309" s="1" t="str">
        <f t="shared" si="16"/>
        <v>Fri</v>
      </c>
      <c r="J309" s="1" t="s">
        <v>11</v>
      </c>
      <c r="K309" s="1" t="s">
        <v>12</v>
      </c>
      <c r="L309" s="1" t="s">
        <v>30</v>
      </c>
      <c r="M309" s="1" t="s">
        <v>32</v>
      </c>
      <c r="N309" s="1" t="s">
        <v>14</v>
      </c>
      <c r="O309" t="s">
        <v>45</v>
      </c>
    </row>
    <row r="310" spans="1:15" x14ac:dyDescent="0.25">
      <c r="A310" s="1" t="s">
        <v>492</v>
      </c>
      <c r="B310" s="1" t="s">
        <v>491</v>
      </c>
      <c r="C310" s="3">
        <v>45427.37777777778</v>
      </c>
      <c r="D310" s="4">
        <f t="shared" si="17"/>
        <v>45427</v>
      </c>
      <c r="E310" s="6">
        <v>13.4527777777742</v>
      </c>
      <c r="F310" s="6" t="str" cm="1">
        <f t="array" ref="F310">_xlfn.IFS(
     AND(HOUR(session_data[[#This Row],[Time]])&gt;5,HOUR(session_data[[#This Row],[Time]])&lt;12),"Morning",
     AND(HOUR(session_data[[#This Row],[Time]])&gt;=12,HOUR(session_data[[#This Row],[Time]])&lt;17),"Afternoon",
     AND(HOUR(session_data[[#This Row],[Time]])&gt;=17,HOUR(session_data[[#This Row],[Time]])&lt;21),"Evening",
     TRUE,"Night"
)</f>
        <v>Morning</v>
      </c>
      <c r="G310" s="1">
        <f t="shared" si="18"/>
        <v>2024</v>
      </c>
      <c r="H310" s="1" t="str">
        <f t="shared" si="19"/>
        <v>May</v>
      </c>
      <c r="I310" s="1" t="str">
        <f t="shared" si="16"/>
        <v>Wed</v>
      </c>
      <c r="J310" s="1" t="s">
        <v>11</v>
      </c>
      <c r="K310" s="1" t="s">
        <v>12</v>
      </c>
      <c r="L310" s="1" t="s">
        <v>30</v>
      </c>
      <c r="M310" s="1" t="s">
        <v>32</v>
      </c>
      <c r="N310" s="1" t="s">
        <v>22</v>
      </c>
      <c r="O310" t="s">
        <v>45</v>
      </c>
    </row>
    <row r="311" spans="1:15" x14ac:dyDescent="0.25">
      <c r="A311" s="1" t="s">
        <v>493</v>
      </c>
      <c r="B311" s="1" t="s">
        <v>491</v>
      </c>
      <c r="C311" s="2">
        <v>45602.75277777778</v>
      </c>
      <c r="D311" s="4">
        <f t="shared" si="17"/>
        <v>45602</v>
      </c>
      <c r="E311" s="6">
        <v>13.4944444444409</v>
      </c>
      <c r="F311" s="6" t="str" cm="1">
        <f t="array" ref="F311">_xlfn.IFS(
     AND(HOUR(session_data[[#This Row],[Time]])&gt;5,HOUR(session_data[[#This Row],[Time]])&lt;12),"Morning",
     AND(HOUR(session_data[[#This Row],[Time]])&gt;=12,HOUR(session_data[[#This Row],[Time]])&lt;17),"Afternoon",
     AND(HOUR(session_data[[#This Row],[Time]])&gt;=17,HOUR(session_data[[#This Row],[Time]])&lt;21),"Evening",
     TRUE,"Night"
)</f>
        <v>Morning</v>
      </c>
      <c r="G311" s="1">
        <f t="shared" si="18"/>
        <v>2024</v>
      </c>
      <c r="H311" s="1" t="str">
        <f t="shared" si="19"/>
        <v>Nov</v>
      </c>
      <c r="I311" s="1" t="str">
        <f t="shared" si="16"/>
        <v>Wed</v>
      </c>
      <c r="J311" s="1" t="s">
        <v>11</v>
      </c>
      <c r="K311" s="1" t="s">
        <v>12</v>
      </c>
      <c r="L311" s="1" t="s">
        <v>30</v>
      </c>
      <c r="M311" s="1" t="s">
        <v>32</v>
      </c>
      <c r="N311" s="1" t="s">
        <v>22</v>
      </c>
      <c r="O311" t="s">
        <v>45</v>
      </c>
    </row>
    <row r="312" spans="1:15" x14ac:dyDescent="0.25">
      <c r="A312" s="1" t="s">
        <v>494</v>
      </c>
      <c r="B312" s="1" t="s">
        <v>491</v>
      </c>
      <c r="C312" s="2">
        <v>45633.961111111108</v>
      </c>
      <c r="D312" s="4">
        <f t="shared" si="17"/>
        <v>45633</v>
      </c>
      <c r="E312" s="6">
        <v>13.5361111111076</v>
      </c>
      <c r="F312" s="6" t="str" cm="1">
        <f t="array" ref="F312">_xlfn.IFS(
     AND(HOUR(session_data[[#This Row],[Time]])&gt;5,HOUR(session_data[[#This Row],[Time]])&lt;12),"Morning",
     AND(HOUR(session_data[[#This Row],[Time]])&gt;=12,HOUR(session_data[[#This Row],[Time]])&lt;17),"Afternoon",
     AND(HOUR(session_data[[#This Row],[Time]])&gt;=17,HOUR(session_data[[#This Row],[Time]])&lt;21),"Evening",
     TRUE,"Night"
)</f>
        <v>Afternoon</v>
      </c>
      <c r="G312" s="1">
        <f t="shared" si="18"/>
        <v>2024</v>
      </c>
      <c r="H312" s="1" t="str">
        <f t="shared" si="19"/>
        <v>Dec</v>
      </c>
      <c r="I312" s="1" t="str">
        <f t="shared" si="16"/>
        <v>Sat</v>
      </c>
      <c r="J312" s="1" t="s">
        <v>11</v>
      </c>
      <c r="K312" s="1" t="s">
        <v>12</v>
      </c>
      <c r="L312" s="1" t="s">
        <v>30</v>
      </c>
      <c r="M312" s="1" t="s">
        <v>32</v>
      </c>
      <c r="N312" s="1" t="s">
        <v>22</v>
      </c>
      <c r="O312" t="s">
        <v>45</v>
      </c>
    </row>
    <row r="313" spans="1:15" x14ac:dyDescent="0.25">
      <c r="A313" s="1" t="s">
        <v>495</v>
      </c>
      <c r="B313" s="1" t="s">
        <v>496</v>
      </c>
      <c r="C313" s="3">
        <v>45527.611805555556</v>
      </c>
      <c r="D313" s="4">
        <f t="shared" si="17"/>
        <v>45527</v>
      </c>
      <c r="E313" s="6">
        <v>13.5777777777742</v>
      </c>
      <c r="F313" s="6" t="str" cm="1">
        <f t="array" ref="F313">_xlfn.IFS(
     AND(HOUR(session_data[[#This Row],[Time]])&gt;5,HOUR(session_data[[#This Row],[Time]])&lt;12),"Morning",
     AND(HOUR(session_data[[#This Row],[Time]])&gt;=12,HOUR(session_data[[#This Row],[Time]])&lt;17),"Afternoon",
     AND(HOUR(session_data[[#This Row],[Time]])&gt;=17,HOUR(session_data[[#This Row],[Time]])&lt;21),"Evening",
     TRUE,"Night"
)</f>
        <v>Afternoon</v>
      </c>
      <c r="G313" s="1">
        <f t="shared" si="18"/>
        <v>2024</v>
      </c>
      <c r="H313" s="1" t="str">
        <f t="shared" si="19"/>
        <v>Aug</v>
      </c>
      <c r="I313" s="1" t="str">
        <f t="shared" si="16"/>
        <v>Fri</v>
      </c>
      <c r="J313" s="1" t="s">
        <v>66</v>
      </c>
      <c r="K313" s="1" t="s">
        <v>12</v>
      </c>
      <c r="L313" s="1" t="s">
        <v>30</v>
      </c>
      <c r="M313" s="1" t="s">
        <v>32</v>
      </c>
      <c r="N313" s="1" t="s">
        <v>14</v>
      </c>
      <c r="O313" t="s">
        <v>15</v>
      </c>
    </row>
    <row r="314" spans="1:15" x14ac:dyDescent="0.25">
      <c r="A314" s="1" t="s">
        <v>497</v>
      </c>
      <c r="B314" s="1" t="s">
        <v>498</v>
      </c>
      <c r="C314" s="3">
        <v>45278.117361111108</v>
      </c>
      <c r="D314" s="4">
        <f t="shared" si="17"/>
        <v>45278</v>
      </c>
      <c r="E314" s="6">
        <v>13.6194444444409</v>
      </c>
      <c r="F314" s="6" t="str" cm="1">
        <f t="array" ref="F314">_xlfn.IFS(
     AND(HOUR(session_data[[#This Row],[Time]])&gt;5,HOUR(session_data[[#This Row],[Time]])&lt;12),"Morning",
     AND(HOUR(session_data[[#This Row],[Time]])&gt;=12,HOUR(session_data[[#This Row],[Time]])&lt;17),"Afternoon",
     AND(HOUR(session_data[[#This Row],[Time]])&gt;=17,HOUR(session_data[[#This Row],[Time]])&lt;21),"Evening",
     TRUE,"Night"
)</f>
        <v>Afternoon</v>
      </c>
      <c r="G314" s="1">
        <f t="shared" si="18"/>
        <v>2023</v>
      </c>
      <c r="H314" s="1" t="str">
        <f t="shared" si="19"/>
        <v>Dec</v>
      </c>
      <c r="I314" s="1" t="str">
        <f t="shared" si="16"/>
        <v>Mon</v>
      </c>
      <c r="J314" s="1" t="s">
        <v>11</v>
      </c>
      <c r="K314" s="1" t="s">
        <v>29</v>
      </c>
      <c r="L314" s="1" t="s">
        <v>79</v>
      </c>
      <c r="M314" s="1" t="s">
        <v>40</v>
      </c>
      <c r="N314" s="1" t="s">
        <v>14</v>
      </c>
      <c r="O314" t="s">
        <v>45</v>
      </c>
    </row>
    <row r="315" spans="1:15" x14ac:dyDescent="0.25">
      <c r="A315" s="1" t="s">
        <v>499</v>
      </c>
      <c r="B315" s="1" t="s">
        <v>500</v>
      </c>
      <c r="C315" s="3">
        <v>45307.102083333331</v>
      </c>
      <c r="D315" s="4">
        <f t="shared" si="17"/>
        <v>45307</v>
      </c>
      <c r="E315" s="6">
        <v>13.6611111111076</v>
      </c>
      <c r="F315" s="6" t="str" cm="1">
        <f t="array" ref="F315">_xlfn.IFS(
     AND(HOUR(session_data[[#This Row],[Time]])&gt;5,HOUR(session_data[[#This Row],[Time]])&lt;12),"Morning",
     AND(HOUR(session_data[[#This Row],[Time]])&gt;=12,HOUR(session_data[[#This Row],[Time]])&lt;17),"Afternoon",
     AND(HOUR(session_data[[#This Row],[Time]])&gt;=17,HOUR(session_data[[#This Row],[Time]])&lt;21),"Evening",
     TRUE,"Night"
)</f>
        <v>Afternoon</v>
      </c>
      <c r="G315" s="1">
        <f t="shared" si="18"/>
        <v>2024</v>
      </c>
      <c r="H315" s="1" t="str">
        <f t="shared" si="19"/>
        <v>Jan</v>
      </c>
      <c r="I315" s="1" t="str">
        <f t="shared" si="16"/>
        <v>Tue</v>
      </c>
      <c r="J315" s="1" t="s">
        <v>44</v>
      </c>
      <c r="K315" s="1" t="s">
        <v>29</v>
      </c>
      <c r="L315" s="1" t="s">
        <v>119</v>
      </c>
      <c r="M315" s="1" t="s">
        <v>40</v>
      </c>
      <c r="N315" s="1" t="s">
        <v>14</v>
      </c>
      <c r="O315" t="s">
        <v>15</v>
      </c>
    </row>
    <row r="316" spans="1:15" x14ac:dyDescent="0.25">
      <c r="A316" s="1" t="s">
        <v>501</v>
      </c>
      <c r="B316" s="1" t="s">
        <v>500</v>
      </c>
      <c r="C316" s="2">
        <v>45537.310416666667</v>
      </c>
      <c r="D316" s="4">
        <f t="shared" si="17"/>
        <v>45537</v>
      </c>
      <c r="E316" s="6">
        <v>13.7027777777742</v>
      </c>
      <c r="F316" s="6" t="str" cm="1">
        <f t="array" ref="F316">_xlfn.IFS(
     AND(HOUR(session_data[[#This Row],[Time]])&gt;5,HOUR(session_data[[#This Row],[Time]])&lt;12),"Morning",
     AND(HOUR(session_data[[#This Row],[Time]])&gt;=12,HOUR(session_data[[#This Row],[Time]])&lt;17),"Afternoon",
     AND(HOUR(session_data[[#This Row],[Time]])&gt;=17,HOUR(session_data[[#This Row],[Time]])&lt;21),"Evening",
     TRUE,"Night"
)</f>
        <v>Afternoon</v>
      </c>
      <c r="G316" s="1">
        <f t="shared" si="18"/>
        <v>2024</v>
      </c>
      <c r="H316" s="1" t="str">
        <f t="shared" si="19"/>
        <v>Sep</v>
      </c>
      <c r="I316" s="1" t="str">
        <f t="shared" si="16"/>
        <v>Mon</v>
      </c>
      <c r="J316" s="1" t="s">
        <v>44</v>
      </c>
      <c r="K316" s="1" t="s">
        <v>29</v>
      </c>
      <c r="L316" s="1" t="s">
        <v>119</v>
      </c>
      <c r="M316" s="1" t="s">
        <v>40</v>
      </c>
      <c r="N316" s="1" t="s">
        <v>22</v>
      </c>
      <c r="O316" t="s">
        <v>15</v>
      </c>
    </row>
    <row r="317" spans="1:15" x14ac:dyDescent="0.25">
      <c r="A317" s="1" t="s">
        <v>502</v>
      </c>
      <c r="B317" s="1" t="s">
        <v>503</v>
      </c>
      <c r="C317" s="3">
        <v>45582.027777777781</v>
      </c>
      <c r="D317" s="4">
        <f t="shared" si="17"/>
        <v>45582</v>
      </c>
      <c r="E317" s="6">
        <v>13.7444444444409</v>
      </c>
      <c r="F317" s="6" t="str" cm="1">
        <f t="array" ref="F317">_xlfn.IFS(
     AND(HOUR(session_data[[#This Row],[Time]])&gt;5,HOUR(session_data[[#This Row],[Time]])&lt;12),"Morning",
     AND(HOUR(session_data[[#This Row],[Time]])&gt;=12,HOUR(session_data[[#This Row],[Time]])&lt;17),"Afternoon",
     AND(HOUR(session_data[[#This Row],[Time]])&gt;=17,HOUR(session_data[[#This Row],[Time]])&lt;21),"Evening",
     TRUE,"Night"
)</f>
        <v>Evening</v>
      </c>
      <c r="G317" s="1">
        <f t="shared" si="18"/>
        <v>2024</v>
      </c>
      <c r="H317" s="1" t="str">
        <f t="shared" si="19"/>
        <v>Oct</v>
      </c>
      <c r="I317" s="1" t="str">
        <f t="shared" si="16"/>
        <v>Thu</v>
      </c>
      <c r="J317" s="1" t="s">
        <v>11</v>
      </c>
      <c r="K317" s="1" t="s">
        <v>29</v>
      </c>
      <c r="L317" s="1" t="s">
        <v>20</v>
      </c>
      <c r="M317" s="1" t="s">
        <v>19</v>
      </c>
      <c r="N317" s="1" t="s">
        <v>14</v>
      </c>
      <c r="O317" t="s">
        <v>45</v>
      </c>
    </row>
    <row r="318" spans="1:15" x14ac:dyDescent="0.25">
      <c r="A318" s="1" t="s">
        <v>504</v>
      </c>
      <c r="B318" s="1" t="s">
        <v>503</v>
      </c>
      <c r="C318" s="2">
        <v>45333.361111111109</v>
      </c>
      <c r="D318" s="4">
        <f t="shared" si="17"/>
        <v>45333</v>
      </c>
      <c r="E318" s="6">
        <v>13.7861111111076</v>
      </c>
      <c r="F318" s="6" t="str" cm="1">
        <f t="array" ref="F318">_xlfn.IFS(
     AND(HOUR(session_data[[#This Row],[Time]])&gt;5,HOUR(session_data[[#This Row],[Time]])&lt;12),"Morning",
     AND(HOUR(session_data[[#This Row],[Time]])&gt;=12,HOUR(session_data[[#This Row],[Time]])&lt;17),"Afternoon",
     AND(HOUR(session_data[[#This Row],[Time]])&gt;=17,HOUR(session_data[[#This Row],[Time]])&lt;21),"Evening",
     TRUE,"Night"
)</f>
        <v>Evening</v>
      </c>
      <c r="G318" s="1">
        <f t="shared" si="18"/>
        <v>2024</v>
      </c>
      <c r="H318" s="1" t="str">
        <f t="shared" si="19"/>
        <v>Feb</v>
      </c>
      <c r="I318" s="1" t="str">
        <f t="shared" si="16"/>
        <v>Sun</v>
      </c>
      <c r="J318" s="1" t="s">
        <v>11</v>
      </c>
      <c r="K318" s="1" t="s">
        <v>29</v>
      </c>
      <c r="L318" s="1" t="s">
        <v>20</v>
      </c>
      <c r="M318" s="1" t="s">
        <v>19</v>
      </c>
      <c r="N318" s="1" t="s">
        <v>22</v>
      </c>
      <c r="O318" t="s">
        <v>45</v>
      </c>
    </row>
    <row r="319" spans="1:15" x14ac:dyDescent="0.25">
      <c r="A319" s="1" t="s">
        <v>505</v>
      </c>
      <c r="B319" s="1" t="s">
        <v>503</v>
      </c>
      <c r="C319" s="2">
        <v>45424.819444444445</v>
      </c>
      <c r="D319" s="4">
        <f t="shared" si="17"/>
        <v>45424</v>
      </c>
      <c r="E319" s="6">
        <v>13.8277777777742</v>
      </c>
      <c r="F319" s="6" t="str" cm="1">
        <f t="array" ref="F319">_xlfn.IFS(
     AND(HOUR(session_data[[#This Row],[Time]])&gt;5,HOUR(session_data[[#This Row],[Time]])&lt;12),"Morning",
     AND(HOUR(session_data[[#This Row],[Time]])&gt;=12,HOUR(session_data[[#This Row],[Time]])&lt;17),"Afternoon",
     AND(HOUR(session_data[[#This Row],[Time]])&gt;=17,HOUR(session_data[[#This Row],[Time]])&lt;21),"Evening",
     TRUE,"Night"
)</f>
        <v>Evening</v>
      </c>
      <c r="G319" s="1">
        <f t="shared" si="18"/>
        <v>2024</v>
      </c>
      <c r="H319" s="1" t="str">
        <f t="shared" si="19"/>
        <v>May</v>
      </c>
      <c r="I319" s="1" t="str">
        <f t="shared" si="16"/>
        <v>Sun</v>
      </c>
      <c r="J319" s="1" t="s">
        <v>11</v>
      </c>
      <c r="K319" s="1" t="s">
        <v>29</v>
      </c>
      <c r="L319" s="1" t="s">
        <v>20</v>
      </c>
      <c r="M319" s="1" t="s">
        <v>19</v>
      </c>
      <c r="N319" s="1" t="s">
        <v>22</v>
      </c>
      <c r="O319" t="s">
        <v>45</v>
      </c>
    </row>
    <row r="320" spans="1:15" x14ac:dyDescent="0.25">
      <c r="A320" s="1" t="s">
        <v>506</v>
      </c>
      <c r="B320" s="1" t="s">
        <v>503</v>
      </c>
      <c r="C320" s="3">
        <v>45649.027777777781</v>
      </c>
      <c r="D320" s="4">
        <f t="shared" si="17"/>
        <v>45649</v>
      </c>
      <c r="E320" s="6">
        <v>13.8694444444409</v>
      </c>
      <c r="F320" s="6" t="str" cm="1">
        <f t="array" ref="F320">_xlfn.IFS(
     AND(HOUR(session_data[[#This Row],[Time]])&gt;5,HOUR(session_data[[#This Row],[Time]])&lt;12),"Morning",
     AND(HOUR(session_data[[#This Row],[Time]])&gt;=12,HOUR(session_data[[#This Row],[Time]])&lt;17),"Afternoon",
     AND(HOUR(session_data[[#This Row],[Time]])&gt;=17,HOUR(session_data[[#This Row],[Time]])&lt;21),"Evening",
     TRUE,"Night"
)</f>
        <v>Evening</v>
      </c>
      <c r="G320" s="1">
        <f t="shared" si="18"/>
        <v>2024</v>
      </c>
      <c r="H320" s="1" t="str">
        <f t="shared" si="19"/>
        <v>Dec</v>
      </c>
      <c r="I320" s="1" t="str">
        <f t="shared" si="16"/>
        <v>Mon</v>
      </c>
      <c r="J320" s="1" t="s">
        <v>11</v>
      </c>
      <c r="K320" s="1" t="s">
        <v>29</v>
      </c>
      <c r="L320" s="1" t="s">
        <v>20</v>
      </c>
      <c r="M320" s="1" t="s">
        <v>19</v>
      </c>
      <c r="N320" s="1" t="s">
        <v>22</v>
      </c>
      <c r="O320" t="s">
        <v>45</v>
      </c>
    </row>
    <row r="321" spans="1:15" x14ac:dyDescent="0.25">
      <c r="A321" s="1" t="s">
        <v>507</v>
      </c>
      <c r="B321" s="1" t="s">
        <v>503</v>
      </c>
      <c r="C321" s="2">
        <v>45139.194444444445</v>
      </c>
      <c r="D321" s="4">
        <f t="shared" si="17"/>
        <v>45139</v>
      </c>
      <c r="E321" s="6">
        <v>13.9111111111076</v>
      </c>
      <c r="F321" s="6" t="str" cm="1">
        <f t="array" ref="F321">_xlfn.IFS(
     AND(HOUR(session_data[[#This Row],[Time]])&gt;5,HOUR(session_data[[#This Row],[Time]])&lt;12),"Morning",
     AND(HOUR(session_data[[#This Row],[Time]])&gt;=12,HOUR(session_data[[#This Row],[Time]])&lt;17),"Afternoon",
     AND(HOUR(session_data[[#This Row],[Time]])&gt;=17,HOUR(session_data[[#This Row],[Time]])&lt;21),"Evening",
     TRUE,"Night"
)</f>
        <v>Night</v>
      </c>
      <c r="G321" s="1">
        <f t="shared" si="18"/>
        <v>2023</v>
      </c>
      <c r="H321" s="1" t="str">
        <f t="shared" si="19"/>
        <v>Aug</v>
      </c>
      <c r="I321" s="1" t="str">
        <f t="shared" si="16"/>
        <v>Tue</v>
      </c>
      <c r="J321" s="1" t="s">
        <v>11</v>
      </c>
      <c r="K321" s="1" t="s">
        <v>29</v>
      </c>
      <c r="L321" s="1" t="s">
        <v>20</v>
      </c>
      <c r="M321" s="1" t="s">
        <v>19</v>
      </c>
      <c r="N321" s="1" t="s">
        <v>22</v>
      </c>
      <c r="O321" t="s">
        <v>45</v>
      </c>
    </row>
    <row r="322" spans="1:15" x14ac:dyDescent="0.25">
      <c r="A322" s="1" t="s">
        <v>508</v>
      </c>
      <c r="B322" s="1" t="s">
        <v>509</v>
      </c>
      <c r="C322" s="3">
        <v>45337.399305555555</v>
      </c>
      <c r="D322" s="4">
        <f t="shared" si="17"/>
        <v>45337</v>
      </c>
      <c r="E322" s="6">
        <v>13.9527777777742</v>
      </c>
      <c r="F322" s="6" t="str" cm="1">
        <f t="array" ref="F322">_xlfn.IFS(
     AND(HOUR(session_data[[#This Row],[Time]])&gt;5,HOUR(session_data[[#This Row],[Time]])&lt;12),"Morning",
     AND(HOUR(session_data[[#This Row],[Time]])&gt;=12,HOUR(session_data[[#This Row],[Time]])&lt;17),"Afternoon",
     AND(HOUR(session_data[[#This Row],[Time]])&gt;=17,HOUR(session_data[[#This Row],[Time]])&lt;21),"Evening",
     TRUE,"Night"
)</f>
        <v>Night</v>
      </c>
      <c r="G322" s="1">
        <f t="shared" si="18"/>
        <v>2024</v>
      </c>
      <c r="H322" s="1" t="str">
        <f t="shared" si="19"/>
        <v>Feb</v>
      </c>
      <c r="I322" s="1" t="str">
        <f t="shared" ref="I322:I385" si="20">TEXT(D322,"DDD")</f>
        <v>Thu</v>
      </c>
      <c r="J322" s="1" t="s">
        <v>11</v>
      </c>
      <c r="K322" s="1" t="s">
        <v>12</v>
      </c>
      <c r="L322" s="1" t="s">
        <v>119</v>
      </c>
      <c r="M322" s="1" t="s">
        <v>40</v>
      </c>
      <c r="N322" s="1" t="s">
        <v>14</v>
      </c>
      <c r="O322" t="s">
        <v>15</v>
      </c>
    </row>
    <row r="323" spans="1:15" x14ac:dyDescent="0.25">
      <c r="A323" s="1" t="s">
        <v>510</v>
      </c>
      <c r="B323" s="1" t="s">
        <v>511</v>
      </c>
      <c r="C323" s="3">
        <v>45065.219444444447</v>
      </c>
      <c r="D323" s="4">
        <f t="shared" ref="D323:D386" si="21">INT(C323)</f>
        <v>45065</v>
      </c>
      <c r="E323" s="6">
        <v>13.9944444444409</v>
      </c>
      <c r="F323" s="6" t="str" cm="1">
        <f t="array" ref="F323">_xlfn.IFS(
     AND(HOUR(session_data[[#This Row],[Time]])&gt;5,HOUR(session_data[[#This Row],[Time]])&lt;12),"Morning",
     AND(HOUR(session_data[[#This Row],[Time]])&gt;=12,HOUR(session_data[[#This Row],[Time]])&lt;17),"Afternoon",
     AND(HOUR(session_data[[#This Row],[Time]])&gt;=17,HOUR(session_data[[#This Row],[Time]])&lt;21),"Evening",
     TRUE,"Night"
)</f>
        <v>Night</v>
      </c>
      <c r="G323" s="1">
        <f t="shared" ref="G323:G386" si="22">YEAR(D323)</f>
        <v>2023</v>
      </c>
      <c r="H323" s="1" t="str">
        <f t="shared" ref="H323:H386" si="23">TEXT(D323,"MMM")</f>
        <v>May</v>
      </c>
      <c r="I323" s="1" t="str">
        <f t="shared" si="20"/>
        <v>Fri</v>
      </c>
      <c r="J323" s="1" t="s">
        <v>28</v>
      </c>
      <c r="K323" s="1" t="s">
        <v>12</v>
      </c>
      <c r="L323" s="1" t="s">
        <v>50</v>
      </c>
      <c r="M323" s="1" t="s">
        <v>19</v>
      </c>
      <c r="N323" s="1" t="s">
        <v>14</v>
      </c>
      <c r="O323" t="s">
        <v>15</v>
      </c>
    </row>
    <row r="324" spans="1:15" x14ac:dyDescent="0.25">
      <c r="A324" s="1" t="s">
        <v>512</v>
      </c>
      <c r="B324" s="1" t="s">
        <v>511</v>
      </c>
      <c r="C324" s="3">
        <v>45077.261111111111</v>
      </c>
      <c r="D324" s="4">
        <f t="shared" si="21"/>
        <v>45077</v>
      </c>
      <c r="E324" s="6">
        <v>14.0361111111076</v>
      </c>
      <c r="F324" s="6" t="str" cm="1">
        <f t="array" ref="F324">_xlfn.IFS(
     AND(HOUR(session_data[[#This Row],[Time]])&gt;5,HOUR(session_data[[#This Row],[Time]])&lt;12),"Morning",
     AND(HOUR(session_data[[#This Row],[Time]])&gt;=12,HOUR(session_data[[#This Row],[Time]])&lt;17),"Afternoon",
     AND(HOUR(session_data[[#This Row],[Time]])&gt;=17,HOUR(session_data[[#This Row],[Time]])&lt;21),"Evening",
     TRUE,"Night"
)</f>
        <v>Night</v>
      </c>
      <c r="G324" s="1">
        <f t="shared" si="22"/>
        <v>2023</v>
      </c>
      <c r="H324" s="1" t="str">
        <f t="shared" si="23"/>
        <v>May</v>
      </c>
      <c r="I324" s="1" t="str">
        <f t="shared" si="20"/>
        <v>Wed</v>
      </c>
      <c r="J324" s="1" t="s">
        <v>28</v>
      </c>
      <c r="K324" s="1" t="s">
        <v>12</v>
      </c>
      <c r="L324" s="1" t="s">
        <v>50</v>
      </c>
      <c r="M324" s="1" t="s">
        <v>19</v>
      </c>
      <c r="N324" s="1" t="s">
        <v>22</v>
      </c>
      <c r="O324" t="s">
        <v>15</v>
      </c>
    </row>
    <row r="325" spans="1:15" x14ac:dyDescent="0.25">
      <c r="A325" s="1" t="s">
        <v>513</v>
      </c>
      <c r="B325" s="1" t="s">
        <v>511</v>
      </c>
      <c r="C325" s="2">
        <v>45023.761111111111</v>
      </c>
      <c r="D325" s="4">
        <f t="shared" si="21"/>
        <v>45023</v>
      </c>
      <c r="E325" s="6">
        <v>14.0777777777742</v>
      </c>
      <c r="F325" s="6" t="str" cm="1">
        <f t="array" ref="F325">_xlfn.IFS(
     AND(HOUR(session_data[[#This Row],[Time]])&gt;5,HOUR(session_data[[#This Row],[Time]])&lt;12),"Morning",
     AND(HOUR(session_data[[#This Row],[Time]])&gt;=12,HOUR(session_data[[#This Row],[Time]])&lt;17),"Afternoon",
     AND(HOUR(session_data[[#This Row],[Time]])&gt;=17,HOUR(session_data[[#This Row],[Time]])&lt;21),"Evening",
     TRUE,"Night"
)</f>
        <v>Night</v>
      </c>
      <c r="G325" s="1">
        <f t="shared" si="22"/>
        <v>2023</v>
      </c>
      <c r="H325" s="1" t="str">
        <f t="shared" si="23"/>
        <v>Apr</v>
      </c>
      <c r="I325" s="1" t="str">
        <f t="shared" si="20"/>
        <v>Fri</v>
      </c>
      <c r="J325" s="1" t="s">
        <v>28</v>
      </c>
      <c r="K325" s="1" t="s">
        <v>12</v>
      </c>
      <c r="L325" s="1" t="s">
        <v>50</v>
      </c>
      <c r="M325" s="1" t="s">
        <v>19</v>
      </c>
      <c r="N325" s="1" t="s">
        <v>22</v>
      </c>
      <c r="O325" t="s">
        <v>15</v>
      </c>
    </row>
    <row r="326" spans="1:15" x14ac:dyDescent="0.25">
      <c r="A326" s="1" t="s">
        <v>514</v>
      </c>
      <c r="B326" s="1" t="s">
        <v>515</v>
      </c>
      <c r="C326" s="3">
        <v>44574.258333333331</v>
      </c>
      <c r="D326" s="4">
        <f t="shared" si="21"/>
        <v>44574</v>
      </c>
      <c r="E326" s="6">
        <v>14.1194444444409</v>
      </c>
      <c r="F326" s="6" t="str" cm="1">
        <f t="array" ref="F326">_xlfn.IFS(
     AND(HOUR(session_data[[#This Row],[Time]])&gt;5,HOUR(session_data[[#This Row],[Time]])&lt;12),"Morning",
     AND(HOUR(session_data[[#This Row],[Time]])&gt;=12,HOUR(session_data[[#This Row],[Time]])&lt;17),"Afternoon",
     AND(HOUR(session_data[[#This Row],[Time]])&gt;=17,HOUR(session_data[[#This Row],[Time]])&lt;21),"Evening",
     TRUE,"Night"
)</f>
        <v>Night</v>
      </c>
      <c r="G326" s="1">
        <f t="shared" si="22"/>
        <v>2022</v>
      </c>
      <c r="H326" s="1" t="str">
        <f t="shared" si="23"/>
        <v>Jan</v>
      </c>
      <c r="I326" s="1" t="str">
        <f t="shared" si="20"/>
        <v>Thu</v>
      </c>
      <c r="J326" s="1" t="s">
        <v>66</v>
      </c>
      <c r="K326" s="1" t="s">
        <v>12</v>
      </c>
      <c r="L326" s="1" t="s">
        <v>59</v>
      </c>
      <c r="M326" s="1" t="s">
        <v>19</v>
      </c>
      <c r="N326" s="1" t="s">
        <v>14</v>
      </c>
      <c r="O326" t="s">
        <v>45</v>
      </c>
    </row>
    <row r="327" spans="1:15" x14ac:dyDescent="0.25">
      <c r="A327" s="1" t="s">
        <v>516</v>
      </c>
      <c r="B327" s="1" t="s">
        <v>515</v>
      </c>
      <c r="C327" s="3">
        <v>44586.716666666667</v>
      </c>
      <c r="D327" s="4">
        <f t="shared" si="21"/>
        <v>44586</v>
      </c>
      <c r="E327" s="6">
        <v>14.1611111111076</v>
      </c>
      <c r="F327" s="6" t="str" cm="1">
        <f t="array" ref="F327">_xlfn.IFS(
     AND(HOUR(session_data[[#This Row],[Time]])&gt;5,HOUR(session_data[[#This Row],[Time]])&lt;12),"Morning",
     AND(HOUR(session_data[[#This Row],[Time]])&gt;=12,HOUR(session_data[[#This Row],[Time]])&lt;17),"Afternoon",
     AND(HOUR(session_data[[#This Row],[Time]])&gt;=17,HOUR(session_data[[#This Row],[Time]])&lt;21),"Evening",
     TRUE,"Night"
)</f>
        <v>Night</v>
      </c>
      <c r="G327" s="1">
        <f t="shared" si="22"/>
        <v>2022</v>
      </c>
      <c r="H327" s="1" t="str">
        <f t="shared" si="23"/>
        <v>Jan</v>
      </c>
      <c r="I327" s="1" t="str">
        <f t="shared" si="20"/>
        <v>Tue</v>
      </c>
      <c r="J327" s="1" t="s">
        <v>66</v>
      </c>
      <c r="K327" s="1" t="s">
        <v>12</v>
      </c>
      <c r="L327" s="1" t="s">
        <v>59</v>
      </c>
      <c r="M327" s="1" t="s">
        <v>19</v>
      </c>
      <c r="N327" s="1" t="s">
        <v>22</v>
      </c>
      <c r="O327" t="s">
        <v>45</v>
      </c>
    </row>
    <row r="328" spans="1:15" x14ac:dyDescent="0.25">
      <c r="A328" s="1" t="s">
        <v>517</v>
      </c>
      <c r="B328" s="1" t="s">
        <v>515</v>
      </c>
      <c r="C328" s="3">
        <v>44610.925000000003</v>
      </c>
      <c r="D328" s="4">
        <f t="shared" si="21"/>
        <v>44610</v>
      </c>
      <c r="E328" s="6">
        <v>14.2027777777742</v>
      </c>
      <c r="F328" s="6" t="str" cm="1">
        <f t="array" ref="F328">_xlfn.IFS(
     AND(HOUR(session_data[[#This Row],[Time]])&gt;5,HOUR(session_data[[#This Row],[Time]])&lt;12),"Morning",
     AND(HOUR(session_data[[#This Row],[Time]])&gt;=12,HOUR(session_data[[#This Row],[Time]])&lt;17),"Afternoon",
     AND(HOUR(session_data[[#This Row],[Time]])&gt;=17,HOUR(session_data[[#This Row],[Time]])&lt;21),"Evening",
     TRUE,"Night"
)</f>
        <v>Night</v>
      </c>
      <c r="G328" s="1">
        <f t="shared" si="22"/>
        <v>2022</v>
      </c>
      <c r="H328" s="1" t="str">
        <f t="shared" si="23"/>
        <v>Feb</v>
      </c>
      <c r="I328" s="1" t="str">
        <f t="shared" si="20"/>
        <v>Fri</v>
      </c>
      <c r="J328" s="1" t="s">
        <v>66</v>
      </c>
      <c r="K328" s="1" t="s">
        <v>12</v>
      </c>
      <c r="L328" s="1" t="s">
        <v>59</v>
      </c>
      <c r="M328" s="1" t="s">
        <v>19</v>
      </c>
      <c r="N328" s="1" t="s">
        <v>22</v>
      </c>
      <c r="O328" t="s">
        <v>45</v>
      </c>
    </row>
    <row r="329" spans="1:15" x14ac:dyDescent="0.25">
      <c r="A329" s="1" t="s">
        <v>518</v>
      </c>
      <c r="B329" s="1" t="s">
        <v>519</v>
      </c>
      <c r="C329" s="3">
        <v>44635.804861111108</v>
      </c>
      <c r="D329" s="4">
        <f t="shared" si="21"/>
        <v>44635</v>
      </c>
      <c r="E329" s="6">
        <v>14.2444444444409</v>
      </c>
      <c r="F329" s="6" t="str" cm="1">
        <f t="array" ref="F329">_xlfn.IFS(
     AND(HOUR(session_data[[#This Row],[Time]])&gt;5,HOUR(session_data[[#This Row],[Time]])&lt;12),"Morning",
     AND(HOUR(session_data[[#This Row],[Time]])&gt;=12,HOUR(session_data[[#This Row],[Time]])&lt;17),"Afternoon",
     AND(HOUR(session_data[[#This Row],[Time]])&gt;=17,HOUR(session_data[[#This Row],[Time]])&lt;21),"Evening",
     TRUE,"Night"
)</f>
        <v>Night</v>
      </c>
      <c r="G329" s="1">
        <f t="shared" si="22"/>
        <v>2022</v>
      </c>
      <c r="H329" s="1" t="str">
        <f t="shared" si="23"/>
        <v>Mar</v>
      </c>
      <c r="I329" s="1" t="str">
        <f t="shared" si="20"/>
        <v>Tue</v>
      </c>
      <c r="J329" s="1" t="s">
        <v>28</v>
      </c>
      <c r="K329" s="1" t="s">
        <v>12</v>
      </c>
      <c r="L329" s="1" t="s">
        <v>119</v>
      </c>
      <c r="M329" s="1" t="s">
        <v>40</v>
      </c>
      <c r="N329" s="1" t="s">
        <v>14</v>
      </c>
      <c r="O329" t="s">
        <v>45</v>
      </c>
    </row>
    <row r="330" spans="1:15" x14ac:dyDescent="0.25">
      <c r="A330" s="1" t="s">
        <v>520</v>
      </c>
      <c r="B330" s="1" t="s">
        <v>521</v>
      </c>
      <c r="C330" s="3">
        <v>44592.040972222225</v>
      </c>
      <c r="D330" s="4">
        <f t="shared" si="21"/>
        <v>44592</v>
      </c>
      <c r="E330" s="6">
        <v>14.2861111111076</v>
      </c>
      <c r="F330" s="6" t="str" cm="1">
        <f t="array" ref="F330">_xlfn.IFS(
     AND(HOUR(session_data[[#This Row],[Time]])&gt;5,HOUR(session_data[[#This Row],[Time]])&lt;12),"Morning",
     AND(HOUR(session_data[[#This Row],[Time]])&gt;=12,HOUR(session_data[[#This Row],[Time]])&lt;17),"Afternoon",
     AND(HOUR(session_data[[#This Row],[Time]])&gt;=17,HOUR(session_data[[#This Row],[Time]])&lt;21),"Evening",
     TRUE,"Night"
)</f>
        <v>Morning</v>
      </c>
      <c r="G330" s="1">
        <f t="shared" si="22"/>
        <v>2022</v>
      </c>
      <c r="H330" s="1" t="str">
        <f t="shared" si="23"/>
        <v>Jan</v>
      </c>
      <c r="I330" s="1" t="str">
        <f t="shared" si="20"/>
        <v>Mon</v>
      </c>
      <c r="J330" s="1" t="s">
        <v>18</v>
      </c>
      <c r="K330" s="1" t="s">
        <v>29</v>
      </c>
      <c r="L330" s="1" t="s">
        <v>30</v>
      </c>
      <c r="M330" s="1" t="s">
        <v>32</v>
      </c>
      <c r="N330" s="1" t="s">
        <v>14</v>
      </c>
      <c r="O330" t="s">
        <v>15</v>
      </c>
    </row>
    <row r="331" spans="1:15" x14ac:dyDescent="0.25">
      <c r="A331" s="1" t="s">
        <v>522</v>
      </c>
      <c r="B331" s="1" t="s">
        <v>521</v>
      </c>
      <c r="C331" s="3">
        <v>44972.999305555553</v>
      </c>
      <c r="D331" s="4">
        <f t="shared" si="21"/>
        <v>44972</v>
      </c>
      <c r="E331" s="6">
        <v>14.3277777777742</v>
      </c>
      <c r="F331" s="6" t="str" cm="1">
        <f t="array" ref="F331">_xlfn.IFS(
     AND(HOUR(session_data[[#This Row],[Time]])&gt;5,HOUR(session_data[[#This Row],[Time]])&lt;12),"Morning",
     AND(HOUR(session_data[[#This Row],[Time]])&gt;=12,HOUR(session_data[[#This Row],[Time]])&lt;17),"Afternoon",
     AND(HOUR(session_data[[#This Row],[Time]])&gt;=17,HOUR(session_data[[#This Row],[Time]])&lt;21),"Evening",
     TRUE,"Night"
)</f>
        <v>Morning</v>
      </c>
      <c r="G331" s="1">
        <f t="shared" si="22"/>
        <v>2023</v>
      </c>
      <c r="H331" s="1" t="str">
        <f t="shared" si="23"/>
        <v>Feb</v>
      </c>
      <c r="I331" s="1" t="str">
        <f t="shared" si="20"/>
        <v>Wed</v>
      </c>
      <c r="J331" s="1" t="s">
        <v>18</v>
      </c>
      <c r="K331" s="1" t="s">
        <v>29</v>
      </c>
      <c r="L331" s="1" t="s">
        <v>30</v>
      </c>
      <c r="M331" s="1" t="s">
        <v>32</v>
      </c>
      <c r="N331" s="1" t="s">
        <v>22</v>
      </c>
      <c r="O331" t="s">
        <v>15</v>
      </c>
    </row>
    <row r="332" spans="1:15" x14ac:dyDescent="0.25">
      <c r="A332" s="1" t="s">
        <v>523</v>
      </c>
      <c r="B332" s="1" t="s">
        <v>521</v>
      </c>
      <c r="C332" s="2">
        <v>45172.040972222225</v>
      </c>
      <c r="D332" s="4">
        <f t="shared" si="21"/>
        <v>45172</v>
      </c>
      <c r="E332" s="6">
        <v>14.3694444444409</v>
      </c>
      <c r="F332" s="6" t="str" cm="1">
        <f t="array" ref="F332">_xlfn.IFS(
     AND(HOUR(session_data[[#This Row],[Time]])&gt;5,HOUR(session_data[[#This Row],[Time]])&lt;12),"Morning",
     AND(HOUR(session_data[[#This Row],[Time]])&gt;=12,HOUR(session_data[[#This Row],[Time]])&lt;17),"Afternoon",
     AND(HOUR(session_data[[#This Row],[Time]])&gt;=17,HOUR(session_data[[#This Row],[Time]])&lt;21),"Evening",
     TRUE,"Night"
)</f>
        <v>Morning</v>
      </c>
      <c r="G332" s="1">
        <f t="shared" si="22"/>
        <v>2023</v>
      </c>
      <c r="H332" s="1" t="str">
        <f t="shared" si="23"/>
        <v>Sep</v>
      </c>
      <c r="I332" s="1" t="str">
        <f t="shared" si="20"/>
        <v>Sun</v>
      </c>
      <c r="J332" s="1" t="s">
        <v>18</v>
      </c>
      <c r="K332" s="1" t="s">
        <v>29</v>
      </c>
      <c r="L332" s="1" t="s">
        <v>30</v>
      </c>
      <c r="M332" s="1" t="s">
        <v>32</v>
      </c>
      <c r="N332" s="1" t="s">
        <v>22</v>
      </c>
      <c r="O332" t="s">
        <v>15</v>
      </c>
    </row>
    <row r="333" spans="1:15" x14ac:dyDescent="0.25">
      <c r="A333" s="1" t="s">
        <v>524</v>
      </c>
      <c r="B333" s="1" t="s">
        <v>525</v>
      </c>
      <c r="C333" s="3">
        <v>45039.588888888888</v>
      </c>
      <c r="D333" s="4">
        <f t="shared" si="21"/>
        <v>45039</v>
      </c>
      <c r="E333" s="6">
        <v>14.4111111111076</v>
      </c>
      <c r="F333" s="6" t="str" cm="1">
        <f t="array" ref="F333">_xlfn.IFS(
     AND(HOUR(session_data[[#This Row],[Time]])&gt;5,HOUR(session_data[[#This Row],[Time]])&lt;12),"Morning",
     AND(HOUR(session_data[[#This Row],[Time]])&gt;=12,HOUR(session_data[[#This Row],[Time]])&lt;17),"Afternoon",
     AND(HOUR(session_data[[#This Row],[Time]])&gt;=17,HOUR(session_data[[#This Row],[Time]])&lt;21),"Evening",
     TRUE,"Night"
)</f>
        <v>Morning</v>
      </c>
      <c r="G333" s="1">
        <f t="shared" si="22"/>
        <v>2023</v>
      </c>
      <c r="H333" s="1" t="str">
        <f t="shared" si="23"/>
        <v>Apr</v>
      </c>
      <c r="I333" s="1" t="str">
        <f t="shared" si="20"/>
        <v>Sun</v>
      </c>
      <c r="J333" s="1" t="s">
        <v>28</v>
      </c>
      <c r="K333" s="1" t="s">
        <v>29</v>
      </c>
      <c r="L333" s="1" t="s">
        <v>94</v>
      </c>
      <c r="M333" s="1" t="s">
        <v>32</v>
      </c>
      <c r="N333" s="1" t="s">
        <v>14</v>
      </c>
      <c r="O333" t="s">
        <v>45</v>
      </c>
    </row>
    <row r="334" spans="1:15" x14ac:dyDescent="0.25">
      <c r="A334" s="1" t="s">
        <v>526</v>
      </c>
      <c r="B334" s="1" t="s">
        <v>527</v>
      </c>
      <c r="C334" s="3">
        <v>45125.145833333336</v>
      </c>
      <c r="D334" s="4">
        <f t="shared" si="21"/>
        <v>45125</v>
      </c>
      <c r="E334" s="6">
        <v>14.4527777777742</v>
      </c>
      <c r="F334" s="6" t="str" cm="1">
        <f t="array" ref="F334">_xlfn.IFS(
     AND(HOUR(session_data[[#This Row],[Time]])&gt;5,HOUR(session_data[[#This Row],[Time]])&lt;12),"Morning",
     AND(HOUR(session_data[[#This Row],[Time]])&gt;=12,HOUR(session_data[[#This Row],[Time]])&lt;17),"Afternoon",
     AND(HOUR(session_data[[#This Row],[Time]])&gt;=17,HOUR(session_data[[#This Row],[Time]])&lt;21),"Evening",
     TRUE,"Night"
)</f>
        <v>Morning</v>
      </c>
      <c r="G334" s="1">
        <f t="shared" si="22"/>
        <v>2023</v>
      </c>
      <c r="H334" s="1" t="str">
        <f t="shared" si="23"/>
        <v>Jul</v>
      </c>
      <c r="I334" s="1" t="str">
        <f t="shared" si="20"/>
        <v>Tue</v>
      </c>
      <c r="J334" s="1" t="s">
        <v>44</v>
      </c>
      <c r="K334" s="1" t="s">
        <v>36</v>
      </c>
      <c r="L334" s="1" t="s">
        <v>79</v>
      </c>
      <c r="M334" s="1" t="s">
        <v>40</v>
      </c>
      <c r="N334" s="1" t="s">
        <v>14</v>
      </c>
      <c r="O334" t="s">
        <v>45</v>
      </c>
    </row>
    <row r="335" spans="1:15" x14ac:dyDescent="0.25">
      <c r="A335" s="1" t="s">
        <v>528</v>
      </c>
      <c r="B335" s="1" t="s">
        <v>527</v>
      </c>
      <c r="C335" s="2">
        <v>45146.3125</v>
      </c>
      <c r="D335" s="4">
        <f t="shared" si="21"/>
        <v>45146</v>
      </c>
      <c r="E335" s="6">
        <v>14.4944444444409</v>
      </c>
      <c r="F335" s="6" t="str" cm="1">
        <f t="array" ref="F335">_xlfn.IFS(
     AND(HOUR(session_data[[#This Row],[Time]])&gt;5,HOUR(session_data[[#This Row],[Time]])&lt;12),"Morning",
     AND(HOUR(session_data[[#This Row],[Time]])&gt;=12,HOUR(session_data[[#This Row],[Time]])&lt;17),"Afternoon",
     AND(HOUR(session_data[[#This Row],[Time]])&gt;=17,HOUR(session_data[[#This Row],[Time]])&lt;21),"Evening",
     TRUE,"Night"
)</f>
        <v>Morning</v>
      </c>
      <c r="G335" s="1">
        <f t="shared" si="22"/>
        <v>2023</v>
      </c>
      <c r="H335" s="1" t="str">
        <f t="shared" si="23"/>
        <v>Aug</v>
      </c>
      <c r="I335" s="1" t="str">
        <f t="shared" si="20"/>
        <v>Tue</v>
      </c>
      <c r="J335" s="1" t="s">
        <v>44</v>
      </c>
      <c r="K335" s="1" t="s">
        <v>36</v>
      </c>
      <c r="L335" s="1" t="s">
        <v>79</v>
      </c>
      <c r="M335" s="1" t="s">
        <v>40</v>
      </c>
      <c r="N335" s="1" t="s">
        <v>22</v>
      </c>
      <c r="O335" t="s">
        <v>45</v>
      </c>
    </row>
    <row r="336" spans="1:15" x14ac:dyDescent="0.25">
      <c r="A336" s="1" t="s">
        <v>529</v>
      </c>
      <c r="B336" s="1" t="s">
        <v>530</v>
      </c>
      <c r="C336" s="3">
        <v>45213.080555555556</v>
      </c>
      <c r="D336" s="4">
        <f t="shared" si="21"/>
        <v>45213</v>
      </c>
      <c r="E336" s="6">
        <v>14.5361111111076</v>
      </c>
      <c r="F336" s="6" t="str" cm="1">
        <f t="array" ref="F336">_xlfn.IFS(
     AND(HOUR(session_data[[#This Row],[Time]])&gt;5,HOUR(session_data[[#This Row],[Time]])&lt;12),"Morning",
     AND(HOUR(session_data[[#This Row],[Time]])&gt;=12,HOUR(session_data[[#This Row],[Time]])&lt;17),"Afternoon",
     AND(HOUR(session_data[[#This Row],[Time]])&gt;=17,HOUR(session_data[[#This Row],[Time]])&lt;21),"Evening",
     TRUE,"Night"
)</f>
        <v>Afternoon</v>
      </c>
      <c r="G336" s="1">
        <f t="shared" si="22"/>
        <v>2023</v>
      </c>
      <c r="H336" s="1" t="str">
        <f t="shared" si="23"/>
        <v>Oct</v>
      </c>
      <c r="I336" s="1" t="str">
        <f t="shared" si="20"/>
        <v>Sat</v>
      </c>
      <c r="J336" s="1" t="s">
        <v>18</v>
      </c>
      <c r="K336" s="1" t="s">
        <v>29</v>
      </c>
      <c r="L336" s="1" t="s">
        <v>20</v>
      </c>
      <c r="M336" s="1" t="s">
        <v>19</v>
      </c>
      <c r="N336" s="1" t="s">
        <v>14</v>
      </c>
      <c r="O336" t="s">
        <v>45</v>
      </c>
    </row>
    <row r="337" spans="1:15" x14ac:dyDescent="0.25">
      <c r="A337" s="1" t="s">
        <v>531</v>
      </c>
      <c r="B337" s="1" t="s">
        <v>530</v>
      </c>
      <c r="C337" s="2">
        <v>45149.788888888892</v>
      </c>
      <c r="D337" s="4">
        <f t="shared" si="21"/>
        <v>45149</v>
      </c>
      <c r="E337" s="6">
        <v>14.5777777777742</v>
      </c>
      <c r="F337" s="6" t="str" cm="1">
        <f t="array" ref="F337">_xlfn.IFS(
     AND(HOUR(session_data[[#This Row],[Time]])&gt;5,HOUR(session_data[[#This Row],[Time]])&lt;12),"Morning",
     AND(HOUR(session_data[[#This Row],[Time]])&gt;=12,HOUR(session_data[[#This Row],[Time]])&lt;17),"Afternoon",
     AND(HOUR(session_data[[#This Row],[Time]])&gt;=17,HOUR(session_data[[#This Row],[Time]])&lt;21),"Evening",
     TRUE,"Night"
)</f>
        <v>Afternoon</v>
      </c>
      <c r="G337" s="1">
        <f t="shared" si="22"/>
        <v>2023</v>
      </c>
      <c r="H337" s="1" t="str">
        <f t="shared" si="23"/>
        <v>Aug</v>
      </c>
      <c r="I337" s="1" t="str">
        <f t="shared" si="20"/>
        <v>Fri</v>
      </c>
      <c r="J337" s="1" t="s">
        <v>18</v>
      </c>
      <c r="K337" s="1" t="s">
        <v>29</v>
      </c>
      <c r="L337" s="1" t="s">
        <v>20</v>
      </c>
      <c r="M337" s="1" t="s">
        <v>19</v>
      </c>
      <c r="N337" s="1" t="s">
        <v>22</v>
      </c>
      <c r="O337" t="s">
        <v>45</v>
      </c>
    </row>
    <row r="338" spans="1:15" x14ac:dyDescent="0.25">
      <c r="A338" s="1" t="s">
        <v>532</v>
      </c>
      <c r="B338" s="1" t="s">
        <v>533</v>
      </c>
      <c r="C338" s="2">
        <v>45176.407638888886</v>
      </c>
      <c r="D338" s="4">
        <f t="shared" si="21"/>
        <v>45176</v>
      </c>
      <c r="E338" s="6">
        <v>14.6194444444409</v>
      </c>
      <c r="F338" s="6" t="str" cm="1">
        <f t="array" ref="F338">_xlfn.IFS(
     AND(HOUR(session_data[[#This Row],[Time]])&gt;5,HOUR(session_data[[#This Row],[Time]])&lt;12),"Morning",
     AND(HOUR(session_data[[#This Row],[Time]])&gt;=12,HOUR(session_data[[#This Row],[Time]])&lt;17),"Afternoon",
     AND(HOUR(session_data[[#This Row],[Time]])&gt;=17,HOUR(session_data[[#This Row],[Time]])&lt;21),"Evening",
     TRUE,"Night"
)</f>
        <v>Afternoon</v>
      </c>
      <c r="G338" s="1">
        <f t="shared" si="22"/>
        <v>2023</v>
      </c>
      <c r="H338" s="1" t="str">
        <f t="shared" si="23"/>
        <v>Sep</v>
      </c>
      <c r="I338" s="1" t="str">
        <f t="shared" si="20"/>
        <v>Thu</v>
      </c>
      <c r="J338" s="1" t="s">
        <v>11</v>
      </c>
      <c r="K338" s="1" t="s">
        <v>12</v>
      </c>
      <c r="L338" s="1" t="s">
        <v>79</v>
      </c>
      <c r="M338" s="1" t="s">
        <v>40</v>
      </c>
      <c r="N338" s="1" t="s">
        <v>14</v>
      </c>
      <c r="O338" t="s">
        <v>45</v>
      </c>
    </row>
    <row r="339" spans="1:15" x14ac:dyDescent="0.25">
      <c r="A339" s="1" t="s">
        <v>534</v>
      </c>
      <c r="B339" s="1" t="s">
        <v>533</v>
      </c>
      <c r="C339" s="3">
        <v>45122.074305555558</v>
      </c>
      <c r="D339" s="4">
        <f t="shared" si="21"/>
        <v>45122</v>
      </c>
      <c r="E339" s="6">
        <v>14.6611111111076</v>
      </c>
      <c r="F339" s="6" t="str" cm="1">
        <f t="array" ref="F339">_xlfn.IFS(
     AND(HOUR(session_data[[#This Row],[Time]])&gt;5,HOUR(session_data[[#This Row],[Time]])&lt;12),"Morning",
     AND(HOUR(session_data[[#This Row],[Time]])&gt;=12,HOUR(session_data[[#This Row],[Time]])&lt;17),"Afternoon",
     AND(HOUR(session_data[[#This Row],[Time]])&gt;=17,HOUR(session_data[[#This Row],[Time]])&lt;21),"Evening",
     TRUE,"Night"
)</f>
        <v>Afternoon</v>
      </c>
      <c r="G339" s="1">
        <f t="shared" si="22"/>
        <v>2023</v>
      </c>
      <c r="H339" s="1" t="str">
        <f t="shared" si="23"/>
        <v>Jul</v>
      </c>
      <c r="I339" s="1" t="str">
        <f t="shared" si="20"/>
        <v>Sat</v>
      </c>
      <c r="J339" s="1" t="s">
        <v>11</v>
      </c>
      <c r="K339" s="1" t="s">
        <v>12</v>
      </c>
      <c r="L339" s="1" t="s">
        <v>79</v>
      </c>
      <c r="M339" s="1" t="s">
        <v>40</v>
      </c>
      <c r="N339" s="1" t="s">
        <v>22</v>
      </c>
      <c r="O339" t="s">
        <v>45</v>
      </c>
    </row>
    <row r="340" spans="1:15" x14ac:dyDescent="0.25">
      <c r="A340" s="1" t="s">
        <v>535</v>
      </c>
      <c r="B340" s="1" t="s">
        <v>536</v>
      </c>
      <c r="C340" s="3">
        <v>44984.856249999997</v>
      </c>
      <c r="D340" s="4">
        <f t="shared" si="21"/>
        <v>44984</v>
      </c>
      <c r="E340" s="6">
        <v>14.7027777777742</v>
      </c>
      <c r="F340" s="6" t="str" cm="1">
        <f t="array" ref="F340">_xlfn.IFS(
     AND(HOUR(session_data[[#This Row],[Time]])&gt;5,HOUR(session_data[[#This Row],[Time]])&lt;12),"Morning",
     AND(HOUR(session_data[[#This Row],[Time]])&gt;=12,HOUR(session_data[[#This Row],[Time]])&lt;17),"Afternoon",
     AND(HOUR(session_data[[#This Row],[Time]])&gt;=17,HOUR(session_data[[#This Row],[Time]])&lt;21),"Evening",
     TRUE,"Night"
)</f>
        <v>Afternoon</v>
      </c>
      <c r="G340" s="1">
        <f t="shared" si="22"/>
        <v>2023</v>
      </c>
      <c r="H340" s="1" t="str">
        <f t="shared" si="23"/>
        <v>Feb</v>
      </c>
      <c r="I340" s="1" t="str">
        <f t="shared" si="20"/>
        <v>Mon</v>
      </c>
      <c r="J340" s="1" t="s">
        <v>11</v>
      </c>
      <c r="K340" s="1" t="s">
        <v>12</v>
      </c>
      <c r="L340" s="1" t="s">
        <v>94</v>
      </c>
      <c r="M340" s="1" t="s">
        <v>32</v>
      </c>
      <c r="N340" s="1" t="s">
        <v>14</v>
      </c>
      <c r="O340" t="s">
        <v>15</v>
      </c>
    </row>
    <row r="341" spans="1:15" x14ac:dyDescent="0.25">
      <c r="A341" s="1" t="s">
        <v>537</v>
      </c>
      <c r="B341" s="1" t="s">
        <v>538</v>
      </c>
      <c r="C341" s="3">
        <v>44951.770138888889</v>
      </c>
      <c r="D341" s="4">
        <f t="shared" si="21"/>
        <v>44951</v>
      </c>
      <c r="E341" s="6">
        <v>14.7444444444409</v>
      </c>
      <c r="F341" s="6" t="str" cm="1">
        <f t="array" ref="F341">_xlfn.IFS(
     AND(HOUR(session_data[[#This Row],[Time]])&gt;5,HOUR(session_data[[#This Row],[Time]])&lt;12),"Morning",
     AND(HOUR(session_data[[#This Row],[Time]])&gt;=12,HOUR(session_data[[#This Row],[Time]])&lt;17),"Afternoon",
     AND(HOUR(session_data[[#This Row],[Time]])&gt;=17,HOUR(session_data[[#This Row],[Time]])&lt;21),"Evening",
     TRUE,"Night"
)</f>
        <v>Evening</v>
      </c>
      <c r="G341" s="1">
        <f t="shared" si="22"/>
        <v>2023</v>
      </c>
      <c r="H341" s="1" t="str">
        <f t="shared" si="23"/>
        <v>Jan</v>
      </c>
      <c r="I341" s="1" t="str">
        <f t="shared" si="20"/>
        <v>Wed</v>
      </c>
      <c r="J341" s="1" t="s">
        <v>11</v>
      </c>
      <c r="K341" s="1" t="s">
        <v>29</v>
      </c>
      <c r="L341" s="1" t="s">
        <v>79</v>
      </c>
      <c r="M341" s="1" t="s">
        <v>40</v>
      </c>
      <c r="N341" s="1" t="s">
        <v>14</v>
      </c>
      <c r="O341" t="s">
        <v>45</v>
      </c>
    </row>
    <row r="342" spans="1:15" x14ac:dyDescent="0.25">
      <c r="A342" s="1" t="s">
        <v>539</v>
      </c>
      <c r="B342" s="1" t="s">
        <v>538</v>
      </c>
      <c r="C342" s="2">
        <v>45262.395138888889</v>
      </c>
      <c r="D342" s="4">
        <f t="shared" si="21"/>
        <v>45262</v>
      </c>
      <c r="E342" s="6">
        <v>14.7861111111076</v>
      </c>
      <c r="F342" s="6" t="str" cm="1">
        <f t="array" ref="F342">_xlfn.IFS(
     AND(HOUR(session_data[[#This Row],[Time]])&gt;5,HOUR(session_data[[#This Row],[Time]])&lt;12),"Morning",
     AND(HOUR(session_data[[#This Row],[Time]])&gt;=12,HOUR(session_data[[#This Row],[Time]])&lt;17),"Afternoon",
     AND(HOUR(session_data[[#This Row],[Time]])&gt;=17,HOUR(session_data[[#This Row],[Time]])&lt;21),"Evening",
     TRUE,"Night"
)</f>
        <v>Evening</v>
      </c>
      <c r="G342" s="1">
        <f t="shared" si="22"/>
        <v>2023</v>
      </c>
      <c r="H342" s="1" t="str">
        <f t="shared" si="23"/>
        <v>Dec</v>
      </c>
      <c r="I342" s="1" t="str">
        <f t="shared" si="20"/>
        <v>Sat</v>
      </c>
      <c r="J342" s="1" t="s">
        <v>11</v>
      </c>
      <c r="K342" s="1" t="s">
        <v>29</v>
      </c>
      <c r="L342" s="1" t="s">
        <v>79</v>
      </c>
      <c r="M342" s="1" t="s">
        <v>40</v>
      </c>
      <c r="N342" s="1" t="s">
        <v>22</v>
      </c>
      <c r="O342" t="s">
        <v>45</v>
      </c>
    </row>
    <row r="343" spans="1:15" x14ac:dyDescent="0.25">
      <c r="A343" s="1" t="s">
        <v>540</v>
      </c>
      <c r="B343" s="1" t="s">
        <v>538</v>
      </c>
      <c r="C343" s="2">
        <v>45172.395138888889</v>
      </c>
      <c r="D343" s="4">
        <f t="shared" si="21"/>
        <v>45172</v>
      </c>
      <c r="E343" s="6">
        <v>14.8277777777742</v>
      </c>
      <c r="F343" s="6" t="str" cm="1">
        <f t="array" ref="F343">_xlfn.IFS(
     AND(HOUR(session_data[[#This Row],[Time]])&gt;5,HOUR(session_data[[#This Row],[Time]])&lt;12),"Morning",
     AND(HOUR(session_data[[#This Row],[Time]])&gt;=12,HOUR(session_data[[#This Row],[Time]])&lt;17),"Afternoon",
     AND(HOUR(session_data[[#This Row],[Time]])&gt;=17,HOUR(session_data[[#This Row],[Time]])&lt;21),"Evening",
     TRUE,"Night"
)</f>
        <v>Evening</v>
      </c>
      <c r="G343" s="1">
        <f t="shared" si="22"/>
        <v>2023</v>
      </c>
      <c r="H343" s="1" t="str">
        <f t="shared" si="23"/>
        <v>Sep</v>
      </c>
      <c r="I343" s="1" t="str">
        <f t="shared" si="20"/>
        <v>Sun</v>
      </c>
      <c r="J343" s="1" t="s">
        <v>11</v>
      </c>
      <c r="K343" s="1" t="s">
        <v>29</v>
      </c>
      <c r="L343" s="1" t="s">
        <v>79</v>
      </c>
      <c r="M343" s="1" t="s">
        <v>40</v>
      </c>
      <c r="N343" s="1" t="s">
        <v>22</v>
      </c>
      <c r="O343" t="s">
        <v>45</v>
      </c>
    </row>
    <row r="344" spans="1:15" x14ac:dyDescent="0.25">
      <c r="A344" s="1" t="s">
        <v>541</v>
      </c>
      <c r="B344" s="1" t="s">
        <v>542</v>
      </c>
      <c r="C344" s="3">
        <v>45064.477777777778</v>
      </c>
      <c r="D344" s="4">
        <f t="shared" si="21"/>
        <v>45064</v>
      </c>
      <c r="E344" s="6">
        <v>14.8694444444409</v>
      </c>
      <c r="F344" s="6" t="str" cm="1">
        <f t="array" ref="F344">_xlfn.IFS(
     AND(HOUR(session_data[[#This Row],[Time]])&gt;5,HOUR(session_data[[#This Row],[Time]])&lt;12),"Morning",
     AND(HOUR(session_data[[#This Row],[Time]])&gt;=12,HOUR(session_data[[#This Row],[Time]])&lt;17),"Afternoon",
     AND(HOUR(session_data[[#This Row],[Time]])&gt;=17,HOUR(session_data[[#This Row],[Time]])&lt;21),"Evening",
     TRUE,"Night"
)</f>
        <v>Evening</v>
      </c>
      <c r="G344" s="1">
        <f t="shared" si="22"/>
        <v>2023</v>
      </c>
      <c r="H344" s="1" t="str">
        <f t="shared" si="23"/>
        <v>May</v>
      </c>
      <c r="I344" s="1" t="str">
        <f t="shared" si="20"/>
        <v>Thu</v>
      </c>
      <c r="J344" s="1" t="s">
        <v>11</v>
      </c>
      <c r="K344" s="1" t="s">
        <v>29</v>
      </c>
      <c r="L344" s="1" t="s">
        <v>50</v>
      </c>
      <c r="M344" s="1" t="s">
        <v>19</v>
      </c>
      <c r="N344" s="1" t="s">
        <v>14</v>
      </c>
      <c r="O344" t="s">
        <v>45</v>
      </c>
    </row>
    <row r="345" spans="1:15" x14ac:dyDescent="0.25">
      <c r="A345" s="1" t="s">
        <v>543</v>
      </c>
      <c r="B345" s="1" t="s">
        <v>544</v>
      </c>
      <c r="C345" s="2">
        <v>45108.559027777781</v>
      </c>
      <c r="D345" s="4">
        <f t="shared" si="21"/>
        <v>45108</v>
      </c>
      <c r="E345" s="6">
        <v>14.9111111111076</v>
      </c>
      <c r="F345" s="6" t="str" cm="1">
        <f t="array" ref="F345">_xlfn.IFS(
     AND(HOUR(session_data[[#This Row],[Time]])&gt;5,HOUR(session_data[[#This Row],[Time]])&lt;12),"Morning",
     AND(HOUR(session_data[[#This Row],[Time]])&gt;=12,HOUR(session_data[[#This Row],[Time]])&lt;17),"Afternoon",
     AND(HOUR(session_data[[#This Row],[Time]])&gt;=17,HOUR(session_data[[#This Row],[Time]])&lt;21),"Evening",
     TRUE,"Night"
)</f>
        <v>Night</v>
      </c>
      <c r="G345" s="1">
        <f t="shared" si="22"/>
        <v>2023</v>
      </c>
      <c r="H345" s="1" t="str">
        <f t="shared" si="23"/>
        <v>Jul</v>
      </c>
      <c r="I345" s="1" t="str">
        <f t="shared" si="20"/>
        <v>Sat</v>
      </c>
      <c r="J345" s="1" t="s">
        <v>44</v>
      </c>
      <c r="K345" s="1" t="s">
        <v>12</v>
      </c>
      <c r="L345" s="1" t="s">
        <v>20</v>
      </c>
      <c r="M345" s="1" t="s">
        <v>19</v>
      </c>
      <c r="N345" s="1" t="s">
        <v>14</v>
      </c>
      <c r="O345" t="s">
        <v>15</v>
      </c>
    </row>
    <row r="346" spans="1:15" x14ac:dyDescent="0.25">
      <c r="A346" s="1" t="s">
        <v>545</v>
      </c>
      <c r="B346" s="1" t="s">
        <v>546</v>
      </c>
      <c r="C346" s="2">
        <v>45081.337500000001</v>
      </c>
      <c r="D346" s="4">
        <f t="shared" si="21"/>
        <v>45081</v>
      </c>
      <c r="E346" s="6">
        <v>14.9527777777742</v>
      </c>
      <c r="F346" s="6" t="str" cm="1">
        <f t="array" ref="F346">_xlfn.IFS(
     AND(HOUR(session_data[[#This Row],[Time]])&gt;5,HOUR(session_data[[#This Row],[Time]])&lt;12),"Morning",
     AND(HOUR(session_data[[#This Row],[Time]])&gt;=12,HOUR(session_data[[#This Row],[Time]])&lt;17),"Afternoon",
     AND(HOUR(session_data[[#This Row],[Time]])&gt;=17,HOUR(session_data[[#This Row],[Time]])&lt;21),"Evening",
     TRUE,"Night"
)</f>
        <v>Night</v>
      </c>
      <c r="G346" s="1">
        <f t="shared" si="22"/>
        <v>2023</v>
      </c>
      <c r="H346" s="1" t="str">
        <f t="shared" si="23"/>
        <v>Jun</v>
      </c>
      <c r="I346" s="1" t="str">
        <f t="shared" si="20"/>
        <v>Sun</v>
      </c>
      <c r="J346" s="1" t="s">
        <v>28</v>
      </c>
      <c r="K346" s="1" t="s">
        <v>29</v>
      </c>
      <c r="L346" s="1" t="s">
        <v>41</v>
      </c>
      <c r="M346" s="1" t="s">
        <v>40</v>
      </c>
      <c r="N346" s="1" t="s">
        <v>14</v>
      </c>
      <c r="O346" t="s">
        <v>45</v>
      </c>
    </row>
    <row r="347" spans="1:15" x14ac:dyDescent="0.25">
      <c r="A347" s="1" t="s">
        <v>547</v>
      </c>
      <c r="B347" s="1" t="s">
        <v>548</v>
      </c>
      <c r="C347" s="3">
        <v>45064.856944444444</v>
      </c>
      <c r="D347" s="4">
        <f t="shared" si="21"/>
        <v>45064</v>
      </c>
      <c r="E347" s="6">
        <v>14.9944444444409</v>
      </c>
      <c r="F347" s="6" t="str" cm="1">
        <f t="array" ref="F347">_xlfn.IFS(
     AND(HOUR(session_data[[#This Row],[Time]])&gt;5,HOUR(session_data[[#This Row],[Time]])&lt;12),"Morning",
     AND(HOUR(session_data[[#This Row],[Time]])&gt;=12,HOUR(session_data[[#This Row],[Time]])&lt;17),"Afternoon",
     AND(HOUR(session_data[[#This Row],[Time]])&gt;=17,HOUR(session_data[[#This Row],[Time]])&lt;21),"Evening",
     TRUE,"Night"
)</f>
        <v>Night</v>
      </c>
      <c r="G347" s="1">
        <f t="shared" si="22"/>
        <v>2023</v>
      </c>
      <c r="H347" s="1" t="str">
        <f t="shared" si="23"/>
        <v>May</v>
      </c>
      <c r="I347" s="1" t="str">
        <f t="shared" si="20"/>
        <v>Thu</v>
      </c>
      <c r="J347" s="1" t="s">
        <v>11</v>
      </c>
      <c r="K347" s="1" t="s">
        <v>12</v>
      </c>
      <c r="L347" s="1" t="s">
        <v>119</v>
      </c>
      <c r="M347" s="1" t="s">
        <v>40</v>
      </c>
      <c r="N347" s="1" t="s">
        <v>14</v>
      </c>
      <c r="O347" t="s">
        <v>15</v>
      </c>
    </row>
    <row r="348" spans="1:15" x14ac:dyDescent="0.25">
      <c r="A348" s="1" t="s">
        <v>549</v>
      </c>
      <c r="B348" s="1" t="s">
        <v>548</v>
      </c>
      <c r="C348" s="2">
        <v>44963.606944444444</v>
      </c>
      <c r="D348" s="4">
        <f t="shared" si="21"/>
        <v>44963</v>
      </c>
      <c r="E348" s="6">
        <v>15.0361111111076</v>
      </c>
      <c r="F348" s="6" t="str" cm="1">
        <f t="array" ref="F348">_xlfn.IFS(
     AND(HOUR(session_data[[#This Row],[Time]])&gt;5,HOUR(session_data[[#This Row],[Time]])&lt;12),"Morning",
     AND(HOUR(session_data[[#This Row],[Time]])&gt;=12,HOUR(session_data[[#This Row],[Time]])&lt;17),"Afternoon",
     AND(HOUR(session_data[[#This Row],[Time]])&gt;=17,HOUR(session_data[[#This Row],[Time]])&lt;21),"Evening",
     TRUE,"Night"
)</f>
        <v>Night</v>
      </c>
      <c r="G348" s="1">
        <f t="shared" si="22"/>
        <v>2023</v>
      </c>
      <c r="H348" s="1" t="str">
        <f t="shared" si="23"/>
        <v>Feb</v>
      </c>
      <c r="I348" s="1" t="str">
        <f t="shared" si="20"/>
        <v>Mon</v>
      </c>
      <c r="J348" s="1" t="s">
        <v>11</v>
      </c>
      <c r="K348" s="1" t="s">
        <v>12</v>
      </c>
      <c r="L348" s="1" t="s">
        <v>119</v>
      </c>
      <c r="M348" s="1" t="s">
        <v>40</v>
      </c>
      <c r="N348" s="1" t="s">
        <v>22</v>
      </c>
      <c r="O348" t="s">
        <v>15</v>
      </c>
    </row>
    <row r="349" spans="1:15" x14ac:dyDescent="0.25">
      <c r="A349" s="1" t="s">
        <v>550</v>
      </c>
      <c r="B349" s="1" t="s">
        <v>551</v>
      </c>
      <c r="C349" s="3">
        <v>44975.371527777781</v>
      </c>
      <c r="D349" s="4">
        <f t="shared" si="21"/>
        <v>44975</v>
      </c>
      <c r="E349" s="6">
        <v>15.0777777777742</v>
      </c>
      <c r="F349" s="6" t="str" cm="1">
        <f t="array" ref="F349">_xlfn.IFS(
     AND(HOUR(session_data[[#This Row],[Time]])&gt;5,HOUR(session_data[[#This Row],[Time]])&lt;12),"Morning",
     AND(HOUR(session_data[[#This Row],[Time]])&gt;=12,HOUR(session_data[[#This Row],[Time]])&lt;17),"Afternoon",
     AND(HOUR(session_data[[#This Row],[Time]])&gt;=17,HOUR(session_data[[#This Row],[Time]])&lt;21),"Evening",
     TRUE,"Night"
)</f>
        <v>Night</v>
      </c>
      <c r="G349" s="1">
        <f t="shared" si="22"/>
        <v>2023</v>
      </c>
      <c r="H349" s="1" t="str">
        <f t="shared" si="23"/>
        <v>Feb</v>
      </c>
      <c r="I349" s="1" t="str">
        <f t="shared" si="20"/>
        <v>Sat</v>
      </c>
      <c r="J349" s="1" t="s">
        <v>11</v>
      </c>
      <c r="K349" s="1" t="s">
        <v>29</v>
      </c>
      <c r="L349" s="1" t="s">
        <v>59</v>
      </c>
      <c r="M349" s="1" t="s">
        <v>19</v>
      </c>
      <c r="N349" s="1" t="s">
        <v>14</v>
      </c>
      <c r="O349" t="s">
        <v>45</v>
      </c>
    </row>
    <row r="350" spans="1:15" x14ac:dyDescent="0.25">
      <c r="A350" s="1" t="s">
        <v>552</v>
      </c>
      <c r="B350" s="1" t="s">
        <v>551</v>
      </c>
      <c r="C350" s="2">
        <v>45080.871527777781</v>
      </c>
      <c r="D350" s="4">
        <f t="shared" si="21"/>
        <v>45080</v>
      </c>
      <c r="E350" s="6">
        <v>15.1194444444409</v>
      </c>
      <c r="F350" s="6" t="str" cm="1">
        <f t="array" ref="F350">_xlfn.IFS(
     AND(HOUR(session_data[[#This Row],[Time]])&gt;5,HOUR(session_data[[#This Row],[Time]])&lt;12),"Morning",
     AND(HOUR(session_data[[#This Row],[Time]])&gt;=12,HOUR(session_data[[#This Row],[Time]])&lt;17),"Afternoon",
     AND(HOUR(session_data[[#This Row],[Time]])&gt;=17,HOUR(session_data[[#This Row],[Time]])&lt;21),"Evening",
     TRUE,"Night"
)</f>
        <v>Night</v>
      </c>
      <c r="G350" s="1">
        <f t="shared" si="22"/>
        <v>2023</v>
      </c>
      <c r="H350" s="1" t="str">
        <f t="shared" si="23"/>
        <v>Jun</v>
      </c>
      <c r="I350" s="1" t="str">
        <f t="shared" si="20"/>
        <v>Sat</v>
      </c>
      <c r="J350" s="1" t="s">
        <v>11</v>
      </c>
      <c r="K350" s="1" t="s">
        <v>29</v>
      </c>
      <c r="L350" s="1" t="s">
        <v>59</v>
      </c>
      <c r="M350" s="1" t="s">
        <v>19</v>
      </c>
      <c r="N350" s="1" t="s">
        <v>22</v>
      </c>
      <c r="O350" t="s">
        <v>45</v>
      </c>
    </row>
    <row r="351" spans="1:15" x14ac:dyDescent="0.25">
      <c r="A351" s="1" t="s">
        <v>553</v>
      </c>
      <c r="B351" s="1" t="s">
        <v>551</v>
      </c>
      <c r="C351" s="3">
        <v>45012.121527777781</v>
      </c>
      <c r="D351" s="4">
        <f t="shared" si="21"/>
        <v>45012</v>
      </c>
      <c r="E351" s="6">
        <v>15.1611111111076</v>
      </c>
      <c r="F351" s="6" t="str" cm="1">
        <f t="array" ref="F351">_xlfn.IFS(
     AND(HOUR(session_data[[#This Row],[Time]])&gt;5,HOUR(session_data[[#This Row],[Time]])&lt;12),"Morning",
     AND(HOUR(session_data[[#This Row],[Time]])&gt;=12,HOUR(session_data[[#This Row],[Time]])&lt;17),"Afternoon",
     AND(HOUR(session_data[[#This Row],[Time]])&gt;=17,HOUR(session_data[[#This Row],[Time]])&lt;21),"Evening",
     TRUE,"Night"
)</f>
        <v>Night</v>
      </c>
      <c r="G351" s="1">
        <f t="shared" si="22"/>
        <v>2023</v>
      </c>
      <c r="H351" s="1" t="str">
        <f t="shared" si="23"/>
        <v>Mar</v>
      </c>
      <c r="I351" s="1" t="str">
        <f t="shared" si="20"/>
        <v>Mon</v>
      </c>
      <c r="J351" s="1" t="s">
        <v>11</v>
      </c>
      <c r="K351" s="1" t="s">
        <v>29</v>
      </c>
      <c r="L351" s="1" t="s">
        <v>59</v>
      </c>
      <c r="M351" s="1" t="s">
        <v>19</v>
      </c>
      <c r="N351" s="1" t="s">
        <v>22</v>
      </c>
      <c r="O351" t="s">
        <v>45</v>
      </c>
    </row>
    <row r="352" spans="1:15" x14ac:dyDescent="0.25">
      <c r="A352" s="1" t="s">
        <v>554</v>
      </c>
      <c r="B352" s="1" t="s">
        <v>555</v>
      </c>
      <c r="C352" s="3">
        <v>45030.338194444441</v>
      </c>
      <c r="D352" s="4">
        <f t="shared" si="21"/>
        <v>45030</v>
      </c>
      <c r="E352" s="6">
        <v>15.2027777777742</v>
      </c>
      <c r="F352" s="6" t="str" cm="1">
        <f t="array" ref="F352">_xlfn.IFS(
     AND(HOUR(session_data[[#This Row],[Time]])&gt;5,HOUR(session_data[[#This Row],[Time]])&lt;12),"Morning",
     AND(HOUR(session_data[[#This Row],[Time]])&gt;=12,HOUR(session_data[[#This Row],[Time]])&lt;17),"Afternoon",
     AND(HOUR(session_data[[#This Row],[Time]])&gt;=17,HOUR(session_data[[#This Row],[Time]])&lt;21),"Evening",
     TRUE,"Night"
)</f>
        <v>Night</v>
      </c>
      <c r="G352" s="1">
        <f t="shared" si="22"/>
        <v>2023</v>
      </c>
      <c r="H352" s="1" t="str">
        <f t="shared" si="23"/>
        <v>Apr</v>
      </c>
      <c r="I352" s="1" t="str">
        <f t="shared" si="20"/>
        <v>Fri</v>
      </c>
      <c r="J352" s="1" t="s">
        <v>18</v>
      </c>
      <c r="K352" s="1" t="s">
        <v>12</v>
      </c>
      <c r="L352" s="1" t="s">
        <v>20</v>
      </c>
      <c r="M352" s="1" t="s">
        <v>19</v>
      </c>
      <c r="N352" s="1" t="s">
        <v>14</v>
      </c>
      <c r="O352" t="s">
        <v>45</v>
      </c>
    </row>
    <row r="353" spans="1:15" x14ac:dyDescent="0.25">
      <c r="A353" s="1" t="s">
        <v>556</v>
      </c>
      <c r="B353" s="1" t="s">
        <v>557</v>
      </c>
      <c r="C353" s="3">
        <v>45030.715277777781</v>
      </c>
      <c r="D353" s="4">
        <f t="shared" si="21"/>
        <v>45030</v>
      </c>
      <c r="E353" s="6">
        <v>15.2444444444409</v>
      </c>
      <c r="F353" s="6" t="str" cm="1">
        <f t="array" ref="F353">_xlfn.IFS(
     AND(HOUR(session_data[[#This Row],[Time]])&gt;5,HOUR(session_data[[#This Row],[Time]])&lt;12),"Morning",
     AND(HOUR(session_data[[#This Row],[Time]])&gt;=12,HOUR(session_data[[#This Row],[Time]])&lt;17),"Afternoon",
     AND(HOUR(session_data[[#This Row],[Time]])&gt;=17,HOUR(session_data[[#This Row],[Time]])&lt;21),"Evening",
     TRUE,"Night"
)</f>
        <v>Night</v>
      </c>
      <c r="G353" s="1">
        <f t="shared" si="22"/>
        <v>2023</v>
      </c>
      <c r="H353" s="1" t="str">
        <f t="shared" si="23"/>
        <v>Apr</v>
      </c>
      <c r="I353" s="1" t="str">
        <f t="shared" si="20"/>
        <v>Fri</v>
      </c>
      <c r="J353" s="1" t="s">
        <v>18</v>
      </c>
      <c r="K353" s="1" t="s">
        <v>29</v>
      </c>
      <c r="L353" s="1" t="s">
        <v>20</v>
      </c>
      <c r="M353" s="1" t="s">
        <v>19</v>
      </c>
      <c r="N353" s="1" t="s">
        <v>14</v>
      </c>
      <c r="O353" t="s">
        <v>45</v>
      </c>
    </row>
    <row r="354" spans="1:15" x14ac:dyDescent="0.25">
      <c r="A354" s="1" t="s">
        <v>558</v>
      </c>
      <c r="B354" s="1" t="s">
        <v>557</v>
      </c>
      <c r="C354" s="2">
        <v>45082.215277777781</v>
      </c>
      <c r="D354" s="4">
        <f t="shared" si="21"/>
        <v>45082</v>
      </c>
      <c r="E354" s="6">
        <v>15.2861111111076</v>
      </c>
      <c r="F354" s="6" t="str" cm="1">
        <f t="array" ref="F354">_xlfn.IFS(
     AND(HOUR(session_data[[#This Row],[Time]])&gt;5,HOUR(session_data[[#This Row],[Time]])&lt;12),"Morning",
     AND(HOUR(session_data[[#This Row],[Time]])&gt;=12,HOUR(session_data[[#This Row],[Time]])&lt;17),"Afternoon",
     AND(HOUR(session_data[[#This Row],[Time]])&gt;=17,HOUR(session_data[[#This Row],[Time]])&lt;21),"Evening",
     TRUE,"Night"
)</f>
        <v>Morning</v>
      </c>
      <c r="G354" s="1">
        <f t="shared" si="22"/>
        <v>2023</v>
      </c>
      <c r="H354" s="1" t="str">
        <f t="shared" si="23"/>
        <v>Jun</v>
      </c>
      <c r="I354" s="1" t="str">
        <f t="shared" si="20"/>
        <v>Mon</v>
      </c>
      <c r="J354" s="1" t="s">
        <v>18</v>
      </c>
      <c r="K354" s="1" t="s">
        <v>29</v>
      </c>
      <c r="L354" s="1" t="s">
        <v>20</v>
      </c>
      <c r="M354" s="1" t="s">
        <v>19</v>
      </c>
      <c r="N354" s="1" t="s">
        <v>22</v>
      </c>
      <c r="O354" t="s">
        <v>45</v>
      </c>
    </row>
    <row r="355" spans="1:15" x14ac:dyDescent="0.25">
      <c r="A355" s="1" t="s">
        <v>559</v>
      </c>
      <c r="B355" s="1" t="s">
        <v>560</v>
      </c>
      <c r="C355" s="3">
        <v>44957.248611111114</v>
      </c>
      <c r="D355" s="4">
        <f t="shared" si="21"/>
        <v>44957</v>
      </c>
      <c r="E355" s="6">
        <v>15.3277777777742</v>
      </c>
      <c r="F355" s="6" t="str" cm="1">
        <f t="array" ref="F355">_xlfn.IFS(
     AND(HOUR(session_data[[#This Row],[Time]])&gt;5,HOUR(session_data[[#This Row],[Time]])&lt;12),"Morning",
     AND(HOUR(session_data[[#This Row],[Time]])&gt;=12,HOUR(session_data[[#This Row],[Time]])&lt;17),"Afternoon",
     AND(HOUR(session_data[[#This Row],[Time]])&gt;=17,HOUR(session_data[[#This Row],[Time]])&lt;21),"Evening",
     TRUE,"Night"
)</f>
        <v>Morning</v>
      </c>
      <c r="G355" s="1">
        <f t="shared" si="22"/>
        <v>2023</v>
      </c>
      <c r="H355" s="1" t="str">
        <f t="shared" si="23"/>
        <v>Jan</v>
      </c>
      <c r="I355" s="1" t="str">
        <f t="shared" si="20"/>
        <v>Tue</v>
      </c>
      <c r="J355" s="1" t="s">
        <v>28</v>
      </c>
      <c r="K355" s="1" t="s">
        <v>29</v>
      </c>
      <c r="L355" s="1" t="s">
        <v>30</v>
      </c>
      <c r="M355" s="1" t="s">
        <v>32</v>
      </c>
      <c r="N355" s="1" t="s">
        <v>14</v>
      </c>
      <c r="O355" t="s">
        <v>45</v>
      </c>
    </row>
    <row r="356" spans="1:15" x14ac:dyDescent="0.25">
      <c r="A356" s="1" t="s">
        <v>561</v>
      </c>
      <c r="B356" s="1" t="s">
        <v>562</v>
      </c>
      <c r="C356" s="2">
        <v>45082.317361111112</v>
      </c>
      <c r="D356" s="4">
        <f t="shared" si="21"/>
        <v>45082</v>
      </c>
      <c r="E356" s="6">
        <v>15.3694444444409</v>
      </c>
      <c r="F356" s="6" t="str" cm="1">
        <f t="array" ref="F356">_xlfn.IFS(
     AND(HOUR(session_data[[#This Row],[Time]])&gt;5,HOUR(session_data[[#This Row],[Time]])&lt;12),"Morning",
     AND(HOUR(session_data[[#This Row],[Time]])&gt;=12,HOUR(session_data[[#This Row],[Time]])&lt;17),"Afternoon",
     AND(HOUR(session_data[[#This Row],[Time]])&gt;=17,HOUR(session_data[[#This Row],[Time]])&lt;21),"Evening",
     TRUE,"Night"
)</f>
        <v>Morning</v>
      </c>
      <c r="G356" s="1">
        <f t="shared" si="22"/>
        <v>2023</v>
      </c>
      <c r="H356" s="1" t="str">
        <f t="shared" si="23"/>
        <v>Jun</v>
      </c>
      <c r="I356" s="1" t="str">
        <f t="shared" si="20"/>
        <v>Mon</v>
      </c>
      <c r="J356" s="1" t="s">
        <v>28</v>
      </c>
      <c r="K356" s="1" t="s">
        <v>12</v>
      </c>
      <c r="L356" s="1" t="s">
        <v>59</v>
      </c>
      <c r="M356" s="1" t="s">
        <v>19</v>
      </c>
      <c r="N356" s="1" t="s">
        <v>14</v>
      </c>
      <c r="O356" t="s">
        <v>45</v>
      </c>
    </row>
    <row r="357" spans="1:15" x14ac:dyDescent="0.25">
      <c r="A357" s="1" t="s">
        <v>563</v>
      </c>
      <c r="B357" s="1" t="s">
        <v>562</v>
      </c>
      <c r="C357" s="3">
        <v>45067.900694444441</v>
      </c>
      <c r="D357" s="4">
        <f t="shared" si="21"/>
        <v>45067</v>
      </c>
      <c r="E357" s="6">
        <v>15.4111111111076</v>
      </c>
      <c r="F357" s="6" t="str" cm="1">
        <f t="array" ref="F357">_xlfn.IFS(
     AND(HOUR(session_data[[#This Row],[Time]])&gt;5,HOUR(session_data[[#This Row],[Time]])&lt;12),"Morning",
     AND(HOUR(session_data[[#This Row],[Time]])&gt;=12,HOUR(session_data[[#This Row],[Time]])&lt;17),"Afternoon",
     AND(HOUR(session_data[[#This Row],[Time]])&gt;=17,HOUR(session_data[[#This Row],[Time]])&lt;21),"Evening",
     TRUE,"Night"
)</f>
        <v>Morning</v>
      </c>
      <c r="G357" s="1">
        <f t="shared" si="22"/>
        <v>2023</v>
      </c>
      <c r="H357" s="1" t="str">
        <f t="shared" si="23"/>
        <v>May</v>
      </c>
      <c r="I357" s="1" t="str">
        <f t="shared" si="20"/>
        <v>Sun</v>
      </c>
      <c r="J357" s="1" t="s">
        <v>28</v>
      </c>
      <c r="K357" s="1" t="s">
        <v>12</v>
      </c>
      <c r="L357" s="1" t="s">
        <v>59</v>
      </c>
      <c r="M357" s="1" t="s">
        <v>19</v>
      </c>
      <c r="N357" s="1" t="s">
        <v>22</v>
      </c>
      <c r="O357" t="s">
        <v>45</v>
      </c>
    </row>
    <row r="358" spans="1:15" x14ac:dyDescent="0.25">
      <c r="A358" s="1" t="s">
        <v>564</v>
      </c>
      <c r="B358" s="1" t="s">
        <v>565</v>
      </c>
      <c r="C358" s="3">
        <v>45040.736805555556</v>
      </c>
      <c r="D358" s="4">
        <f t="shared" si="21"/>
        <v>45040</v>
      </c>
      <c r="E358" s="6">
        <v>15.4527777777742</v>
      </c>
      <c r="F358" s="6" t="str" cm="1">
        <f t="array" ref="F358">_xlfn.IFS(
     AND(HOUR(session_data[[#This Row],[Time]])&gt;5,HOUR(session_data[[#This Row],[Time]])&lt;12),"Morning",
     AND(HOUR(session_data[[#This Row],[Time]])&gt;=12,HOUR(session_data[[#This Row],[Time]])&lt;17),"Afternoon",
     AND(HOUR(session_data[[#This Row],[Time]])&gt;=17,HOUR(session_data[[#This Row],[Time]])&lt;21),"Evening",
     TRUE,"Night"
)</f>
        <v>Morning</v>
      </c>
      <c r="G358" s="1">
        <f t="shared" si="22"/>
        <v>2023</v>
      </c>
      <c r="H358" s="1" t="str">
        <f t="shared" si="23"/>
        <v>Apr</v>
      </c>
      <c r="I358" s="1" t="str">
        <f t="shared" si="20"/>
        <v>Mon</v>
      </c>
      <c r="J358" s="1" t="s">
        <v>11</v>
      </c>
      <c r="K358" s="1" t="s">
        <v>12</v>
      </c>
      <c r="L358" s="1" t="s">
        <v>119</v>
      </c>
      <c r="M358" s="1" t="s">
        <v>40</v>
      </c>
      <c r="N358" s="1" t="s">
        <v>14</v>
      </c>
      <c r="O358" t="s">
        <v>15</v>
      </c>
    </row>
    <row r="359" spans="1:15" x14ac:dyDescent="0.25">
      <c r="A359" s="1" t="s">
        <v>566</v>
      </c>
      <c r="B359" s="1" t="s">
        <v>567</v>
      </c>
      <c r="C359" s="2">
        <v>45174.378472222219</v>
      </c>
      <c r="D359" s="4">
        <f t="shared" si="21"/>
        <v>45174</v>
      </c>
      <c r="E359" s="6">
        <v>15.4944444444409</v>
      </c>
      <c r="F359" s="6" t="str" cm="1">
        <f t="array" ref="F359">_xlfn.IFS(
     AND(HOUR(session_data[[#This Row],[Time]])&gt;5,HOUR(session_data[[#This Row],[Time]])&lt;12),"Morning",
     AND(HOUR(session_data[[#This Row],[Time]])&gt;=12,HOUR(session_data[[#This Row],[Time]])&lt;17),"Afternoon",
     AND(HOUR(session_data[[#This Row],[Time]])&gt;=17,HOUR(session_data[[#This Row],[Time]])&lt;21),"Evening",
     TRUE,"Night"
)</f>
        <v>Morning</v>
      </c>
      <c r="G359" s="1">
        <f t="shared" si="22"/>
        <v>2023</v>
      </c>
      <c r="H359" s="1" t="str">
        <f t="shared" si="23"/>
        <v>Sep</v>
      </c>
      <c r="I359" s="1" t="str">
        <f t="shared" si="20"/>
        <v>Tue</v>
      </c>
      <c r="J359" s="1" t="s">
        <v>11</v>
      </c>
      <c r="K359" s="1" t="s">
        <v>12</v>
      </c>
      <c r="L359" s="1" t="s">
        <v>20</v>
      </c>
      <c r="M359" s="1" t="s">
        <v>19</v>
      </c>
      <c r="N359" s="1" t="s">
        <v>14</v>
      </c>
      <c r="O359" t="s">
        <v>45</v>
      </c>
    </row>
    <row r="360" spans="1:15" x14ac:dyDescent="0.25">
      <c r="A360" s="1" t="s">
        <v>568</v>
      </c>
      <c r="B360" s="1" t="s">
        <v>567</v>
      </c>
      <c r="C360" s="3">
        <v>45070.795138888891</v>
      </c>
      <c r="D360" s="4">
        <f t="shared" si="21"/>
        <v>45070</v>
      </c>
      <c r="E360" s="6">
        <v>15.5361111111076</v>
      </c>
      <c r="F360" s="6" t="str" cm="1">
        <f t="array" ref="F360">_xlfn.IFS(
     AND(HOUR(session_data[[#This Row],[Time]])&gt;5,HOUR(session_data[[#This Row],[Time]])&lt;12),"Morning",
     AND(HOUR(session_data[[#This Row],[Time]])&gt;=12,HOUR(session_data[[#This Row],[Time]])&lt;17),"Afternoon",
     AND(HOUR(session_data[[#This Row],[Time]])&gt;=17,HOUR(session_data[[#This Row],[Time]])&lt;21),"Evening",
     TRUE,"Night"
)</f>
        <v>Afternoon</v>
      </c>
      <c r="G360" s="1">
        <f t="shared" si="22"/>
        <v>2023</v>
      </c>
      <c r="H360" s="1" t="str">
        <f t="shared" si="23"/>
        <v>May</v>
      </c>
      <c r="I360" s="1" t="str">
        <f t="shared" si="20"/>
        <v>Wed</v>
      </c>
      <c r="J360" s="1" t="s">
        <v>11</v>
      </c>
      <c r="K360" s="1" t="s">
        <v>12</v>
      </c>
      <c r="L360" s="1" t="s">
        <v>20</v>
      </c>
      <c r="M360" s="1" t="s">
        <v>19</v>
      </c>
      <c r="N360" s="1" t="s">
        <v>22</v>
      </c>
      <c r="O360" t="s">
        <v>45</v>
      </c>
    </row>
    <row r="361" spans="1:15" x14ac:dyDescent="0.25">
      <c r="A361" s="1" t="s">
        <v>569</v>
      </c>
      <c r="B361" s="1" t="s">
        <v>567</v>
      </c>
      <c r="C361" s="3">
        <v>45097.920138888891</v>
      </c>
      <c r="D361" s="4">
        <f t="shared" si="21"/>
        <v>45097</v>
      </c>
      <c r="E361" s="6">
        <v>15.5777777777742</v>
      </c>
      <c r="F361" s="6" t="str" cm="1">
        <f t="array" ref="F361">_xlfn.IFS(
     AND(HOUR(session_data[[#This Row],[Time]])&gt;5,HOUR(session_data[[#This Row],[Time]])&lt;12),"Morning",
     AND(HOUR(session_data[[#This Row],[Time]])&gt;=12,HOUR(session_data[[#This Row],[Time]])&lt;17),"Afternoon",
     AND(HOUR(session_data[[#This Row],[Time]])&gt;=17,HOUR(session_data[[#This Row],[Time]])&lt;21),"Evening",
     TRUE,"Night"
)</f>
        <v>Afternoon</v>
      </c>
      <c r="G361" s="1">
        <f t="shared" si="22"/>
        <v>2023</v>
      </c>
      <c r="H361" s="1" t="str">
        <f t="shared" si="23"/>
        <v>Jun</v>
      </c>
      <c r="I361" s="1" t="str">
        <f t="shared" si="20"/>
        <v>Tue</v>
      </c>
      <c r="J361" s="1" t="s">
        <v>11</v>
      </c>
      <c r="K361" s="1" t="s">
        <v>12</v>
      </c>
      <c r="L361" s="1" t="s">
        <v>20</v>
      </c>
      <c r="M361" s="1" t="s">
        <v>19</v>
      </c>
      <c r="N361" s="1" t="s">
        <v>22</v>
      </c>
      <c r="O361" t="s">
        <v>45</v>
      </c>
    </row>
    <row r="362" spans="1:15" x14ac:dyDescent="0.25">
      <c r="A362" s="1" t="s">
        <v>570</v>
      </c>
      <c r="B362" s="1" t="s">
        <v>571</v>
      </c>
      <c r="C362" s="3">
        <v>45198.047222222223</v>
      </c>
      <c r="D362" s="4">
        <f t="shared" si="21"/>
        <v>45198</v>
      </c>
      <c r="E362" s="6">
        <v>15.6194444444409</v>
      </c>
      <c r="F362" s="6" t="str" cm="1">
        <f t="array" ref="F362">_xlfn.IFS(
     AND(HOUR(session_data[[#This Row],[Time]])&gt;5,HOUR(session_data[[#This Row],[Time]])&lt;12),"Morning",
     AND(HOUR(session_data[[#This Row],[Time]])&gt;=12,HOUR(session_data[[#This Row],[Time]])&lt;17),"Afternoon",
     AND(HOUR(session_data[[#This Row],[Time]])&gt;=17,HOUR(session_data[[#This Row],[Time]])&lt;21),"Evening",
     TRUE,"Night"
)</f>
        <v>Afternoon</v>
      </c>
      <c r="G362" s="1">
        <f t="shared" si="22"/>
        <v>2023</v>
      </c>
      <c r="H362" s="1" t="str">
        <f t="shared" si="23"/>
        <v>Sep</v>
      </c>
      <c r="I362" s="1" t="str">
        <f t="shared" si="20"/>
        <v>Fri</v>
      </c>
      <c r="J362" s="1" t="s">
        <v>18</v>
      </c>
      <c r="K362" s="1" t="s">
        <v>29</v>
      </c>
      <c r="L362" s="1" t="s">
        <v>41</v>
      </c>
      <c r="M362" s="1" t="s">
        <v>40</v>
      </c>
      <c r="N362" s="1" t="s">
        <v>14</v>
      </c>
      <c r="O362" t="s">
        <v>45</v>
      </c>
    </row>
    <row r="363" spans="1:15" x14ac:dyDescent="0.25">
      <c r="A363" s="1" t="s">
        <v>572</v>
      </c>
      <c r="B363" s="1" t="s">
        <v>573</v>
      </c>
      <c r="C363" s="3">
        <v>44939.250694444447</v>
      </c>
      <c r="D363" s="4">
        <f t="shared" si="21"/>
        <v>44939</v>
      </c>
      <c r="E363" s="6">
        <v>15.6611111111076</v>
      </c>
      <c r="F363" s="6" t="str" cm="1">
        <f t="array" ref="F363">_xlfn.IFS(
     AND(HOUR(session_data[[#This Row],[Time]])&gt;5,HOUR(session_data[[#This Row],[Time]])&lt;12),"Morning",
     AND(HOUR(session_data[[#This Row],[Time]])&gt;=12,HOUR(session_data[[#This Row],[Time]])&lt;17),"Afternoon",
     AND(HOUR(session_data[[#This Row],[Time]])&gt;=17,HOUR(session_data[[#This Row],[Time]])&lt;21),"Evening",
     TRUE,"Night"
)</f>
        <v>Afternoon</v>
      </c>
      <c r="G363" s="1">
        <f t="shared" si="22"/>
        <v>2023</v>
      </c>
      <c r="H363" s="1" t="str">
        <f t="shared" si="23"/>
        <v>Jan</v>
      </c>
      <c r="I363" s="1" t="str">
        <f t="shared" si="20"/>
        <v>Fri</v>
      </c>
      <c r="J363" s="1" t="s">
        <v>28</v>
      </c>
      <c r="K363" s="1" t="s">
        <v>12</v>
      </c>
      <c r="L363" s="1" t="s">
        <v>13</v>
      </c>
      <c r="M363" s="1" t="s">
        <v>32</v>
      </c>
      <c r="N363" s="1" t="s">
        <v>14</v>
      </c>
      <c r="O363" t="s">
        <v>45</v>
      </c>
    </row>
    <row r="364" spans="1:15" x14ac:dyDescent="0.25">
      <c r="A364" s="1" t="s">
        <v>574</v>
      </c>
      <c r="B364" s="1" t="s">
        <v>573</v>
      </c>
      <c r="C364" s="2">
        <v>45079.292361111111</v>
      </c>
      <c r="D364" s="4">
        <f t="shared" si="21"/>
        <v>45079</v>
      </c>
      <c r="E364" s="6">
        <v>15.7027777777742</v>
      </c>
      <c r="F364" s="6" t="str" cm="1">
        <f t="array" ref="F364">_xlfn.IFS(
     AND(HOUR(session_data[[#This Row],[Time]])&gt;5,HOUR(session_data[[#This Row],[Time]])&lt;12),"Morning",
     AND(HOUR(session_data[[#This Row],[Time]])&gt;=12,HOUR(session_data[[#This Row],[Time]])&lt;17),"Afternoon",
     AND(HOUR(session_data[[#This Row],[Time]])&gt;=17,HOUR(session_data[[#This Row],[Time]])&lt;21),"Evening",
     TRUE,"Night"
)</f>
        <v>Afternoon</v>
      </c>
      <c r="G364" s="1">
        <f t="shared" si="22"/>
        <v>2023</v>
      </c>
      <c r="H364" s="1" t="str">
        <f t="shared" si="23"/>
        <v>Jun</v>
      </c>
      <c r="I364" s="1" t="str">
        <f t="shared" si="20"/>
        <v>Fri</v>
      </c>
      <c r="J364" s="1" t="s">
        <v>28</v>
      </c>
      <c r="K364" s="1" t="s">
        <v>12</v>
      </c>
      <c r="L364" s="1" t="s">
        <v>13</v>
      </c>
      <c r="M364" s="1" t="s">
        <v>32</v>
      </c>
      <c r="N364" s="1" t="s">
        <v>22</v>
      </c>
      <c r="O364" t="s">
        <v>45</v>
      </c>
    </row>
    <row r="365" spans="1:15" x14ac:dyDescent="0.25">
      <c r="A365" s="1" t="s">
        <v>575</v>
      </c>
      <c r="B365" s="1" t="s">
        <v>573</v>
      </c>
      <c r="C365" s="2">
        <v>45171.000694444447</v>
      </c>
      <c r="D365" s="4">
        <f t="shared" si="21"/>
        <v>45171</v>
      </c>
      <c r="E365" s="6">
        <v>15.7444444444409</v>
      </c>
      <c r="F365" s="6" t="str" cm="1">
        <f t="array" ref="F365">_xlfn.IFS(
     AND(HOUR(session_data[[#This Row],[Time]])&gt;5,HOUR(session_data[[#This Row],[Time]])&lt;12),"Morning",
     AND(HOUR(session_data[[#This Row],[Time]])&gt;=12,HOUR(session_data[[#This Row],[Time]])&lt;17),"Afternoon",
     AND(HOUR(session_data[[#This Row],[Time]])&gt;=17,HOUR(session_data[[#This Row],[Time]])&lt;21),"Evening",
     TRUE,"Night"
)</f>
        <v>Evening</v>
      </c>
      <c r="G365" s="1">
        <f t="shared" si="22"/>
        <v>2023</v>
      </c>
      <c r="H365" s="1" t="str">
        <f t="shared" si="23"/>
        <v>Sep</v>
      </c>
      <c r="I365" s="1" t="str">
        <f t="shared" si="20"/>
        <v>Sat</v>
      </c>
      <c r="J365" s="1" t="s">
        <v>28</v>
      </c>
      <c r="K365" s="1" t="s">
        <v>12</v>
      </c>
      <c r="L365" s="1" t="s">
        <v>13</v>
      </c>
      <c r="M365" s="1" t="s">
        <v>32</v>
      </c>
      <c r="N365" s="1" t="s">
        <v>22</v>
      </c>
      <c r="O365" t="s">
        <v>45</v>
      </c>
    </row>
    <row r="366" spans="1:15" x14ac:dyDescent="0.25">
      <c r="A366" s="1" t="s">
        <v>576</v>
      </c>
      <c r="B366" s="1" t="s">
        <v>573</v>
      </c>
      <c r="C366" s="3">
        <v>45003.334027777775</v>
      </c>
      <c r="D366" s="4">
        <f t="shared" si="21"/>
        <v>45003</v>
      </c>
      <c r="E366" s="6">
        <v>15.7861111111076</v>
      </c>
      <c r="F366" s="6" t="str" cm="1">
        <f t="array" ref="F366">_xlfn.IFS(
     AND(HOUR(session_data[[#This Row],[Time]])&gt;5,HOUR(session_data[[#This Row],[Time]])&lt;12),"Morning",
     AND(HOUR(session_data[[#This Row],[Time]])&gt;=12,HOUR(session_data[[#This Row],[Time]])&lt;17),"Afternoon",
     AND(HOUR(session_data[[#This Row],[Time]])&gt;=17,HOUR(session_data[[#This Row],[Time]])&lt;21),"Evening",
     TRUE,"Night"
)</f>
        <v>Evening</v>
      </c>
      <c r="G366" s="1">
        <f t="shared" si="22"/>
        <v>2023</v>
      </c>
      <c r="H366" s="1" t="str">
        <f t="shared" si="23"/>
        <v>Mar</v>
      </c>
      <c r="I366" s="1" t="str">
        <f t="shared" si="20"/>
        <v>Sat</v>
      </c>
      <c r="J366" s="1" t="s">
        <v>28</v>
      </c>
      <c r="K366" s="1" t="s">
        <v>12</v>
      </c>
      <c r="L366" s="1" t="s">
        <v>13</v>
      </c>
      <c r="M366" s="1" t="s">
        <v>32</v>
      </c>
      <c r="N366" s="1" t="s">
        <v>22</v>
      </c>
      <c r="O366" t="s">
        <v>45</v>
      </c>
    </row>
    <row r="367" spans="1:15" x14ac:dyDescent="0.25">
      <c r="A367" s="1" t="s">
        <v>577</v>
      </c>
      <c r="B367" s="1" t="s">
        <v>578</v>
      </c>
      <c r="C367" s="3">
        <v>44939.917361111111</v>
      </c>
      <c r="D367" s="4">
        <f t="shared" si="21"/>
        <v>44939</v>
      </c>
      <c r="E367" s="6">
        <v>15.8277777777742</v>
      </c>
      <c r="F367" s="6" t="str" cm="1">
        <f t="array" ref="F367">_xlfn.IFS(
     AND(HOUR(session_data[[#This Row],[Time]])&gt;5,HOUR(session_data[[#This Row],[Time]])&lt;12),"Morning",
     AND(HOUR(session_data[[#This Row],[Time]])&gt;=12,HOUR(session_data[[#This Row],[Time]])&lt;17),"Afternoon",
     AND(HOUR(session_data[[#This Row],[Time]])&gt;=17,HOUR(session_data[[#This Row],[Time]])&lt;21),"Evening",
     TRUE,"Night"
)</f>
        <v>Evening</v>
      </c>
      <c r="G367" s="1">
        <f t="shared" si="22"/>
        <v>2023</v>
      </c>
      <c r="H367" s="1" t="str">
        <f t="shared" si="23"/>
        <v>Jan</v>
      </c>
      <c r="I367" s="1" t="str">
        <f t="shared" si="20"/>
        <v>Fri</v>
      </c>
      <c r="J367" s="1" t="s">
        <v>11</v>
      </c>
      <c r="K367" s="1" t="s">
        <v>29</v>
      </c>
      <c r="L367" s="1" t="s">
        <v>41</v>
      </c>
      <c r="M367" s="1" t="s">
        <v>40</v>
      </c>
      <c r="N367" s="1" t="s">
        <v>14</v>
      </c>
      <c r="O367" t="s">
        <v>15</v>
      </c>
    </row>
    <row r="368" spans="1:15" x14ac:dyDescent="0.25">
      <c r="A368" s="1" t="s">
        <v>579</v>
      </c>
      <c r="B368" s="1" t="s">
        <v>580</v>
      </c>
      <c r="C368" s="2">
        <v>45239.406944444447</v>
      </c>
      <c r="D368" s="4">
        <f t="shared" si="21"/>
        <v>45239</v>
      </c>
      <c r="E368" s="6">
        <v>15.8694444444409</v>
      </c>
      <c r="F368" s="6" t="str" cm="1">
        <f t="array" ref="F368">_xlfn.IFS(
     AND(HOUR(session_data[[#This Row],[Time]])&gt;5,HOUR(session_data[[#This Row],[Time]])&lt;12),"Morning",
     AND(HOUR(session_data[[#This Row],[Time]])&gt;=12,HOUR(session_data[[#This Row],[Time]])&lt;17),"Afternoon",
     AND(HOUR(session_data[[#This Row],[Time]])&gt;=17,HOUR(session_data[[#This Row],[Time]])&lt;21),"Evening",
     TRUE,"Night"
)</f>
        <v>Evening</v>
      </c>
      <c r="G368" s="1">
        <f t="shared" si="22"/>
        <v>2023</v>
      </c>
      <c r="H368" s="1" t="str">
        <f t="shared" si="23"/>
        <v>Nov</v>
      </c>
      <c r="I368" s="1" t="str">
        <f t="shared" si="20"/>
        <v>Thu</v>
      </c>
      <c r="J368" s="1" t="s">
        <v>18</v>
      </c>
      <c r="K368" s="1" t="s">
        <v>12</v>
      </c>
      <c r="L368" s="1" t="s">
        <v>13</v>
      </c>
      <c r="M368" s="1" t="s">
        <v>32</v>
      </c>
      <c r="N368" s="1" t="s">
        <v>14</v>
      </c>
      <c r="O368" t="s">
        <v>45</v>
      </c>
    </row>
    <row r="369" spans="1:15" x14ac:dyDescent="0.25">
      <c r="A369" s="1" t="s">
        <v>581</v>
      </c>
      <c r="B369" s="1" t="s">
        <v>582</v>
      </c>
      <c r="C369" s="3">
        <v>45003.446527777778</v>
      </c>
      <c r="D369" s="4">
        <f t="shared" si="21"/>
        <v>45003</v>
      </c>
      <c r="E369" s="6">
        <v>15.9111111111076</v>
      </c>
      <c r="F369" s="6" t="str" cm="1">
        <f t="array" ref="F369">_xlfn.IFS(
     AND(HOUR(session_data[[#This Row],[Time]])&gt;5,HOUR(session_data[[#This Row],[Time]])&lt;12),"Morning",
     AND(HOUR(session_data[[#This Row],[Time]])&gt;=12,HOUR(session_data[[#This Row],[Time]])&lt;17),"Afternoon",
     AND(HOUR(session_data[[#This Row],[Time]])&gt;=17,HOUR(session_data[[#This Row],[Time]])&lt;21),"Evening",
     TRUE,"Night"
)</f>
        <v>Night</v>
      </c>
      <c r="G369" s="1">
        <f t="shared" si="22"/>
        <v>2023</v>
      </c>
      <c r="H369" s="1" t="str">
        <f t="shared" si="23"/>
        <v>Mar</v>
      </c>
      <c r="I369" s="1" t="str">
        <f t="shared" si="20"/>
        <v>Sat</v>
      </c>
      <c r="J369" s="1" t="s">
        <v>11</v>
      </c>
      <c r="K369" s="1" t="s">
        <v>12</v>
      </c>
      <c r="L369" s="1" t="s">
        <v>41</v>
      </c>
      <c r="M369" s="1" t="s">
        <v>40</v>
      </c>
      <c r="N369" s="1" t="s">
        <v>14</v>
      </c>
      <c r="O369" t="s">
        <v>15</v>
      </c>
    </row>
    <row r="370" spans="1:15" x14ac:dyDescent="0.25">
      <c r="A370" s="1" t="s">
        <v>583</v>
      </c>
      <c r="B370" s="1" t="s">
        <v>584</v>
      </c>
      <c r="C370" s="2">
        <v>44966.459027777775</v>
      </c>
      <c r="D370" s="4">
        <f t="shared" si="21"/>
        <v>44966</v>
      </c>
      <c r="E370" s="6">
        <v>15.9527777777742</v>
      </c>
      <c r="F370" s="6" t="str" cm="1">
        <f t="array" ref="F370">_xlfn.IFS(
     AND(HOUR(session_data[[#This Row],[Time]])&gt;5,HOUR(session_data[[#This Row],[Time]])&lt;12),"Morning",
     AND(HOUR(session_data[[#This Row],[Time]])&gt;=12,HOUR(session_data[[#This Row],[Time]])&lt;17),"Afternoon",
     AND(HOUR(session_data[[#This Row],[Time]])&gt;=17,HOUR(session_data[[#This Row],[Time]])&lt;21),"Evening",
     TRUE,"Night"
)</f>
        <v>Night</v>
      </c>
      <c r="G370" s="1">
        <f t="shared" si="22"/>
        <v>2023</v>
      </c>
      <c r="H370" s="1" t="str">
        <f t="shared" si="23"/>
        <v>Feb</v>
      </c>
      <c r="I370" s="1" t="str">
        <f t="shared" si="20"/>
        <v>Thu</v>
      </c>
      <c r="J370" s="1" t="s">
        <v>28</v>
      </c>
      <c r="K370" s="1" t="s">
        <v>12</v>
      </c>
      <c r="L370" s="1" t="s">
        <v>30</v>
      </c>
      <c r="M370" s="1" t="s">
        <v>32</v>
      </c>
      <c r="N370" s="1" t="s">
        <v>14</v>
      </c>
      <c r="O370" t="s">
        <v>15</v>
      </c>
    </row>
    <row r="371" spans="1:15" x14ac:dyDescent="0.25">
      <c r="A371" s="1" t="s">
        <v>585</v>
      </c>
      <c r="B371" s="1" t="s">
        <v>584</v>
      </c>
      <c r="C371" s="3">
        <v>45198.750694444447</v>
      </c>
      <c r="D371" s="4">
        <f t="shared" si="21"/>
        <v>45198</v>
      </c>
      <c r="E371" s="6">
        <v>15.9944444444409</v>
      </c>
      <c r="F371" s="6" t="str" cm="1">
        <f t="array" ref="F371">_xlfn.IFS(
     AND(HOUR(session_data[[#This Row],[Time]])&gt;5,HOUR(session_data[[#This Row],[Time]])&lt;12),"Morning",
     AND(HOUR(session_data[[#This Row],[Time]])&gt;=12,HOUR(session_data[[#This Row],[Time]])&lt;17),"Afternoon",
     AND(HOUR(session_data[[#This Row],[Time]])&gt;=17,HOUR(session_data[[#This Row],[Time]])&lt;21),"Evening",
     TRUE,"Night"
)</f>
        <v>Night</v>
      </c>
      <c r="G371" s="1">
        <f t="shared" si="22"/>
        <v>2023</v>
      </c>
      <c r="H371" s="1" t="str">
        <f t="shared" si="23"/>
        <v>Sep</v>
      </c>
      <c r="I371" s="1" t="str">
        <f t="shared" si="20"/>
        <v>Fri</v>
      </c>
      <c r="J371" s="1" t="s">
        <v>28</v>
      </c>
      <c r="K371" s="1" t="s">
        <v>12</v>
      </c>
      <c r="L371" s="1" t="s">
        <v>30</v>
      </c>
      <c r="M371" s="1" t="s">
        <v>32</v>
      </c>
      <c r="N371" s="1" t="s">
        <v>22</v>
      </c>
      <c r="O371" t="s">
        <v>15</v>
      </c>
    </row>
    <row r="372" spans="1:15" x14ac:dyDescent="0.25">
      <c r="A372" s="1" t="s">
        <v>586</v>
      </c>
      <c r="B372" s="1" t="s">
        <v>584</v>
      </c>
      <c r="C372" s="3">
        <v>45222.750694444447</v>
      </c>
      <c r="D372" s="4">
        <f t="shared" si="21"/>
        <v>45222</v>
      </c>
      <c r="E372" s="6">
        <v>16.036111111107601</v>
      </c>
      <c r="F372" s="6" t="str" cm="1">
        <f t="array" ref="F372">_xlfn.IFS(
     AND(HOUR(session_data[[#This Row],[Time]])&gt;5,HOUR(session_data[[#This Row],[Time]])&lt;12),"Morning",
     AND(HOUR(session_data[[#This Row],[Time]])&gt;=12,HOUR(session_data[[#This Row],[Time]])&lt;17),"Afternoon",
     AND(HOUR(session_data[[#This Row],[Time]])&gt;=17,HOUR(session_data[[#This Row],[Time]])&lt;21),"Evening",
     TRUE,"Night"
)</f>
        <v>Night</v>
      </c>
      <c r="G372" s="1">
        <f t="shared" si="22"/>
        <v>2023</v>
      </c>
      <c r="H372" s="1" t="str">
        <f t="shared" si="23"/>
        <v>Oct</v>
      </c>
      <c r="I372" s="1" t="str">
        <f t="shared" si="20"/>
        <v>Mon</v>
      </c>
      <c r="J372" s="1" t="s">
        <v>28</v>
      </c>
      <c r="K372" s="1" t="s">
        <v>12</v>
      </c>
      <c r="L372" s="1" t="s">
        <v>30</v>
      </c>
      <c r="M372" s="1" t="s">
        <v>32</v>
      </c>
      <c r="N372" s="1" t="s">
        <v>22</v>
      </c>
      <c r="O372" t="s">
        <v>15</v>
      </c>
    </row>
    <row r="373" spans="1:15" x14ac:dyDescent="0.25">
      <c r="A373" s="1" t="s">
        <v>587</v>
      </c>
      <c r="B373" s="1" t="s">
        <v>584</v>
      </c>
      <c r="C373" s="2">
        <v>45057.625694444447</v>
      </c>
      <c r="D373" s="4">
        <f t="shared" si="21"/>
        <v>45057</v>
      </c>
      <c r="E373" s="6">
        <v>16.077777777774202</v>
      </c>
      <c r="F373" s="6" t="str" cm="1">
        <f t="array" ref="F373">_xlfn.IFS(
     AND(HOUR(session_data[[#This Row],[Time]])&gt;5,HOUR(session_data[[#This Row],[Time]])&lt;12),"Morning",
     AND(HOUR(session_data[[#This Row],[Time]])&gt;=12,HOUR(session_data[[#This Row],[Time]])&lt;17),"Afternoon",
     AND(HOUR(session_data[[#This Row],[Time]])&gt;=17,HOUR(session_data[[#This Row],[Time]])&lt;21),"Evening",
     TRUE,"Night"
)</f>
        <v>Night</v>
      </c>
      <c r="G373" s="1">
        <f t="shared" si="22"/>
        <v>2023</v>
      </c>
      <c r="H373" s="1" t="str">
        <f t="shared" si="23"/>
        <v>May</v>
      </c>
      <c r="I373" s="1" t="str">
        <f t="shared" si="20"/>
        <v>Thu</v>
      </c>
      <c r="J373" s="1" t="s">
        <v>28</v>
      </c>
      <c r="K373" s="1" t="s">
        <v>12</v>
      </c>
      <c r="L373" s="1" t="s">
        <v>30</v>
      </c>
      <c r="M373" s="1" t="s">
        <v>32</v>
      </c>
      <c r="N373" s="1" t="s">
        <v>22</v>
      </c>
      <c r="O373" t="s">
        <v>15</v>
      </c>
    </row>
    <row r="374" spans="1:15" x14ac:dyDescent="0.25">
      <c r="A374" s="1" t="s">
        <v>588</v>
      </c>
      <c r="B374" s="1" t="s">
        <v>589</v>
      </c>
      <c r="C374" s="3">
        <v>44942.878472222219</v>
      </c>
      <c r="D374" s="4">
        <f t="shared" si="21"/>
        <v>44942</v>
      </c>
      <c r="E374" s="6">
        <v>16.119444444440902</v>
      </c>
      <c r="F374" s="6" t="str" cm="1">
        <f t="array" ref="F374">_xlfn.IFS(
     AND(HOUR(session_data[[#This Row],[Time]])&gt;5,HOUR(session_data[[#This Row],[Time]])&lt;12),"Morning",
     AND(HOUR(session_data[[#This Row],[Time]])&gt;=12,HOUR(session_data[[#This Row],[Time]])&lt;17),"Afternoon",
     AND(HOUR(session_data[[#This Row],[Time]])&gt;=17,HOUR(session_data[[#This Row],[Time]])&lt;21),"Evening",
     TRUE,"Night"
)</f>
        <v>Night</v>
      </c>
      <c r="G374" s="1">
        <f t="shared" si="22"/>
        <v>2023</v>
      </c>
      <c r="H374" s="1" t="str">
        <f t="shared" si="23"/>
        <v>Jan</v>
      </c>
      <c r="I374" s="1" t="str">
        <f t="shared" si="20"/>
        <v>Mon</v>
      </c>
      <c r="J374" s="1" t="s">
        <v>18</v>
      </c>
      <c r="K374" s="1" t="s">
        <v>12</v>
      </c>
      <c r="L374" s="1" t="s">
        <v>59</v>
      </c>
      <c r="M374" s="1" t="s">
        <v>19</v>
      </c>
      <c r="N374" s="1" t="s">
        <v>14</v>
      </c>
      <c r="O374" t="s">
        <v>15</v>
      </c>
    </row>
    <row r="375" spans="1:15" x14ac:dyDescent="0.25">
      <c r="A375" s="1" t="s">
        <v>590</v>
      </c>
      <c r="B375" s="1" t="s">
        <v>589</v>
      </c>
      <c r="C375" s="3">
        <v>44957.253472222219</v>
      </c>
      <c r="D375" s="4">
        <f t="shared" si="21"/>
        <v>44957</v>
      </c>
      <c r="E375" s="6">
        <v>16.161111111107601</v>
      </c>
      <c r="F375" s="6" t="str" cm="1">
        <f t="array" ref="F375">_xlfn.IFS(
     AND(HOUR(session_data[[#This Row],[Time]])&gt;5,HOUR(session_data[[#This Row],[Time]])&lt;12),"Morning",
     AND(HOUR(session_data[[#This Row],[Time]])&gt;=12,HOUR(session_data[[#This Row],[Time]])&lt;17),"Afternoon",
     AND(HOUR(session_data[[#This Row],[Time]])&gt;=17,HOUR(session_data[[#This Row],[Time]])&lt;21),"Evening",
     TRUE,"Night"
)</f>
        <v>Night</v>
      </c>
      <c r="G375" s="1">
        <f t="shared" si="22"/>
        <v>2023</v>
      </c>
      <c r="H375" s="1" t="str">
        <f t="shared" si="23"/>
        <v>Jan</v>
      </c>
      <c r="I375" s="1" t="str">
        <f t="shared" si="20"/>
        <v>Tue</v>
      </c>
      <c r="J375" s="1" t="s">
        <v>18</v>
      </c>
      <c r="K375" s="1" t="s">
        <v>12</v>
      </c>
      <c r="L375" s="1" t="s">
        <v>59</v>
      </c>
      <c r="M375" s="1" t="s">
        <v>19</v>
      </c>
      <c r="N375" s="1" t="s">
        <v>22</v>
      </c>
      <c r="O375" t="s">
        <v>15</v>
      </c>
    </row>
    <row r="376" spans="1:15" x14ac:dyDescent="0.25">
      <c r="A376" s="1" t="s">
        <v>591</v>
      </c>
      <c r="B376" s="1" t="s">
        <v>589</v>
      </c>
      <c r="C376" s="3">
        <v>44978.836805555555</v>
      </c>
      <c r="D376" s="4">
        <f t="shared" si="21"/>
        <v>44978</v>
      </c>
      <c r="E376" s="6">
        <v>16.202777777774202</v>
      </c>
      <c r="F376" s="6" t="str" cm="1">
        <f t="array" ref="F376">_xlfn.IFS(
     AND(HOUR(session_data[[#This Row],[Time]])&gt;5,HOUR(session_data[[#This Row],[Time]])&lt;12),"Morning",
     AND(HOUR(session_data[[#This Row],[Time]])&gt;=12,HOUR(session_data[[#This Row],[Time]])&lt;17),"Afternoon",
     AND(HOUR(session_data[[#This Row],[Time]])&gt;=17,HOUR(session_data[[#This Row],[Time]])&lt;21),"Evening",
     TRUE,"Night"
)</f>
        <v>Night</v>
      </c>
      <c r="G376" s="1">
        <f t="shared" si="22"/>
        <v>2023</v>
      </c>
      <c r="H376" s="1" t="str">
        <f t="shared" si="23"/>
        <v>Feb</v>
      </c>
      <c r="I376" s="1" t="str">
        <f t="shared" si="20"/>
        <v>Tue</v>
      </c>
      <c r="J376" s="1" t="s">
        <v>18</v>
      </c>
      <c r="K376" s="1" t="s">
        <v>12</v>
      </c>
      <c r="L376" s="1" t="s">
        <v>59</v>
      </c>
      <c r="M376" s="1" t="s">
        <v>19</v>
      </c>
      <c r="N376" s="1" t="s">
        <v>22</v>
      </c>
      <c r="O376" t="s">
        <v>15</v>
      </c>
    </row>
    <row r="377" spans="1:15" x14ac:dyDescent="0.25">
      <c r="A377" s="1" t="s">
        <v>592</v>
      </c>
      <c r="B377" s="1" t="s">
        <v>589</v>
      </c>
      <c r="C377" s="2">
        <v>45263.878472222219</v>
      </c>
      <c r="D377" s="4">
        <f t="shared" si="21"/>
        <v>45263</v>
      </c>
      <c r="E377" s="6">
        <v>16.244444444440902</v>
      </c>
      <c r="F377" s="6" t="str" cm="1">
        <f t="array" ref="F377">_xlfn.IFS(
     AND(HOUR(session_data[[#This Row],[Time]])&gt;5,HOUR(session_data[[#This Row],[Time]])&lt;12),"Morning",
     AND(HOUR(session_data[[#This Row],[Time]])&gt;=12,HOUR(session_data[[#This Row],[Time]])&lt;17),"Afternoon",
     AND(HOUR(session_data[[#This Row],[Time]])&gt;=17,HOUR(session_data[[#This Row],[Time]])&lt;21),"Evening",
     TRUE,"Night"
)</f>
        <v>Night</v>
      </c>
      <c r="G377" s="1">
        <f t="shared" si="22"/>
        <v>2023</v>
      </c>
      <c r="H377" s="1" t="str">
        <f t="shared" si="23"/>
        <v>Dec</v>
      </c>
      <c r="I377" s="1" t="str">
        <f t="shared" si="20"/>
        <v>Sun</v>
      </c>
      <c r="J377" s="1" t="s">
        <v>18</v>
      </c>
      <c r="K377" s="1" t="s">
        <v>12</v>
      </c>
      <c r="L377" s="1" t="s">
        <v>59</v>
      </c>
      <c r="M377" s="1" t="s">
        <v>19</v>
      </c>
      <c r="N377" s="1" t="s">
        <v>22</v>
      </c>
      <c r="O377" t="s">
        <v>15</v>
      </c>
    </row>
    <row r="378" spans="1:15" x14ac:dyDescent="0.25">
      <c r="A378" s="1" t="s">
        <v>593</v>
      </c>
      <c r="B378" s="1" t="s">
        <v>594</v>
      </c>
      <c r="C378" s="3">
        <v>44939.79583333333</v>
      </c>
      <c r="D378" s="4">
        <f t="shared" si="21"/>
        <v>44939</v>
      </c>
      <c r="E378" s="6">
        <v>16.286111111107601</v>
      </c>
      <c r="F378" s="6" t="str" cm="1">
        <f t="array" ref="F378">_xlfn.IFS(
     AND(HOUR(session_data[[#This Row],[Time]])&gt;5,HOUR(session_data[[#This Row],[Time]])&lt;12),"Morning",
     AND(HOUR(session_data[[#This Row],[Time]])&gt;=12,HOUR(session_data[[#This Row],[Time]])&lt;17),"Afternoon",
     AND(HOUR(session_data[[#This Row],[Time]])&gt;=17,HOUR(session_data[[#This Row],[Time]])&lt;21),"Evening",
     TRUE,"Night"
)</f>
        <v>Morning</v>
      </c>
      <c r="G378" s="1">
        <f t="shared" si="22"/>
        <v>2023</v>
      </c>
      <c r="H378" s="1" t="str">
        <f t="shared" si="23"/>
        <v>Jan</v>
      </c>
      <c r="I378" s="1" t="str">
        <f t="shared" si="20"/>
        <v>Fri</v>
      </c>
      <c r="J378" s="1" t="s">
        <v>11</v>
      </c>
      <c r="K378" s="1" t="s">
        <v>12</v>
      </c>
      <c r="L378" s="1" t="s">
        <v>30</v>
      </c>
      <c r="M378" s="1" t="s">
        <v>32</v>
      </c>
      <c r="N378" s="1" t="s">
        <v>14</v>
      </c>
      <c r="O378" t="s">
        <v>15</v>
      </c>
    </row>
    <row r="379" spans="1:15" x14ac:dyDescent="0.25">
      <c r="A379" s="1" t="s">
        <v>595</v>
      </c>
      <c r="B379" s="1" t="s">
        <v>596</v>
      </c>
      <c r="C379" s="2">
        <v>45108.922222222223</v>
      </c>
      <c r="D379" s="4">
        <f t="shared" si="21"/>
        <v>45108</v>
      </c>
      <c r="E379" s="6">
        <v>16.327777777774202</v>
      </c>
      <c r="F379" s="6" t="str" cm="1">
        <f t="array" ref="F379">_xlfn.IFS(
     AND(HOUR(session_data[[#This Row],[Time]])&gt;5,HOUR(session_data[[#This Row],[Time]])&lt;12),"Morning",
     AND(HOUR(session_data[[#This Row],[Time]])&gt;=12,HOUR(session_data[[#This Row],[Time]])&lt;17),"Afternoon",
     AND(HOUR(session_data[[#This Row],[Time]])&gt;=17,HOUR(session_data[[#This Row],[Time]])&lt;21),"Evening",
     TRUE,"Night"
)</f>
        <v>Morning</v>
      </c>
      <c r="G379" s="1">
        <f t="shared" si="22"/>
        <v>2023</v>
      </c>
      <c r="H379" s="1" t="str">
        <f t="shared" si="23"/>
        <v>Jul</v>
      </c>
      <c r="I379" s="1" t="str">
        <f t="shared" si="20"/>
        <v>Sat</v>
      </c>
      <c r="J379" s="1" t="s">
        <v>11</v>
      </c>
      <c r="K379" s="1" t="s">
        <v>29</v>
      </c>
      <c r="L379" s="1" t="s">
        <v>59</v>
      </c>
      <c r="M379" s="1" t="s">
        <v>19</v>
      </c>
      <c r="N379" s="1" t="s">
        <v>14</v>
      </c>
      <c r="O379" t="s">
        <v>15</v>
      </c>
    </row>
    <row r="380" spans="1:15" x14ac:dyDescent="0.25">
      <c r="A380" s="1" t="s">
        <v>597</v>
      </c>
      <c r="B380" s="1" t="s">
        <v>596</v>
      </c>
      <c r="C380" s="3">
        <v>44954.088888888888</v>
      </c>
      <c r="D380" s="4">
        <f t="shared" si="21"/>
        <v>44954</v>
      </c>
      <c r="E380" s="6">
        <v>16.369444444440902</v>
      </c>
      <c r="F380" s="6" t="str" cm="1">
        <f t="array" ref="F380">_xlfn.IFS(
     AND(HOUR(session_data[[#This Row],[Time]])&gt;5,HOUR(session_data[[#This Row],[Time]])&lt;12),"Morning",
     AND(HOUR(session_data[[#This Row],[Time]])&gt;=12,HOUR(session_data[[#This Row],[Time]])&lt;17),"Afternoon",
     AND(HOUR(session_data[[#This Row],[Time]])&gt;=17,HOUR(session_data[[#This Row],[Time]])&lt;21),"Evening",
     TRUE,"Night"
)</f>
        <v>Morning</v>
      </c>
      <c r="G380" s="1">
        <f t="shared" si="22"/>
        <v>2023</v>
      </c>
      <c r="H380" s="1" t="str">
        <f t="shared" si="23"/>
        <v>Jan</v>
      </c>
      <c r="I380" s="1" t="str">
        <f t="shared" si="20"/>
        <v>Sat</v>
      </c>
      <c r="J380" s="1" t="s">
        <v>11</v>
      </c>
      <c r="K380" s="1" t="s">
        <v>29</v>
      </c>
      <c r="L380" s="1" t="s">
        <v>59</v>
      </c>
      <c r="M380" s="1" t="s">
        <v>19</v>
      </c>
      <c r="N380" s="1" t="s">
        <v>22</v>
      </c>
      <c r="O380" t="s">
        <v>15</v>
      </c>
    </row>
    <row r="381" spans="1:15" x14ac:dyDescent="0.25">
      <c r="A381" s="1" t="s">
        <v>598</v>
      </c>
      <c r="B381" s="1" t="s">
        <v>596</v>
      </c>
      <c r="C381" s="3">
        <v>44981.672222222223</v>
      </c>
      <c r="D381" s="4">
        <f t="shared" si="21"/>
        <v>44981</v>
      </c>
      <c r="E381" s="6">
        <v>16.411111111107601</v>
      </c>
      <c r="F381" s="6" t="str" cm="1">
        <f t="array" ref="F381">_xlfn.IFS(
     AND(HOUR(session_data[[#This Row],[Time]])&gt;5,HOUR(session_data[[#This Row],[Time]])&lt;12),"Morning",
     AND(HOUR(session_data[[#This Row],[Time]])&gt;=12,HOUR(session_data[[#This Row],[Time]])&lt;17),"Afternoon",
     AND(HOUR(session_data[[#This Row],[Time]])&gt;=17,HOUR(session_data[[#This Row],[Time]])&lt;21),"Evening",
     TRUE,"Night"
)</f>
        <v>Morning</v>
      </c>
      <c r="G381" s="1">
        <f t="shared" si="22"/>
        <v>2023</v>
      </c>
      <c r="H381" s="1" t="str">
        <f t="shared" si="23"/>
        <v>Feb</v>
      </c>
      <c r="I381" s="1" t="str">
        <f t="shared" si="20"/>
        <v>Fri</v>
      </c>
      <c r="J381" s="1" t="s">
        <v>11</v>
      </c>
      <c r="K381" s="1" t="s">
        <v>29</v>
      </c>
      <c r="L381" s="1" t="s">
        <v>59</v>
      </c>
      <c r="M381" s="1" t="s">
        <v>19</v>
      </c>
      <c r="N381" s="1" t="s">
        <v>22</v>
      </c>
      <c r="O381" t="s">
        <v>15</v>
      </c>
    </row>
    <row r="382" spans="1:15" x14ac:dyDescent="0.25">
      <c r="A382" s="1" t="s">
        <v>599</v>
      </c>
      <c r="B382" s="1" t="s">
        <v>600</v>
      </c>
      <c r="C382" s="3">
        <v>45061.322222222225</v>
      </c>
      <c r="D382" s="4">
        <f t="shared" si="21"/>
        <v>45061</v>
      </c>
      <c r="E382" s="6">
        <v>16.452777777774202</v>
      </c>
      <c r="F382" s="6" t="str" cm="1">
        <f t="array" ref="F382">_xlfn.IFS(
     AND(HOUR(session_data[[#This Row],[Time]])&gt;5,HOUR(session_data[[#This Row],[Time]])&lt;12),"Morning",
     AND(HOUR(session_data[[#This Row],[Time]])&gt;=12,HOUR(session_data[[#This Row],[Time]])&lt;17),"Afternoon",
     AND(HOUR(session_data[[#This Row],[Time]])&gt;=17,HOUR(session_data[[#This Row],[Time]])&lt;21),"Evening",
     TRUE,"Night"
)</f>
        <v>Morning</v>
      </c>
      <c r="G382" s="1">
        <f t="shared" si="22"/>
        <v>2023</v>
      </c>
      <c r="H382" s="1" t="str">
        <f t="shared" si="23"/>
        <v>May</v>
      </c>
      <c r="I382" s="1" t="str">
        <f t="shared" si="20"/>
        <v>Mon</v>
      </c>
      <c r="J382" s="1" t="s">
        <v>11</v>
      </c>
      <c r="K382" s="1" t="s">
        <v>12</v>
      </c>
      <c r="L382" s="1" t="s">
        <v>50</v>
      </c>
      <c r="M382" s="1" t="s">
        <v>19</v>
      </c>
      <c r="N382" s="1" t="s">
        <v>14</v>
      </c>
      <c r="O382" t="s">
        <v>15</v>
      </c>
    </row>
    <row r="383" spans="1:15" x14ac:dyDescent="0.25">
      <c r="A383" s="1" t="s">
        <v>601</v>
      </c>
      <c r="B383" s="1" t="s">
        <v>600</v>
      </c>
      <c r="C383" s="2">
        <v>44963.488888888889</v>
      </c>
      <c r="D383" s="4">
        <f t="shared" si="21"/>
        <v>44963</v>
      </c>
      <c r="E383" s="6">
        <v>16.494444444440902</v>
      </c>
      <c r="F383" s="6" t="str" cm="1">
        <f t="array" ref="F383">_xlfn.IFS(
     AND(HOUR(session_data[[#This Row],[Time]])&gt;5,HOUR(session_data[[#This Row],[Time]])&lt;12),"Morning",
     AND(HOUR(session_data[[#This Row],[Time]])&gt;=12,HOUR(session_data[[#This Row],[Time]])&lt;17),"Afternoon",
     AND(HOUR(session_data[[#This Row],[Time]])&gt;=17,HOUR(session_data[[#This Row],[Time]])&lt;21),"Evening",
     TRUE,"Night"
)</f>
        <v>Morning</v>
      </c>
      <c r="G383" s="1">
        <f t="shared" si="22"/>
        <v>2023</v>
      </c>
      <c r="H383" s="1" t="str">
        <f t="shared" si="23"/>
        <v>Feb</v>
      </c>
      <c r="I383" s="1" t="str">
        <f t="shared" si="20"/>
        <v>Mon</v>
      </c>
      <c r="J383" s="1" t="s">
        <v>11</v>
      </c>
      <c r="K383" s="1" t="s">
        <v>12</v>
      </c>
      <c r="L383" s="1" t="s">
        <v>50</v>
      </c>
      <c r="M383" s="1" t="s">
        <v>19</v>
      </c>
      <c r="N383" s="1" t="s">
        <v>22</v>
      </c>
      <c r="O383" t="s">
        <v>15</v>
      </c>
    </row>
    <row r="384" spans="1:15" x14ac:dyDescent="0.25">
      <c r="A384" s="1" t="s">
        <v>602</v>
      </c>
      <c r="B384" s="1" t="s">
        <v>600</v>
      </c>
      <c r="C384" s="3">
        <v>45106.072222222225</v>
      </c>
      <c r="D384" s="4">
        <f t="shared" si="21"/>
        <v>45106</v>
      </c>
      <c r="E384" s="6">
        <v>16.536111111107601</v>
      </c>
      <c r="F384" s="6" t="str" cm="1">
        <f t="array" ref="F384">_xlfn.IFS(
     AND(HOUR(session_data[[#This Row],[Time]])&gt;5,HOUR(session_data[[#This Row],[Time]])&lt;12),"Morning",
     AND(HOUR(session_data[[#This Row],[Time]])&gt;=12,HOUR(session_data[[#This Row],[Time]])&lt;17),"Afternoon",
     AND(HOUR(session_data[[#This Row],[Time]])&gt;=17,HOUR(session_data[[#This Row],[Time]])&lt;21),"Evening",
     TRUE,"Night"
)</f>
        <v>Afternoon</v>
      </c>
      <c r="G384" s="1">
        <f t="shared" si="22"/>
        <v>2023</v>
      </c>
      <c r="H384" s="1" t="str">
        <f t="shared" si="23"/>
        <v>Jun</v>
      </c>
      <c r="I384" s="1" t="str">
        <f t="shared" si="20"/>
        <v>Thu</v>
      </c>
      <c r="J384" s="1" t="s">
        <v>11</v>
      </c>
      <c r="K384" s="1" t="s">
        <v>12</v>
      </c>
      <c r="L384" s="1" t="s">
        <v>50</v>
      </c>
      <c r="M384" s="1" t="s">
        <v>19</v>
      </c>
      <c r="N384" s="1" t="s">
        <v>22</v>
      </c>
      <c r="O384" t="s">
        <v>15</v>
      </c>
    </row>
    <row r="385" spans="1:15" x14ac:dyDescent="0.25">
      <c r="A385" s="1" t="s">
        <v>603</v>
      </c>
      <c r="B385" s="1" t="s">
        <v>604</v>
      </c>
      <c r="C385" s="3">
        <v>44948.268055555556</v>
      </c>
      <c r="D385" s="4">
        <f t="shared" si="21"/>
        <v>44948</v>
      </c>
      <c r="E385" s="6">
        <v>16.577777777774202</v>
      </c>
      <c r="F385" s="6" t="str" cm="1">
        <f t="array" ref="F385">_xlfn.IFS(
     AND(HOUR(session_data[[#This Row],[Time]])&gt;5,HOUR(session_data[[#This Row],[Time]])&lt;12),"Morning",
     AND(HOUR(session_data[[#This Row],[Time]])&gt;=12,HOUR(session_data[[#This Row],[Time]])&lt;17),"Afternoon",
     AND(HOUR(session_data[[#This Row],[Time]])&gt;=17,HOUR(session_data[[#This Row],[Time]])&lt;21),"Evening",
     TRUE,"Night"
)</f>
        <v>Afternoon</v>
      </c>
      <c r="G385" s="1">
        <f t="shared" si="22"/>
        <v>2023</v>
      </c>
      <c r="H385" s="1" t="str">
        <f t="shared" si="23"/>
        <v>Jan</v>
      </c>
      <c r="I385" s="1" t="str">
        <f t="shared" si="20"/>
        <v>Sun</v>
      </c>
      <c r="J385" s="1" t="s">
        <v>18</v>
      </c>
      <c r="K385" s="1" t="s">
        <v>12</v>
      </c>
      <c r="L385" s="1" t="s">
        <v>59</v>
      </c>
      <c r="M385" s="1" t="s">
        <v>19</v>
      </c>
      <c r="N385" s="1" t="s">
        <v>14</v>
      </c>
      <c r="O385" t="s">
        <v>45</v>
      </c>
    </row>
    <row r="386" spans="1:15" x14ac:dyDescent="0.25">
      <c r="A386" s="1" t="s">
        <v>605</v>
      </c>
      <c r="B386" s="1" t="s">
        <v>604</v>
      </c>
      <c r="C386" s="2">
        <v>45079.893055555556</v>
      </c>
      <c r="D386" s="4">
        <f t="shared" si="21"/>
        <v>45079</v>
      </c>
      <c r="E386" s="6">
        <v>16.619444444440902</v>
      </c>
      <c r="F386" s="6" t="str" cm="1">
        <f t="array" ref="F386">_xlfn.IFS(
     AND(HOUR(session_data[[#This Row],[Time]])&gt;5,HOUR(session_data[[#This Row],[Time]])&lt;12),"Morning",
     AND(HOUR(session_data[[#This Row],[Time]])&gt;=12,HOUR(session_data[[#This Row],[Time]])&lt;17),"Afternoon",
     AND(HOUR(session_data[[#This Row],[Time]])&gt;=17,HOUR(session_data[[#This Row],[Time]])&lt;21),"Evening",
     TRUE,"Night"
)</f>
        <v>Afternoon</v>
      </c>
      <c r="G386" s="1">
        <f t="shared" si="22"/>
        <v>2023</v>
      </c>
      <c r="H386" s="1" t="str">
        <f t="shared" si="23"/>
        <v>Jun</v>
      </c>
      <c r="I386" s="1" t="str">
        <f t="shared" ref="I386:I449" si="24">TEXT(D386,"DDD")</f>
        <v>Fri</v>
      </c>
      <c r="J386" s="1" t="s">
        <v>18</v>
      </c>
      <c r="K386" s="1" t="s">
        <v>12</v>
      </c>
      <c r="L386" s="1" t="s">
        <v>59</v>
      </c>
      <c r="M386" s="1" t="s">
        <v>19</v>
      </c>
      <c r="N386" s="1" t="s">
        <v>22</v>
      </c>
      <c r="O386" t="s">
        <v>45</v>
      </c>
    </row>
    <row r="387" spans="1:15" x14ac:dyDescent="0.25">
      <c r="A387" s="1" t="s">
        <v>606</v>
      </c>
      <c r="B387" s="1" t="s">
        <v>607</v>
      </c>
      <c r="C387" s="3">
        <v>44939.161805555559</v>
      </c>
      <c r="D387" s="4">
        <f t="shared" ref="D387:D450" si="25">INT(C387)</f>
        <v>44939</v>
      </c>
      <c r="E387" s="6">
        <v>16.661111111107601</v>
      </c>
      <c r="F387" s="6" t="str" cm="1">
        <f t="array" ref="F387">_xlfn.IFS(
     AND(HOUR(session_data[[#This Row],[Time]])&gt;5,HOUR(session_data[[#This Row],[Time]])&lt;12),"Morning",
     AND(HOUR(session_data[[#This Row],[Time]])&gt;=12,HOUR(session_data[[#This Row],[Time]])&lt;17),"Afternoon",
     AND(HOUR(session_data[[#This Row],[Time]])&gt;=17,HOUR(session_data[[#This Row],[Time]])&lt;21),"Evening",
     TRUE,"Night"
)</f>
        <v>Afternoon</v>
      </c>
      <c r="G387" s="1">
        <f t="shared" ref="G387:G450" si="26">YEAR(D387)</f>
        <v>2023</v>
      </c>
      <c r="H387" s="1" t="str">
        <f t="shared" ref="H387:H450" si="27">TEXT(D387,"MMM")</f>
        <v>Jan</v>
      </c>
      <c r="I387" s="1" t="str">
        <f t="shared" si="24"/>
        <v>Fri</v>
      </c>
      <c r="J387" s="1" t="s">
        <v>44</v>
      </c>
      <c r="K387" s="1" t="s">
        <v>29</v>
      </c>
      <c r="L387" s="1" t="s">
        <v>119</v>
      </c>
      <c r="M387" s="1" t="s">
        <v>40</v>
      </c>
      <c r="N387" s="1" t="s">
        <v>14</v>
      </c>
      <c r="O387" t="s">
        <v>45</v>
      </c>
    </row>
    <row r="388" spans="1:15" x14ac:dyDescent="0.25">
      <c r="A388" s="1" t="s">
        <v>608</v>
      </c>
      <c r="B388" s="1" t="s">
        <v>607</v>
      </c>
      <c r="C388" s="2">
        <v>44987.245138888888</v>
      </c>
      <c r="D388" s="4">
        <f t="shared" si="25"/>
        <v>44987</v>
      </c>
      <c r="E388" s="6">
        <v>16.702777777774202</v>
      </c>
      <c r="F388" s="6" t="str" cm="1">
        <f t="array" ref="F388">_xlfn.IFS(
     AND(HOUR(session_data[[#This Row],[Time]])&gt;5,HOUR(session_data[[#This Row],[Time]])&lt;12),"Morning",
     AND(HOUR(session_data[[#This Row],[Time]])&gt;=12,HOUR(session_data[[#This Row],[Time]])&lt;17),"Afternoon",
     AND(HOUR(session_data[[#This Row],[Time]])&gt;=17,HOUR(session_data[[#This Row],[Time]])&lt;21),"Evening",
     TRUE,"Night"
)</f>
        <v>Afternoon</v>
      </c>
      <c r="G388" s="1">
        <f t="shared" si="26"/>
        <v>2023</v>
      </c>
      <c r="H388" s="1" t="str">
        <f t="shared" si="27"/>
        <v>Mar</v>
      </c>
      <c r="I388" s="1" t="str">
        <f t="shared" si="24"/>
        <v>Thu</v>
      </c>
      <c r="J388" s="1" t="s">
        <v>44</v>
      </c>
      <c r="K388" s="1" t="s">
        <v>29</v>
      </c>
      <c r="L388" s="1" t="s">
        <v>119</v>
      </c>
      <c r="M388" s="1" t="s">
        <v>40</v>
      </c>
      <c r="N388" s="1" t="s">
        <v>22</v>
      </c>
      <c r="O388" t="s">
        <v>45</v>
      </c>
    </row>
    <row r="389" spans="1:15" x14ac:dyDescent="0.25">
      <c r="A389" s="1" t="s">
        <v>609</v>
      </c>
      <c r="B389" s="1" t="s">
        <v>610</v>
      </c>
      <c r="C389" s="3">
        <v>45012.731944444444</v>
      </c>
      <c r="D389" s="4">
        <f t="shared" si="25"/>
        <v>45012</v>
      </c>
      <c r="E389" s="6">
        <v>16.744444444440902</v>
      </c>
      <c r="F389" s="6" t="str" cm="1">
        <f t="array" ref="F389">_xlfn.IFS(
     AND(HOUR(session_data[[#This Row],[Time]])&gt;5,HOUR(session_data[[#This Row],[Time]])&lt;12),"Morning",
     AND(HOUR(session_data[[#This Row],[Time]])&gt;=12,HOUR(session_data[[#This Row],[Time]])&lt;17),"Afternoon",
     AND(HOUR(session_data[[#This Row],[Time]])&gt;=17,HOUR(session_data[[#This Row],[Time]])&lt;21),"Evening",
     TRUE,"Night"
)</f>
        <v>Evening</v>
      </c>
      <c r="G389" s="1">
        <f t="shared" si="26"/>
        <v>2023</v>
      </c>
      <c r="H389" s="1" t="str">
        <f t="shared" si="27"/>
        <v>Mar</v>
      </c>
      <c r="I389" s="1" t="str">
        <f t="shared" si="24"/>
        <v>Mon</v>
      </c>
      <c r="J389" s="1" t="s">
        <v>11</v>
      </c>
      <c r="K389" s="1" t="s">
        <v>29</v>
      </c>
      <c r="L389" s="1" t="s">
        <v>59</v>
      </c>
      <c r="M389" s="1" t="s">
        <v>19</v>
      </c>
      <c r="N389" s="1" t="s">
        <v>14</v>
      </c>
      <c r="O389" t="s">
        <v>15</v>
      </c>
    </row>
    <row r="390" spans="1:15" x14ac:dyDescent="0.25">
      <c r="A390" s="1" t="s">
        <v>611</v>
      </c>
      <c r="B390" s="1" t="s">
        <v>612</v>
      </c>
      <c r="C390" s="3">
        <v>44951.504861111112</v>
      </c>
      <c r="D390" s="4">
        <f t="shared" si="25"/>
        <v>44951</v>
      </c>
      <c r="E390" s="6">
        <v>16.786111111107601</v>
      </c>
      <c r="F390" s="6" t="str" cm="1">
        <f t="array" ref="F390">_xlfn.IFS(
     AND(HOUR(session_data[[#This Row],[Time]])&gt;5,HOUR(session_data[[#This Row],[Time]])&lt;12),"Morning",
     AND(HOUR(session_data[[#This Row],[Time]])&gt;=12,HOUR(session_data[[#This Row],[Time]])&lt;17),"Afternoon",
     AND(HOUR(session_data[[#This Row],[Time]])&gt;=17,HOUR(session_data[[#This Row],[Time]])&lt;21),"Evening",
     TRUE,"Night"
)</f>
        <v>Evening</v>
      </c>
      <c r="G390" s="1">
        <f t="shared" si="26"/>
        <v>2023</v>
      </c>
      <c r="H390" s="1" t="str">
        <f t="shared" si="27"/>
        <v>Jan</v>
      </c>
      <c r="I390" s="1" t="str">
        <f t="shared" si="24"/>
        <v>Wed</v>
      </c>
      <c r="J390" s="1" t="s">
        <v>11</v>
      </c>
      <c r="K390" s="1" t="s">
        <v>12</v>
      </c>
      <c r="L390" s="1" t="s">
        <v>41</v>
      </c>
      <c r="M390" s="1" t="s">
        <v>40</v>
      </c>
      <c r="N390" s="1" t="s">
        <v>14</v>
      </c>
      <c r="O390" t="s">
        <v>15</v>
      </c>
    </row>
    <row r="391" spans="1:15" x14ac:dyDescent="0.25">
      <c r="A391" s="1" t="s">
        <v>613</v>
      </c>
      <c r="B391" s="1" t="s">
        <v>614</v>
      </c>
      <c r="C391" s="2">
        <v>45054.722916666666</v>
      </c>
      <c r="D391" s="4">
        <f t="shared" si="25"/>
        <v>45054</v>
      </c>
      <c r="E391" s="6">
        <v>16.827777777774202</v>
      </c>
      <c r="F391" s="6" t="str" cm="1">
        <f t="array" ref="F391">_xlfn.IFS(
     AND(HOUR(session_data[[#This Row],[Time]])&gt;5,HOUR(session_data[[#This Row],[Time]])&lt;12),"Morning",
     AND(HOUR(session_data[[#This Row],[Time]])&gt;=12,HOUR(session_data[[#This Row],[Time]])&lt;17),"Afternoon",
     AND(HOUR(session_data[[#This Row],[Time]])&gt;=17,HOUR(session_data[[#This Row],[Time]])&lt;21),"Evening",
     TRUE,"Night"
)</f>
        <v>Evening</v>
      </c>
      <c r="G391" s="1">
        <f t="shared" si="26"/>
        <v>2023</v>
      </c>
      <c r="H391" s="1" t="str">
        <f t="shared" si="27"/>
        <v>May</v>
      </c>
      <c r="I391" s="1" t="str">
        <f t="shared" si="24"/>
        <v>Mon</v>
      </c>
      <c r="J391" s="1" t="s">
        <v>18</v>
      </c>
      <c r="K391" s="1" t="s">
        <v>12</v>
      </c>
      <c r="L391" s="1" t="s">
        <v>50</v>
      </c>
      <c r="M391" s="1" t="s">
        <v>19</v>
      </c>
      <c r="N391" s="1" t="s">
        <v>14</v>
      </c>
      <c r="O391" t="s">
        <v>45</v>
      </c>
    </row>
    <row r="392" spans="1:15" x14ac:dyDescent="0.25">
      <c r="A392" s="1" t="s">
        <v>615</v>
      </c>
      <c r="B392" s="1" t="s">
        <v>614</v>
      </c>
      <c r="C392" s="2">
        <v>45055.222916666666</v>
      </c>
      <c r="D392" s="4">
        <f t="shared" si="25"/>
        <v>45055</v>
      </c>
      <c r="E392" s="6">
        <v>16.869444444440902</v>
      </c>
      <c r="F392" s="6" t="str" cm="1">
        <f t="array" ref="F392">_xlfn.IFS(
     AND(HOUR(session_data[[#This Row],[Time]])&gt;5,HOUR(session_data[[#This Row],[Time]])&lt;12),"Morning",
     AND(HOUR(session_data[[#This Row],[Time]])&gt;=12,HOUR(session_data[[#This Row],[Time]])&lt;17),"Afternoon",
     AND(HOUR(session_data[[#This Row],[Time]])&gt;=17,HOUR(session_data[[#This Row],[Time]])&lt;21),"Evening",
     TRUE,"Night"
)</f>
        <v>Evening</v>
      </c>
      <c r="G392" s="1">
        <f t="shared" si="26"/>
        <v>2023</v>
      </c>
      <c r="H392" s="1" t="str">
        <f t="shared" si="27"/>
        <v>May</v>
      </c>
      <c r="I392" s="1" t="str">
        <f t="shared" si="24"/>
        <v>Tue</v>
      </c>
      <c r="J392" s="1" t="s">
        <v>18</v>
      </c>
      <c r="K392" s="1" t="s">
        <v>12</v>
      </c>
      <c r="L392" s="1" t="s">
        <v>50</v>
      </c>
      <c r="M392" s="1" t="s">
        <v>19</v>
      </c>
      <c r="N392" s="1" t="s">
        <v>22</v>
      </c>
      <c r="O392" t="s">
        <v>45</v>
      </c>
    </row>
    <row r="393" spans="1:15" x14ac:dyDescent="0.25">
      <c r="A393" s="1" t="s">
        <v>616</v>
      </c>
      <c r="B393" s="1" t="s">
        <v>614</v>
      </c>
      <c r="C393" s="3">
        <v>45192.181250000001</v>
      </c>
      <c r="D393" s="4">
        <f t="shared" si="25"/>
        <v>45192</v>
      </c>
      <c r="E393" s="6">
        <v>16.911111111107601</v>
      </c>
      <c r="F393" s="6" t="str" cm="1">
        <f t="array" ref="F393">_xlfn.IFS(
     AND(HOUR(session_data[[#This Row],[Time]])&gt;5,HOUR(session_data[[#This Row],[Time]])&lt;12),"Morning",
     AND(HOUR(session_data[[#This Row],[Time]])&gt;=12,HOUR(session_data[[#This Row],[Time]])&lt;17),"Afternoon",
     AND(HOUR(session_data[[#This Row],[Time]])&gt;=17,HOUR(session_data[[#This Row],[Time]])&lt;21),"Evening",
     TRUE,"Night"
)</f>
        <v>Night</v>
      </c>
      <c r="G393" s="1">
        <f t="shared" si="26"/>
        <v>2023</v>
      </c>
      <c r="H393" s="1" t="str">
        <f t="shared" si="27"/>
        <v>Sep</v>
      </c>
      <c r="I393" s="1" t="str">
        <f t="shared" si="24"/>
        <v>Sat</v>
      </c>
      <c r="J393" s="1" t="s">
        <v>18</v>
      </c>
      <c r="K393" s="1" t="s">
        <v>12</v>
      </c>
      <c r="L393" s="1" t="s">
        <v>50</v>
      </c>
      <c r="M393" s="1" t="s">
        <v>19</v>
      </c>
      <c r="N393" s="1" t="s">
        <v>22</v>
      </c>
      <c r="O393" t="s">
        <v>45</v>
      </c>
    </row>
    <row r="394" spans="1:15" x14ac:dyDescent="0.25">
      <c r="A394" s="1" t="s">
        <v>617</v>
      </c>
      <c r="B394" s="1" t="s">
        <v>614</v>
      </c>
      <c r="C394" s="2">
        <v>45056.222916666666</v>
      </c>
      <c r="D394" s="4">
        <f t="shared" si="25"/>
        <v>45056</v>
      </c>
      <c r="E394" s="6">
        <v>16.952777777774202</v>
      </c>
      <c r="F394" s="6" t="str" cm="1">
        <f t="array" ref="F394">_xlfn.IFS(
     AND(HOUR(session_data[[#This Row],[Time]])&gt;5,HOUR(session_data[[#This Row],[Time]])&lt;12),"Morning",
     AND(HOUR(session_data[[#This Row],[Time]])&gt;=12,HOUR(session_data[[#This Row],[Time]])&lt;17),"Afternoon",
     AND(HOUR(session_data[[#This Row],[Time]])&gt;=17,HOUR(session_data[[#This Row],[Time]])&lt;21),"Evening",
     TRUE,"Night"
)</f>
        <v>Night</v>
      </c>
      <c r="G394" s="1">
        <f t="shared" si="26"/>
        <v>2023</v>
      </c>
      <c r="H394" s="1" t="str">
        <f t="shared" si="27"/>
        <v>May</v>
      </c>
      <c r="I394" s="1" t="str">
        <f t="shared" si="24"/>
        <v>Wed</v>
      </c>
      <c r="J394" s="1" t="s">
        <v>18</v>
      </c>
      <c r="K394" s="1" t="s">
        <v>12</v>
      </c>
      <c r="L394" s="1" t="s">
        <v>50</v>
      </c>
      <c r="M394" s="1" t="s">
        <v>19</v>
      </c>
      <c r="N394" s="1" t="s">
        <v>22</v>
      </c>
      <c r="O394" t="s">
        <v>45</v>
      </c>
    </row>
    <row r="395" spans="1:15" x14ac:dyDescent="0.25">
      <c r="A395" s="1" t="s">
        <v>618</v>
      </c>
      <c r="B395" s="1" t="s">
        <v>619</v>
      </c>
      <c r="C395" s="3">
        <v>45015.313888888886</v>
      </c>
      <c r="D395" s="4">
        <f t="shared" si="25"/>
        <v>45015</v>
      </c>
      <c r="E395" s="6">
        <v>16.994444444440902</v>
      </c>
      <c r="F395" s="6" t="str" cm="1">
        <f t="array" ref="F395">_xlfn.IFS(
     AND(HOUR(session_data[[#This Row],[Time]])&gt;5,HOUR(session_data[[#This Row],[Time]])&lt;12),"Morning",
     AND(HOUR(session_data[[#This Row],[Time]])&gt;=12,HOUR(session_data[[#This Row],[Time]])&lt;17),"Afternoon",
     AND(HOUR(session_data[[#This Row],[Time]])&gt;=17,HOUR(session_data[[#This Row],[Time]])&lt;21),"Evening",
     TRUE,"Night"
)</f>
        <v>Night</v>
      </c>
      <c r="G395" s="1">
        <f t="shared" si="26"/>
        <v>2023</v>
      </c>
      <c r="H395" s="1" t="str">
        <f t="shared" si="27"/>
        <v>Mar</v>
      </c>
      <c r="I395" s="1" t="str">
        <f t="shared" si="24"/>
        <v>Thu</v>
      </c>
      <c r="J395" s="1" t="s">
        <v>11</v>
      </c>
      <c r="K395" s="1" t="s">
        <v>29</v>
      </c>
      <c r="L395" s="1" t="s">
        <v>30</v>
      </c>
      <c r="M395" s="1" t="s">
        <v>32</v>
      </c>
      <c r="N395" s="1" t="s">
        <v>14</v>
      </c>
      <c r="O395" t="s">
        <v>45</v>
      </c>
    </row>
    <row r="396" spans="1:15" x14ac:dyDescent="0.25">
      <c r="A396" s="1" t="s">
        <v>620</v>
      </c>
      <c r="B396" s="1" t="s">
        <v>619</v>
      </c>
      <c r="C396" s="3">
        <v>45042.688888888886</v>
      </c>
      <c r="D396" s="4">
        <f t="shared" si="25"/>
        <v>45042</v>
      </c>
      <c r="E396" s="6">
        <v>17.036111111107601</v>
      </c>
      <c r="F396" s="6" t="str" cm="1">
        <f t="array" ref="F396">_xlfn.IFS(
     AND(HOUR(session_data[[#This Row],[Time]])&gt;5,HOUR(session_data[[#This Row],[Time]])&lt;12),"Morning",
     AND(HOUR(session_data[[#This Row],[Time]])&gt;=12,HOUR(session_data[[#This Row],[Time]])&lt;17),"Afternoon",
     AND(HOUR(session_data[[#This Row],[Time]])&gt;=17,HOUR(session_data[[#This Row],[Time]])&lt;21),"Evening",
     TRUE,"Night"
)</f>
        <v>Night</v>
      </c>
      <c r="G396" s="1">
        <f t="shared" si="26"/>
        <v>2023</v>
      </c>
      <c r="H396" s="1" t="str">
        <f t="shared" si="27"/>
        <v>Apr</v>
      </c>
      <c r="I396" s="1" t="str">
        <f t="shared" si="24"/>
        <v>Wed</v>
      </c>
      <c r="J396" s="1" t="s">
        <v>11</v>
      </c>
      <c r="K396" s="1" t="s">
        <v>29</v>
      </c>
      <c r="L396" s="1" t="s">
        <v>30</v>
      </c>
      <c r="M396" s="1" t="s">
        <v>32</v>
      </c>
      <c r="N396" s="1" t="s">
        <v>22</v>
      </c>
      <c r="O396" t="s">
        <v>45</v>
      </c>
    </row>
    <row r="397" spans="1:15" x14ac:dyDescent="0.25">
      <c r="A397" s="1" t="s">
        <v>621</v>
      </c>
      <c r="B397" s="1" t="s">
        <v>619</v>
      </c>
      <c r="C397" s="2">
        <v>44990.105555555558</v>
      </c>
      <c r="D397" s="4">
        <f t="shared" si="25"/>
        <v>44990</v>
      </c>
      <c r="E397" s="6">
        <v>17.077777777774202</v>
      </c>
      <c r="F397" s="6" t="str" cm="1">
        <f t="array" ref="F397">_xlfn.IFS(
     AND(HOUR(session_data[[#This Row],[Time]])&gt;5,HOUR(session_data[[#This Row],[Time]])&lt;12),"Morning",
     AND(HOUR(session_data[[#This Row],[Time]])&gt;=12,HOUR(session_data[[#This Row],[Time]])&lt;17),"Afternoon",
     AND(HOUR(session_data[[#This Row],[Time]])&gt;=17,HOUR(session_data[[#This Row],[Time]])&lt;21),"Evening",
     TRUE,"Night"
)</f>
        <v>Night</v>
      </c>
      <c r="G397" s="1">
        <f t="shared" si="26"/>
        <v>2023</v>
      </c>
      <c r="H397" s="1" t="str">
        <f t="shared" si="27"/>
        <v>Mar</v>
      </c>
      <c r="I397" s="1" t="str">
        <f t="shared" si="24"/>
        <v>Sun</v>
      </c>
      <c r="J397" s="1" t="s">
        <v>11</v>
      </c>
      <c r="K397" s="1" t="s">
        <v>29</v>
      </c>
      <c r="L397" s="1" t="s">
        <v>30</v>
      </c>
      <c r="M397" s="1" t="s">
        <v>32</v>
      </c>
      <c r="N397" s="1" t="s">
        <v>22</v>
      </c>
      <c r="O397" t="s">
        <v>45</v>
      </c>
    </row>
    <row r="398" spans="1:15" x14ac:dyDescent="0.25">
      <c r="A398" s="1" t="s">
        <v>622</v>
      </c>
      <c r="B398" s="1" t="s">
        <v>619</v>
      </c>
      <c r="C398" s="2">
        <v>45144.022222222222</v>
      </c>
      <c r="D398" s="4">
        <f t="shared" si="25"/>
        <v>45144</v>
      </c>
      <c r="E398" s="6">
        <v>17.119444444440902</v>
      </c>
      <c r="F398" s="6" t="str" cm="1">
        <f t="array" ref="F398">_xlfn.IFS(
     AND(HOUR(session_data[[#This Row],[Time]])&gt;5,HOUR(session_data[[#This Row],[Time]])&lt;12),"Morning",
     AND(HOUR(session_data[[#This Row],[Time]])&gt;=12,HOUR(session_data[[#This Row],[Time]])&lt;17),"Afternoon",
     AND(HOUR(session_data[[#This Row],[Time]])&gt;=17,HOUR(session_data[[#This Row],[Time]])&lt;21),"Evening",
     TRUE,"Night"
)</f>
        <v>Night</v>
      </c>
      <c r="G398" s="1">
        <f t="shared" si="26"/>
        <v>2023</v>
      </c>
      <c r="H398" s="1" t="str">
        <f t="shared" si="27"/>
        <v>Aug</v>
      </c>
      <c r="I398" s="1" t="str">
        <f t="shared" si="24"/>
        <v>Sun</v>
      </c>
      <c r="J398" s="1" t="s">
        <v>11</v>
      </c>
      <c r="K398" s="1" t="s">
        <v>29</v>
      </c>
      <c r="L398" s="1" t="s">
        <v>30</v>
      </c>
      <c r="M398" s="1" t="s">
        <v>32</v>
      </c>
      <c r="N398" s="1" t="s">
        <v>22</v>
      </c>
      <c r="O398" t="s">
        <v>45</v>
      </c>
    </row>
    <row r="399" spans="1:15" x14ac:dyDescent="0.25">
      <c r="A399" s="1" t="s">
        <v>623</v>
      </c>
      <c r="B399" s="1" t="s">
        <v>624</v>
      </c>
      <c r="C399" s="3">
        <v>44973.322222222225</v>
      </c>
      <c r="D399" s="4">
        <f t="shared" si="25"/>
        <v>44973</v>
      </c>
      <c r="E399" s="6">
        <v>17.161111111107601</v>
      </c>
      <c r="F399" s="6" t="str" cm="1">
        <f t="array" ref="F399">_xlfn.IFS(
     AND(HOUR(session_data[[#This Row],[Time]])&gt;5,HOUR(session_data[[#This Row],[Time]])&lt;12),"Morning",
     AND(HOUR(session_data[[#This Row],[Time]])&gt;=12,HOUR(session_data[[#This Row],[Time]])&lt;17),"Afternoon",
     AND(HOUR(session_data[[#This Row],[Time]])&gt;=17,HOUR(session_data[[#This Row],[Time]])&lt;21),"Evening",
     TRUE,"Night"
)</f>
        <v>Night</v>
      </c>
      <c r="G399" s="1">
        <f t="shared" si="26"/>
        <v>2023</v>
      </c>
      <c r="H399" s="1" t="str">
        <f t="shared" si="27"/>
        <v>Feb</v>
      </c>
      <c r="I399" s="1" t="str">
        <f t="shared" si="24"/>
        <v>Thu</v>
      </c>
      <c r="J399" s="1" t="s">
        <v>18</v>
      </c>
      <c r="K399" s="1" t="s">
        <v>12</v>
      </c>
      <c r="L399" s="1" t="s">
        <v>20</v>
      </c>
      <c r="M399" s="1" t="s">
        <v>19</v>
      </c>
      <c r="N399" s="1" t="s">
        <v>14</v>
      </c>
      <c r="O399" t="s">
        <v>15</v>
      </c>
    </row>
    <row r="400" spans="1:15" x14ac:dyDescent="0.25">
      <c r="A400" s="1" t="s">
        <v>625</v>
      </c>
      <c r="B400" s="1" t="s">
        <v>624</v>
      </c>
      <c r="C400" s="2">
        <v>45201.613888888889</v>
      </c>
      <c r="D400" s="4">
        <f t="shared" si="25"/>
        <v>45201</v>
      </c>
      <c r="E400" s="6">
        <v>17.202777777774202</v>
      </c>
      <c r="F400" s="6" t="str" cm="1">
        <f t="array" ref="F400">_xlfn.IFS(
     AND(HOUR(session_data[[#This Row],[Time]])&gt;5,HOUR(session_data[[#This Row],[Time]])&lt;12),"Morning",
     AND(HOUR(session_data[[#This Row],[Time]])&gt;=12,HOUR(session_data[[#This Row],[Time]])&lt;17),"Afternoon",
     AND(HOUR(session_data[[#This Row],[Time]])&gt;=17,HOUR(session_data[[#This Row],[Time]])&lt;21),"Evening",
     TRUE,"Night"
)</f>
        <v>Night</v>
      </c>
      <c r="G400" s="1">
        <f t="shared" si="26"/>
        <v>2023</v>
      </c>
      <c r="H400" s="1" t="str">
        <f t="shared" si="27"/>
        <v>Oct</v>
      </c>
      <c r="I400" s="1" t="str">
        <f t="shared" si="24"/>
        <v>Mon</v>
      </c>
      <c r="J400" s="1" t="s">
        <v>18</v>
      </c>
      <c r="K400" s="1" t="s">
        <v>12</v>
      </c>
      <c r="L400" s="1" t="s">
        <v>20</v>
      </c>
      <c r="M400" s="1" t="s">
        <v>19</v>
      </c>
      <c r="N400" s="1" t="s">
        <v>22</v>
      </c>
      <c r="O400" t="s">
        <v>15</v>
      </c>
    </row>
    <row r="401" spans="1:15" x14ac:dyDescent="0.25">
      <c r="A401" s="1" t="s">
        <v>626</v>
      </c>
      <c r="B401" s="1" t="s">
        <v>627</v>
      </c>
      <c r="C401" s="3">
        <v>44955.754166666666</v>
      </c>
      <c r="D401" s="4">
        <f t="shared" si="25"/>
        <v>44955</v>
      </c>
      <c r="E401" s="6">
        <v>17.244444444440902</v>
      </c>
      <c r="F401" s="6" t="str" cm="1">
        <f t="array" ref="F401">_xlfn.IFS(
     AND(HOUR(session_data[[#This Row],[Time]])&gt;5,HOUR(session_data[[#This Row],[Time]])&lt;12),"Morning",
     AND(HOUR(session_data[[#This Row],[Time]])&gt;=12,HOUR(session_data[[#This Row],[Time]])&lt;17),"Afternoon",
     AND(HOUR(session_data[[#This Row],[Time]])&gt;=17,HOUR(session_data[[#This Row],[Time]])&lt;21),"Evening",
     TRUE,"Night"
)</f>
        <v>Night</v>
      </c>
      <c r="G401" s="1">
        <f t="shared" si="26"/>
        <v>2023</v>
      </c>
      <c r="H401" s="1" t="str">
        <f t="shared" si="27"/>
        <v>Jan</v>
      </c>
      <c r="I401" s="1" t="str">
        <f t="shared" si="24"/>
        <v>Sun</v>
      </c>
      <c r="J401" s="1" t="s">
        <v>11</v>
      </c>
      <c r="K401" s="1" t="s">
        <v>29</v>
      </c>
      <c r="L401" s="1" t="s">
        <v>59</v>
      </c>
      <c r="M401" s="1" t="s">
        <v>19</v>
      </c>
      <c r="N401" s="1" t="s">
        <v>14</v>
      </c>
      <c r="O401" t="s">
        <v>45</v>
      </c>
    </row>
    <row r="402" spans="1:15" x14ac:dyDescent="0.25">
      <c r="A402" s="1" t="s">
        <v>628</v>
      </c>
      <c r="B402" s="1" t="s">
        <v>629</v>
      </c>
      <c r="C402" s="2">
        <v>45144.670138888891</v>
      </c>
      <c r="D402" s="4">
        <f t="shared" si="25"/>
        <v>45144</v>
      </c>
      <c r="E402" s="6">
        <v>17.286111111107601</v>
      </c>
      <c r="F402" s="6" t="str" cm="1">
        <f t="array" ref="F402">_xlfn.IFS(
     AND(HOUR(session_data[[#This Row],[Time]])&gt;5,HOUR(session_data[[#This Row],[Time]])&lt;12),"Morning",
     AND(HOUR(session_data[[#This Row],[Time]])&gt;=12,HOUR(session_data[[#This Row],[Time]])&lt;17),"Afternoon",
     AND(HOUR(session_data[[#This Row],[Time]])&gt;=17,HOUR(session_data[[#This Row],[Time]])&lt;21),"Evening",
     TRUE,"Night"
)</f>
        <v>Morning</v>
      </c>
      <c r="G402" s="1">
        <f t="shared" si="26"/>
        <v>2023</v>
      </c>
      <c r="H402" s="1" t="str">
        <f t="shared" si="27"/>
        <v>Aug</v>
      </c>
      <c r="I402" s="1" t="str">
        <f t="shared" si="24"/>
        <v>Sun</v>
      </c>
      <c r="J402" s="1" t="s">
        <v>18</v>
      </c>
      <c r="K402" s="1" t="s">
        <v>29</v>
      </c>
      <c r="L402" s="1" t="s">
        <v>50</v>
      </c>
      <c r="M402" s="1" t="s">
        <v>19</v>
      </c>
      <c r="N402" s="1" t="s">
        <v>14</v>
      </c>
      <c r="O402" t="s">
        <v>45</v>
      </c>
    </row>
    <row r="403" spans="1:15" x14ac:dyDescent="0.25">
      <c r="A403" s="1" t="s">
        <v>630</v>
      </c>
      <c r="B403" s="1" t="s">
        <v>631</v>
      </c>
      <c r="C403" s="3">
        <v>44984.490277777775</v>
      </c>
      <c r="D403" s="4">
        <f t="shared" si="25"/>
        <v>44984</v>
      </c>
      <c r="E403" s="6">
        <v>17.327777777774202</v>
      </c>
      <c r="F403" s="6" t="str" cm="1">
        <f t="array" ref="F403">_xlfn.IFS(
     AND(HOUR(session_data[[#This Row],[Time]])&gt;5,HOUR(session_data[[#This Row],[Time]])&lt;12),"Morning",
     AND(HOUR(session_data[[#This Row],[Time]])&gt;=12,HOUR(session_data[[#This Row],[Time]])&lt;17),"Afternoon",
     AND(HOUR(session_data[[#This Row],[Time]])&gt;=17,HOUR(session_data[[#This Row],[Time]])&lt;21),"Evening",
     TRUE,"Night"
)</f>
        <v>Morning</v>
      </c>
      <c r="G403" s="1">
        <f t="shared" si="26"/>
        <v>2023</v>
      </c>
      <c r="H403" s="1" t="str">
        <f t="shared" si="27"/>
        <v>Feb</v>
      </c>
      <c r="I403" s="1" t="str">
        <f t="shared" si="24"/>
        <v>Mon</v>
      </c>
      <c r="J403" s="1" t="s">
        <v>18</v>
      </c>
      <c r="K403" s="1" t="s">
        <v>12</v>
      </c>
      <c r="L403" s="1" t="s">
        <v>59</v>
      </c>
      <c r="M403" s="1" t="s">
        <v>19</v>
      </c>
      <c r="N403" s="1" t="s">
        <v>14</v>
      </c>
      <c r="O403" t="s">
        <v>15</v>
      </c>
    </row>
    <row r="404" spans="1:15" x14ac:dyDescent="0.25">
      <c r="A404" s="1" t="s">
        <v>632</v>
      </c>
      <c r="B404" s="1" t="s">
        <v>631</v>
      </c>
      <c r="C404" s="2">
        <v>45263.823611111111</v>
      </c>
      <c r="D404" s="4">
        <f t="shared" si="25"/>
        <v>45263</v>
      </c>
      <c r="E404" s="6">
        <v>17.369444444440902</v>
      </c>
      <c r="F404" s="6" t="str" cm="1">
        <f t="array" ref="F404">_xlfn.IFS(
     AND(HOUR(session_data[[#This Row],[Time]])&gt;5,HOUR(session_data[[#This Row],[Time]])&lt;12),"Morning",
     AND(HOUR(session_data[[#This Row],[Time]])&gt;=12,HOUR(session_data[[#This Row],[Time]])&lt;17),"Afternoon",
     AND(HOUR(session_data[[#This Row],[Time]])&gt;=17,HOUR(session_data[[#This Row],[Time]])&lt;21),"Evening",
     TRUE,"Night"
)</f>
        <v>Morning</v>
      </c>
      <c r="G404" s="1">
        <f t="shared" si="26"/>
        <v>2023</v>
      </c>
      <c r="H404" s="1" t="str">
        <f t="shared" si="27"/>
        <v>Dec</v>
      </c>
      <c r="I404" s="1" t="str">
        <f t="shared" si="24"/>
        <v>Sun</v>
      </c>
      <c r="J404" s="1" t="s">
        <v>18</v>
      </c>
      <c r="K404" s="1" t="s">
        <v>12</v>
      </c>
      <c r="L404" s="1" t="s">
        <v>59</v>
      </c>
      <c r="M404" s="1" t="s">
        <v>19</v>
      </c>
      <c r="N404" s="1" t="s">
        <v>22</v>
      </c>
      <c r="O404" t="s">
        <v>15</v>
      </c>
    </row>
    <row r="405" spans="1:15" x14ac:dyDescent="0.25">
      <c r="A405" s="1" t="s">
        <v>633</v>
      </c>
      <c r="B405" s="1" t="s">
        <v>631</v>
      </c>
      <c r="C405" s="3">
        <v>45015.323611111111</v>
      </c>
      <c r="D405" s="4">
        <f t="shared" si="25"/>
        <v>45015</v>
      </c>
      <c r="E405" s="6">
        <v>17.411111111107601</v>
      </c>
      <c r="F405" s="6" t="str" cm="1">
        <f t="array" ref="F405">_xlfn.IFS(
     AND(HOUR(session_data[[#This Row],[Time]])&gt;5,HOUR(session_data[[#This Row],[Time]])&lt;12),"Morning",
     AND(HOUR(session_data[[#This Row],[Time]])&gt;=12,HOUR(session_data[[#This Row],[Time]])&lt;17),"Afternoon",
     AND(HOUR(session_data[[#This Row],[Time]])&gt;=17,HOUR(session_data[[#This Row],[Time]])&lt;21),"Evening",
     TRUE,"Night"
)</f>
        <v>Morning</v>
      </c>
      <c r="G405" s="1">
        <f t="shared" si="26"/>
        <v>2023</v>
      </c>
      <c r="H405" s="1" t="str">
        <f t="shared" si="27"/>
        <v>Mar</v>
      </c>
      <c r="I405" s="1" t="str">
        <f t="shared" si="24"/>
        <v>Thu</v>
      </c>
      <c r="J405" s="1" t="s">
        <v>18</v>
      </c>
      <c r="K405" s="1" t="s">
        <v>12</v>
      </c>
      <c r="L405" s="1" t="s">
        <v>59</v>
      </c>
      <c r="M405" s="1" t="s">
        <v>19</v>
      </c>
      <c r="N405" s="1" t="s">
        <v>22</v>
      </c>
      <c r="O405" t="s">
        <v>15</v>
      </c>
    </row>
    <row r="406" spans="1:15" x14ac:dyDescent="0.25">
      <c r="A406" s="1" t="s">
        <v>634</v>
      </c>
      <c r="B406" s="1" t="s">
        <v>635</v>
      </c>
      <c r="C406" s="2">
        <v>45263.643055555556</v>
      </c>
      <c r="D406" s="4">
        <f t="shared" si="25"/>
        <v>45263</v>
      </c>
      <c r="E406" s="6">
        <v>17.452777777774202</v>
      </c>
      <c r="F406" s="6" t="str" cm="1">
        <f t="array" ref="F406">_xlfn.IFS(
     AND(HOUR(session_data[[#This Row],[Time]])&gt;5,HOUR(session_data[[#This Row],[Time]])&lt;12),"Morning",
     AND(HOUR(session_data[[#This Row],[Time]])&gt;=12,HOUR(session_data[[#This Row],[Time]])&lt;17),"Afternoon",
     AND(HOUR(session_data[[#This Row],[Time]])&gt;=17,HOUR(session_data[[#This Row],[Time]])&lt;21),"Evening",
     TRUE,"Night"
)</f>
        <v>Morning</v>
      </c>
      <c r="G406" s="1">
        <f t="shared" si="26"/>
        <v>2023</v>
      </c>
      <c r="H406" s="1" t="str">
        <f t="shared" si="27"/>
        <v>Dec</v>
      </c>
      <c r="I406" s="1" t="str">
        <f t="shared" si="24"/>
        <v>Sun</v>
      </c>
      <c r="J406" s="1" t="s">
        <v>66</v>
      </c>
      <c r="K406" s="1" t="s">
        <v>29</v>
      </c>
      <c r="L406" s="1" t="s">
        <v>41</v>
      </c>
      <c r="M406" s="1" t="s">
        <v>40</v>
      </c>
      <c r="N406" s="1" t="s">
        <v>14</v>
      </c>
      <c r="O406" t="s">
        <v>15</v>
      </c>
    </row>
    <row r="407" spans="1:15" x14ac:dyDescent="0.25">
      <c r="A407" s="1" t="s">
        <v>636</v>
      </c>
      <c r="B407" s="1" t="s">
        <v>635</v>
      </c>
      <c r="C407" s="2">
        <v>45050.351388888892</v>
      </c>
      <c r="D407" s="4">
        <f t="shared" si="25"/>
        <v>45050</v>
      </c>
      <c r="E407" s="6">
        <v>17.494444444440902</v>
      </c>
      <c r="F407" s="6" t="str" cm="1">
        <f t="array" ref="F407">_xlfn.IFS(
     AND(HOUR(session_data[[#This Row],[Time]])&gt;5,HOUR(session_data[[#This Row],[Time]])&lt;12),"Morning",
     AND(HOUR(session_data[[#This Row],[Time]])&gt;=12,HOUR(session_data[[#This Row],[Time]])&lt;17),"Afternoon",
     AND(HOUR(session_data[[#This Row],[Time]])&gt;=17,HOUR(session_data[[#This Row],[Time]])&lt;21),"Evening",
     TRUE,"Night"
)</f>
        <v>Morning</v>
      </c>
      <c r="G407" s="1">
        <f t="shared" si="26"/>
        <v>2023</v>
      </c>
      <c r="H407" s="1" t="str">
        <f t="shared" si="27"/>
        <v>May</v>
      </c>
      <c r="I407" s="1" t="str">
        <f t="shared" si="24"/>
        <v>Thu</v>
      </c>
      <c r="J407" s="1" t="s">
        <v>66</v>
      </c>
      <c r="K407" s="1" t="s">
        <v>29</v>
      </c>
      <c r="L407" s="1" t="s">
        <v>41</v>
      </c>
      <c r="M407" s="1" t="s">
        <v>40</v>
      </c>
      <c r="N407" s="1" t="s">
        <v>22</v>
      </c>
      <c r="O407" t="s">
        <v>15</v>
      </c>
    </row>
    <row r="408" spans="1:15" x14ac:dyDescent="0.25">
      <c r="A408" s="1" t="s">
        <v>637</v>
      </c>
      <c r="B408" s="1" t="s">
        <v>635</v>
      </c>
      <c r="C408" s="2">
        <v>44990.68472222222</v>
      </c>
      <c r="D408" s="4">
        <f t="shared" si="25"/>
        <v>44990</v>
      </c>
      <c r="E408" s="6">
        <v>17.536111111107601</v>
      </c>
      <c r="F408" s="6" t="str" cm="1">
        <f t="array" ref="F408">_xlfn.IFS(
     AND(HOUR(session_data[[#This Row],[Time]])&gt;5,HOUR(session_data[[#This Row],[Time]])&lt;12),"Morning",
     AND(HOUR(session_data[[#This Row],[Time]])&gt;=12,HOUR(session_data[[#This Row],[Time]])&lt;17),"Afternoon",
     AND(HOUR(session_data[[#This Row],[Time]])&gt;=17,HOUR(session_data[[#This Row],[Time]])&lt;21),"Evening",
     TRUE,"Night"
)</f>
        <v>Afternoon</v>
      </c>
      <c r="G408" s="1">
        <f t="shared" si="26"/>
        <v>2023</v>
      </c>
      <c r="H408" s="1" t="str">
        <f t="shared" si="27"/>
        <v>Mar</v>
      </c>
      <c r="I408" s="1" t="str">
        <f t="shared" si="24"/>
        <v>Sun</v>
      </c>
      <c r="J408" s="1" t="s">
        <v>66</v>
      </c>
      <c r="K408" s="1" t="s">
        <v>29</v>
      </c>
      <c r="L408" s="1" t="s">
        <v>41</v>
      </c>
      <c r="M408" s="1" t="s">
        <v>40</v>
      </c>
      <c r="N408" s="1" t="s">
        <v>22</v>
      </c>
      <c r="O408" t="s">
        <v>15</v>
      </c>
    </row>
    <row r="409" spans="1:15" x14ac:dyDescent="0.25">
      <c r="A409" s="1" t="s">
        <v>638</v>
      </c>
      <c r="B409" s="1" t="s">
        <v>635</v>
      </c>
      <c r="C409" s="3">
        <v>45076.68472222222</v>
      </c>
      <c r="D409" s="4">
        <f t="shared" si="25"/>
        <v>45076</v>
      </c>
      <c r="E409" s="6">
        <v>17.577777777774202</v>
      </c>
      <c r="F409" s="6" t="str" cm="1">
        <f t="array" ref="F409">_xlfn.IFS(
     AND(HOUR(session_data[[#This Row],[Time]])&gt;5,HOUR(session_data[[#This Row],[Time]])&lt;12),"Morning",
     AND(HOUR(session_data[[#This Row],[Time]])&gt;=12,HOUR(session_data[[#This Row],[Time]])&lt;17),"Afternoon",
     AND(HOUR(session_data[[#This Row],[Time]])&gt;=17,HOUR(session_data[[#This Row],[Time]])&lt;21),"Evening",
     TRUE,"Night"
)</f>
        <v>Afternoon</v>
      </c>
      <c r="G409" s="1">
        <f t="shared" si="26"/>
        <v>2023</v>
      </c>
      <c r="H409" s="1" t="str">
        <f t="shared" si="27"/>
        <v>May</v>
      </c>
      <c r="I409" s="1" t="str">
        <f t="shared" si="24"/>
        <v>Tue</v>
      </c>
      <c r="J409" s="1" t="s">
        <v>66</v>
      </c>
      <c r="K409" s="1" t="s">
        <v>29</v>
      </c>
      <c r="L409" s="1" t="s">
        <v>41</v>
      </c>
      <c r="M409" s="1" t="s">
        <v>40</v>
      </c>
      <c r="N409" s="1" t="s">
        <v>22</v>
      </c>
      <c r="O409" t="s">
        <v>15</v>
      </c>
    </row>
    <row r="410" spans="1:15" x14ac:dyDescent="0.25">
      <c r="A410" s="1" t="s">
        <v>639</v>
      </c>
      <c r="B410" s="1" t="s">
        <v>640</v>
      </c>
      <c r="C410" s="3">
        <v>45097.261111111111</v>
      </c>
      <c r="D410" s="4">
        <f t="shared" si="25"/>
        <v>45097</v>
      </c>
      <c r="E410" s="6">
        <v>17.619444444440902</v>
      </c>
      <c r="F410" s="6" t="str" cm="1">
        <f t="array" ref="F410">_xlfn.IFS(
     AND(HOUR(session_data[[#This Row],[Time]])&gt;5,HOUR(session_data[[#This Row],[Time]])&lt;12),"Morning",
     AND(HOUR(session_data[[#This Row],[Time]])&gt;=12,HOUR(session_data[[#This Row],[Time]])&lt;17),"Afternoon",
     AND(HOUR(session_data[[#This Row],[Time]])&gt;=17,HOUR(session_data[[#This Row],[Time]])&lt;21),"Evening",
     TRUE,"Night"
)</f>
        <v>Afternoon</v>
      </c>
      <c r="G410" s="1">
        <f t="shared" si="26"/>
        <v>2023</v>
      </c>
      <c r="H410" s="1" t="str">
        <f t="shared" si="27"/>
        <v>Jun</v>
      </c>
      <c r="I410" s="1" t="str">
        <f t="shared" si="24"/>
        <v>Tue</v>
      </c>
      <c r="J410" s="1" t="s">
        <v>18</v>
      </c>
      <c r="K410" s="1" t="s">
        <v>29</v>
      </c>
      <c r="L410" s="1" t="s">
        <v>20</v>
      </c>
      <c r="M410" s="1" t="s">
        <v>19</v>
      </c>
      <c r="N410" s="1" t="s">
        <v>14</v>
      </c>
      <c r="O410" t="s">
        <v>15</v>
      </c>
    </row>
    <row r="411" spans="1:15" x14ac:dyDescent="0.25">
      <c r="A411" s="1" t="s">
        <v>641</v>
      </c>
      <c r="B411" s="1" t="s">
        <v>640</v>
      </c>
      <c r="C411" s="2">
        <v>45176.219444444447</v>
      </c>
      <c r="D411" s="4">
        <f t="shared" si="25"/>
        <v>45176</v>
      </c>
      <c r="E411" s="6">
        <v>17.661111111107601</v>
      </c>
      <c r="F411" s="6" t="str" cm="1">
        <f t="array" ref="F411">_xlfn.IFS(
     AND(HOUR(session_data[[#This Row],[Time]])&gt;5,HOUR(session_data[[#This Row],[Time]])&lt;12),"Morning",
     AND(HOUR(session_data[[#This Row],[Time]])&gt;=12,HOUR(session_data[[#This Row],[Time]])&lt;17),"Afternoon",
     AND(HOUR(session_data[[#This Row],[Time]])&gt;=17,HOUR(session_data[[#This Row],[Time]])&lt;21),"Evening",
     TRUE,"Night"
)</f>
        <v>Afternoon</v>
      </c>
      <c r="G411" s="1">
        <f t="shared" si="26"/>
        <v>2023</v>
      </c>
      <c r="H411" s="1" t="str">
        <f t="shared" si="27"/>
        <v>Sep</v>
      </c>
      <c r="I411" s="1" t="str">
        <f t="shared" si="24"/>
        <v>Thu</v>
      </c>
      <c r="J411" s="1" t="s">
        <v>18</v>
      </c>
      <c r="K411" s="1" t="s">
        <v>29</v>
      </c>
      <c r="L411" s="1" t="s">
        <v>20</v>
      </c>
      <c r="M411" s="1" t="s">
        <v>19</v>
      </c>
      <c r="N411" s="1" t="s">
        <v>22</v>
      </c>
      <c r="O411" t="s">
        <v>15</v>
      </c>
    </row>
    <row r="412" spans="1:15" x14ac:dyDescent="0.25">
      <c r="A412" s="1" t="s">
        <v>642</v>
      </c>
      <c r="B412" s="1" t="s">
        <v>640</v>
      </c>
      <c r="C412" s="2">
        <v>45054.344444444447</v>
      </c>
      <c r="D412" s="4">
        <f t="shared" si="25"/>
        <v>45054</v>
      </c>
      <c r="E412" s="6">
        <v>17.702777777774202</v>
      </c>
      <c r="F412" s="6" t="str" cm="1">
        <f t="array" ref="F412">_xlfn.IFS(
     AND(HOUR(session_data[[#This Row],[Time]])&gt;5,HOUR(session_data[[#This Row],[Time]])&lt;12),"Morning",
     AND(HOUR(session_data[[#This Row],[Time]])&gt;=12,HOUR(session_data[[#This Row],[Time]])&lt;17),"Afternoon",
     AND(HOUR(session_data[[#This Row],[Time]])&gt;=17,HOUR(session_data[[#This Row],[Time]])&lt;21),"Evening",
     TRUE,"Night"
)</f>
        <v>Afternoon</v>
      </c>
      <c r="G412" s="1">
        <f t="shared" si="26"/>
        <v>2023</v>
      </c>
      <c r="H412" s="1" t="str">
        <f t="shared" si="27"/>
        <v>May</v>
      </c>
      <c r="I412" s="1" t="str">
        <f t="shared" si="24"/>
        <v>Mon</v>
      </c>
      <c r="J412" s="1" t="s">
        <v>18</v>
      </c>
      <c r="K412" s="1" t="s">
        <v>29</v>
      </c>
      <c r="L412" s="1" t="s">
        <v>20</v>
      </c>
      <c r="M412" s="1" t="s">
        <v>19</v>
      </c>
      <c r="N412" s="1" t="s">
        <v>22</v>
      </c>
      <c r="O412" t="s">
        <v>15</v>
      </c>
    </row>
    <row r="413" spans="1:15" x14ac:dyDescent="0.25">
      <c r="A413" s="1" t="s">
        <v>643</v>
      </c>
      <c r="B413" s="1" t="s">
        <v>640</v>
      </c>
      <c r="C413" s="3">
        <v>45161.802777777775</v>
      </c>
      <c r="D413" s="4">
        <f t="shared" si="25"/>
        <v>45161</v>
      </c>
      <c r="E413" s="6">
        <v>17.744444444440902</v>
      </c>
      <c r="F413" s="6" t="str" cm="1">
        <f t="array" ref="F413">_xlfn.IFS(
     AND(HOUR(session_data[[#This Row],[Time]])&gt;5,HOUR(session_data[[#This Row],[Time]])&lt;12),"Morning",
     AND(HOUR(session_data[[#This Row],[Time]])&gt;=12,HOUR(session_data[[#This Row],[Time]])&lt;17),"Afternoon",
     AND(HOUR(session_data[[#This Row],[Time]])&gt;=17,HOUR(session_data[[#This Row],[Time]])&lt;21),"Evening",
     TRUE,"Night"
)</f>
        <v>Evening</v>
      </c>
      <c r="G413" s="1">
        <f t="shared" si="26"/>
        <v>2023</v>
      </c>
      <c r="H413" s="1" t="str">
        <f t="shared" si="27"/>
        <v>Aug</v>
      </c>
      <c r="I413" s="1" t="str">
        <f t="shared" si="24"/>
        <v>Wed</v>
      </c>
      <c r="J413" s="1" t="s">
        <v>18</v>
      </c>
      <c r="K413" s="1" t="s">
        <v>29</v>
      </c>
      <c r="L413" s="1" t="s">
        <v>20</v>
      </c>
      <c r="M413" s="1" t="s">
        <v>19</v>
      </c>
      <c r="N413" s="1" t="s">
        <v>22</v>
      </c>
      <c r="O413" t="s">
        <v>15</v>
      </c>
    </row>
    <row r="414" spans="1:15" x14ac:dyDescent="0.25">
      <c r="A414" s="1" t="s">
        <v>644</v>
      </c>
      <c r="B414" s="1" t="s">
        <v>645</v>
      </c>
      <c r="C414" s="3">
        <v>44951.426388888889</v>
      </c>
      <c r="D414" s="4">
        <f t="shared" si="25"/>
        <v>44951</v>
      </c>
      <c r="E414" s="6">
        <v>17.786111111107601</v>
      </c>
      <c r="F414" s="6" t="str" cm="1">
        <f t="array" ref="F414">_xlfn.IFS(
     AND(HOUR(session_data[[#This Row],[Time]])&gt;5,HOUR(session_data[[#This Row],[Time]])&lt;12),"Morning",
     AND(HOUR(session_data[[#This Row],[Time]])&gt;=12,HOUR(session_data[[#This Row],[Time]])&lt;17),"Afternoon",
     AND(HOUR(session_data[[#This Row],[Time]])&gt;=17,HOUR(session_data[[#This Row],[Time]])&lt;21),"Evening",
     TRUE,"Night"
)</f>
        <v>Evening</v>
      </c>
      <c r="G414" s="1">
        <f t="shared" si="26"/>
        <v>2023</v>
      </c>
      <c r="H414" s="1" t="str">
        <f t="shared" si="27"/>
        <v>Jan</v>
      </c>
      <c r="I414" s="1" t="str">
        <f t="shared" si="24"/>
        <v>Wed</v>
      </c>
      <c r="J414" s="1" t="s">
        <v>11</v>
      </c>
      <c r="K414" s="1" t="s">
        <v>12</v>
      </c>
      <c r="L414" s="1" t="s">
        <v>59</v>
      </c>
      <c r="M414" s="1" t="s">
        <v>19</v>
      </c>
      <c r="N414" s="1" t="s">
        <v>14</v>
      </c>
      <c r="O414" t="s">
        <v>15</v>
      </c>
    </row>
    <row r="415" spans="1:15" x14ac:dyDescent="0.25">
      <c r="A415" s="1" t="s">
        <v>646</v>
      </c>
      <c r="B415" s="1" t="s">
        <v>645</v>
      </c>
      <c r="C415" s="2">
        <v>45172.176388888889</v>
      </c>
      <c r="D415" s="4">
        <f t="shared" si="25"/>
        <v>45172</v>
      </c>
      <c r="E415" s="6">
        <v>17.827777777774202</v>
      </c>
      <c r="F415" s="6" t="str" cm="1">
        <f t="array" ref="F415">_xlfn.IFS(
     AND(HOUR(session_data[[#This Row],[Time]])&gt;5,HOUR(session_data[[#This Row],[Time]])&lt;12),"Morning",
     AND(HOUR(session_data[[#This Row],[Time]])&gt;=12,HOUR(session_data[[#This Row],[Time]])&lt;17),"Afternoon",
     AND(HOUR(session_data[[#This Row],[Time]])&gt;=17,HOUR(session_data[[#This Row],[Time]])&lt;21),"Evening",
     TRUE,"Night"
)</f>
        <v>Evening</v>
      </c>
      <c r="G415" s="1">
        <f t="shared" si="26"/>
        <v>2023</v>
      </c>
      <c r="H415" s="1" t="str">
        <f t="shared" si="27"/>
        <v>Sep</v>
      </c>
      <c r="I415" s="1" t="str">
        <f t="shared" si="24"/>
        <v>Sun</v>
      </c>
      <c r="J415" s="1" t="s">
        <v>11</v>
      </c>
      <c r="K415" s="1" t="s">
        <v>12</v>
      </c>
      <c r="L415" s="1" t="s">
        <v>59</v>
      </c>
      <c r="M415" s="1" t="s">
        <v>19</v>
      </c>
      <c r="N415" s="1" t="s">
        <v>22</v>
      </c>
      <c r="O415" t="s">
        <v>15</v>
      </c>
    </row>
    <row r="416" spans="1:15" x14ac:dyDescent="0.25">
      <c r="A416" s="1" t="s">
        <v>647</v>
      </c>
      <c r="B416" s="1" t="s">
        <v>645</v>
      </c>
      <c r="C416" s="3">
        <v>45003.384722222225</v>
      </c>
      <c r="D416" s="4">
        <f t="shared" si="25"/>
        <v>45003</v>
      </c>
      <c r="E416" s="6">
        <v>17.869444444440902</v>
      </c>
      <c r="F416" s="6" t="str" cm="1">
        <f t="array" ref="F416">_xlfn.IFS(
     AND(HOUR(session_data[[#This Row],[Time]])&gt;5,HOUR(session_data[[#This Row],[Time]])&lt;12),"Morning",
     AND(HOUR(session_data[[#This Row],[Time]])&gt;=12,HOUR(session_data[[#This Row],[Time]])&lt;17),"Afternoon",
     AND(HOUR(session_data[[#This Row],[Time]])&gt;=17,HOUR(session_data[[#This Row],[Time]])&lt;21),"Evening",
     TRUE,"Night"
)</f>
        <v>Evening</v>
      </c>
      <c r="G416" s="1">
        <f t="shared" si="26"/>
        <v>2023</v>
      </c>
      <c r="H416" s="1" t="str">
        <f t="shared" si="27"/>
        <v>Mar</v>
      </c>
      <c r="I416" s="1" t="str">
        <f t="shared" si="24"/>
        <v>Sat</v>
      </c>
      <c r="J416" s="1" t="s">
        <v>11</v>
      </c>
      <c r="K416" s="1" t="s">
        <v>12</v>
      </c>
      <c r="L416" s="1" t="s">
        <v>59</v>
      </c>
      <c r="M416" s="1" t="s">
        <v>19</v>
      </c>
      <c r="N416" s="1" t="s">
        <v>22</v>
      </c>
      <c r="O416" t="s">
        <v>15</v>
      </c>
    </row>
    <row r="417" spans="1:15" x14ac:dyDescent="0.25">
      <c r="A417" s="1" t="s">
        <v>648</v>
      </c>
      <c r="B417" s="1" t="s">
        <v>649</v>
      </c>
      <c r="C417" s="3">
        <v>45000.586111111108</v>
      </c>
      <c r="D417" s="4">
        <f t="shared" si="25"/>
        <v>45000</v>
      </c>
      <c r="E417" s="6">
        <v>17.911111111107601</v>
      </c>
      <c r="F417" s="6" t="str" cm="1">
        <f t="array" ref="F417">_xlfn.IFS(
     AND(HOUR(session_data[[#This Row],[Time]])&gt;5,HOUR(session_data[[#This Row],[Time]])&lt;12),"Morning",
     AND(HOUR(session_data[[#This Row],[Time]])&gt;=12,HOUR(session_data[[#This Row],[Time]])&lt;17),"Afternoon",
     AND(HOUR(session_data[[#This Row],[Time]])&gt;=17,HOUR(session_data[[#This Row],[Time]])&lt;21),"Evening",
     TRUE,"Night"
)</f>
        <v>Night</v>
      </c>
      <c r="G417" s="1">
        <f t="shared" si="26"/>
        <v>2023</v>
      </c>
      <c r="H417" s="1" t="str">
        <f t="shared" si="27"/>
        <v>Mar</v>
      </c>
      <c r="I417" s="1" t="str">
        <f t="shared" si="24"/>
        <v>Wed</v>
      </c>
      <c r="J417" s="1" t="s">
        <v>18</v>
      </c>
      <c r="K417" s="1" t="s">
        <v>12</v>
      </c>
      <c r="L417" s="1" t="s">
        <v>13</v>
      </c>
      <c r="M417" s="1" t="s">
        <v>32</v>
      </c>
      <c r="N417" s="1" t="s">
        <v>14</v>
      </c>
      <c r="O417" t="s">
        <v>45</v>
      </c>
    </row>
    <row r="418" spans="1:15" x14ac:dyDescent="0.25">
      <c r="A418" s="1" t="s">
        <v>650</v>
      </c>
      <c r="B418" s="1" t="s">
        <v>649</v>
      </c>
      <c r="C418" s="3">
        <v>45012.169444444444</v>
      </c>
      <c r="D418" s="4">
        <f t="shared" si="25"/>
        <v>45012</v>
      </c>
      <c r="E418" s="6">
        <v>17.952777777774202</v>
      </c>
      <c r="F418" s="6" t="str" cm="1">
        <f t="array" ref="F418">_xlfn.IFS(
     AND(HOUR(session_data[[#This Row],[Time]])&gt;5,HOUR(session_data[[#This Row],[Time]])&lt;12),"Morning",
     AND(HOUR(session_data[[#This Row],[Time]])&gt;=12,HOUR(session_data[[#This Row],[Time]])&lt;17),"Afternoon",
     AND(HOUR(session_data[[#This Row],[Time]])&gt;=17,HOUR(session_data[[#This Row],[Time]])&lt;21),"Evening",
     TRUE,"Night"
)</f>
        <v>Night</v>
      </c>
      <c r="G418" s="1">
        <f t="shared" si="26"/>
        <v>2023</v>
      </c>
      <c r="H418" s="1" t="str">
        <f t="shared" si="27"/>
        <v>Mar</v>
      </c>
      <c r="I418" s="1" t="str">
        <f t="shared" si="24"/>
        <v>Mon</v>
      </c>
      <c r="J418" s="1" t="s">
        <v>18</v>
      </c>
      <c r="K418" s="1" t="s">
        <v>12</v>
      </c>
      <c r="L418" s="1" t="s">
        <v>13</v>
      </c>
      <c r="M418" s="1" t="s">
        <v>32</v>
      </c>
      <c r="N418" s="1" t="s">
        <v>22</v>
      </c>
      <c r="O418" t="s">
        <v>45</v>
      </c>
    </row>
    <row r="419" spans="1:15" x14ac:dyDescent="0.25">
      <c r="A419" s="1" t="s">
        <v>651</v>
      </c>
      <c r="B419" s="1" t="s">
        <v>652</v>
      </c>
      <c r="C419" s="3">
        <v>45039.212500000001</v>
      </c>
      <c r="D419" s="4">
        <f t="shared" si="25"/>
        <v>45039</v>
      </c>
      <c r="E419" s="6">
        <v>17.994444444440902</v>
      </c>
      <c r="F419" s="6" t="str" cm="1">
        <f t="array" ref="F419">_xlfn.IFS(
     AND(HOUR(session_data[[#This Row],[Time]])&gt;5,HOUR(session_data[[#This Row],[Time]])&lt;12),"Morning",
     AND(HOUR(session_data[[#This Row],[Time]])&gt;=12,HOUR(session_data[[#This Row],[Time]])&lt;17),"Afternoon",
     AND(HOUR(session_data[[#This Row],[Time]])&gt;=17,HOUR(session_data[[#This Row],[Time]])&lt;21),"Evening",
     TRUE,"Night"
)</f>
        <v>Night</v>
      </c>
      <c r="G419" s="1">
        <f t="shared" si="26"/>
        <v>2023</v>
      </c>
      <c r="H419" s="1" t="str">
        <f t="shared" si="27"/>
        <v>Apr</v>
      </c>
      <c r="I419" s="1" t="str">
        <f t="shared" si="24"/>
        <v>Sun</v>
      </c>
      <c r="J419" s="1" t="s">
        <v>11</v>
      </c>
      <c r="K419" s="1" t="s">
        <v>12</v>
      </c>
      <c r="L419" s="1" t="s">
        <v>30</v>
      </c>
      <c r="M419" s="1" t="s">
        <v>32</v>
      </c>
      <c r="N419" s="1" t="s">
        <v>14</v>
      </c>
      <c r="O419" t="s">
        <v>45</v>
      </c>
    </row>
    <row r="420" spans="1:15" x14ac:dyDescent="0.25">
      <c r="A420" s="1" t="s">
        <v>653</v>
      </c>
      <c r="B420" s="1" t="s">
        <v>654</v>
      </c>
      <c r="C420" s="2">
        <v>45047.685416666667</v>
      </c>
      <c r="D420" s="4">
        <f t="shared" si="25"/>
        <v>45047</v>
      </c>
      <c r="E420" s="6">
        <v>18.036111111107601</v>
      </c>
      <c r="F420" s="6" t="str" cm="1">
        <f t="array" ref="F420">_xlfn.IFS(
     AND(HOUR(session_data[[#This Row],[Time]])&gt;5,HOUR(session_data[[#This Row],[Time]])&lt;12),"Morning",
     AND(HOUR(session_data[[#This Row],[Time]])&gt;=12,HOUR(session_data[[#This Row],[Time]])&lt;17),"Afternoon",
     AND(HOUR(session_data[[#This Row],[Time]])&gt;=17,HOUR(session_data[[#This Row],[Time]])&lt;21),"Evening",
     TRUE,"Night"
)</f>
        <v>Night</v>
      </c>
      <c r="G420" s="1">
        <f t="shared" si="26"/>
        <v>2023</v>
      </c>
      <c r="H420" s="1" t="str">
        <f t="shared" si="27"/>
        <v>May</v>
      </c>
      <c r="I420" s="1" t="str">
        <f t="shared" si="24"/>
        <v>Mon</v>
      </c>
      <c r="J420" s="1" t="s">
        <v>66</v>
      </c>
      <c r="K420" s="1" t="s">
        <v>29</v>
      </c>
      <c r="L420" s="1" t="s">
        <v>20</v>
      </c>
      <c r="M420" s="1" t="s">
        <v>19</v>
      </c>
      <c r="N420" s="1" t="s">
        <v>14</v>
      </c>
      <c r="O420" t="s">
        <v>45</v>
      </c>
    </row>
    <row r="421" spans="1:15" x14ac:dyDescent="0.25">
      <c r="A421" s="1" t="s">
        <v>655</v>
      </c>
      <c r="B421" s="1" t="s">
        <v>656</v>
      </c>
      <c r="C421" s="2">
        <v>44989.468055555553</v>
      </c>
      <c r="D421" s="4">
        <f t="shared" si="25"/>
        <v>44989</v>
      </c>
      <c r="E421" s="6">
        <v>18.077777777774202</v>
      </c>
      <c r="F421" s="6" t="str" cm="1">
        <f t="array" ref="F421">_xlfn.IFS(
     AND(HOUR(session_data[[#This Row],[Time]])&gt;5,HOUR(session_data[[#This Row],[Time]])&lt;12),"Morning",
     AND(HOUR(session_data[[#This Row],[Time]])&gt;=12,HOUR(session_data[[#This Row],[Time]])&lt;17),"Afternoon",
     AND(HOUR(session_data[[#This Row],[Time]])&gt;=17,HOUR(session_data[[#This Row],[Time]])&lt;21),"Evening",
     TRUE,"Night"
)</f>
        <v>Night</v>
      </c>
      <c r="G421" s="1">
        <f t="shared" si="26"/>
        <v>2023</v>
      </c>
      <c r="H421" s="1" t="str">
        <f t="shared" si="27"/>
        <v>Mar</v>
      </c>
      <c r="I421" s="1" t="str">
        <f t="shared" si="24"/>
        <v>Sat</v>
      </c>
      <c r="J421" s="1" t="s">
        <v>11</v>
      </c>
      <c r="K421" s="1" t="s">
        <v>12</v>
      </c>
      <c r="L421" s="1" t="s">
        <v>41</v>
      </c>
      <c r="M421" s="1" t="s">
        <v>40</v>
      </c>
      <c r="N421" s="1" t="s">
        <v>14</v>
      </c>
      <c r="O421" t="s">
        <v>15</v>
      </c>
    </row>
    <row r="422" spans="1:15" x14ac:dyDescent="0.25">
      <c r="A422" s="1" t="s">
        <v>657</v>
      </c>
      <c r="B422" s="1" t="s">
        <v>656</v>
      </c>
      <c r="C422" s="2">
        <v>45264.509722222225</v>
      </c>
      <c r="D422" s="4">
        <f t="shared" si="25"/>
        <v>45264</v>
      </c>
      <c r="E422" s="6">
        <v>18.119444444440902</v>
      </c>
      <c r="F422" s="6" t="str" cm="1">
        <f t="array" ref="F422">_xlfn.IFS(
     AND(HOUR(session_data[[#This Row],[Time]])&gt;5,HOUR(session_data[[#This Row],[Time]])&lt;12),"Morning",
     AND(HOUR(session_data[[#This Row],[Time]])&gt;=12,HOUR(session_data[[#This Row],[Time]])&lt;17),"Afternoon",
     AND(HOUR(session_data[[#This Row],[Time]])&gt;=17,HOUR(session_data[[#This Row],[Time]])&lt;21),"Evening",
     TRUE,"Night"
)</f>
        <v>Night</v>
      </c>
      <c r="G422" s="1">
        <f t="shared" si="26"/>
        <v>2023</v>
      </c>
      <c r="H422" s="1" t="str">
        <f t="shared" si="27"/>
        <v>Dec</v>
      </c>
      <c r="I422" s="1" t="str">
        <f t="shared" si="24"/>
        <v>Mon</v>
      </c>
      <c r="J422" s="1" t="s">
        <v>11</v>
      </c>
      <c r="K422" s="1" t="s">
        <v>12</v>
      </c>
      <c r="L422" s="1" t="s">
        <v>41</v>
      </c>
      <c r="M422" s="1" t="s">
        <v>40</v>
      </c>
      <c r="N422" s="1" t="s">
        <v>22</v>
      </c>
      <c r="O422" t="s">
        <v>15</v>
      </c>
    </row>
    <row r="423" spans="1:15" x14ac:dyDescent="0.25">
      <c r="A423" s="1" t="s">
        <v>658</v>
      </c>
      <c r="B423" s="1" t="s">
        <v>656</v>
      </c>
      <c r="C423" s="3">
        <v>45065.134722222225</v>
      </c>
      <c r="D423" s="4">
        <f t="shared" si="25"/>
        <v>45065</v>
      </c>
      <c r="E423" s="6">
        <v>18.161111111107601</v>
      </c>
      <c r="F423" s="6" t="str" cm="1">
        <f t="array" ref="F423">_xlfn.IFS(
     AND(HOUR(session_data[[#This Row],[Time]])&gt;5,HOUR(session_data[[#This Row],[Time]])&lt;12),"Morning",
     AND(HOUR(session_data[[#This Row],[Time]])&gt;=12,HOUR(session_data[[#This Row],[Time]])&lt;17),"Afternoon",
     AND(HOUR(session_data[[#This Row],[Time]])&gt;=17,HOUR(session_data[[#This Row],[Time]])&lt;21),"Evening",
     TRUE,"Night"
)</f>
        <v>Night</v>
      </c>
      <c r="G423" s="1">
        <f t="shared" si="26"/>
        <v>2023</v>
      </c>
      <c r="H423" s="1" t="str">
        <f t="shared" si="27"/>
        <v>May</v>
      </c>
      <c r="I423" s="1" t="str">
        <f t="shared" si="24"/>
        <v>Fri</v>
      </c>
      <c r="J423" s="1" t="s">
        <v>11</v>
      </c>
      <c r="K423" s="1" t="s">
        <v>12</v>
      </c>
      <c r="L423" s="1" t="s">
        <v>41</v>
      </c>
      <c r="M423" s="1" t="s">
        <v>40</v>
      </c>
      <c r="N423" s="1" t="s">
        <v>22</v>
      </c>
      <c r="O423" t="s">
        <v>15</v>
      </c>
    </row>
    <row r="424" spans="1:15" x14ac:dyDescent="0.25">
      <c r="A424" s="1" t="s">
        <v>659</v>
      </c>
      <c r="B424" s="1" t="s">
        <v>656</v>
      </c>
      <c r="C424" s="2">
        <v>45083.301388888889</v>
      </c>
      <c r="D424" s="4">
        <f t="shared" si="25"/>
        <v>45083</v>
      </c>
      <c r="E424" s="6">
        <v>18.202777777774202</v>
      </c>
      <c r="F424" s="6" t="str" cm="1">
        <f t="array" ref="F424">_xlfn.IFS(
     AND(HOUR(session_data[[#This Row],[Time]])&gt;5,HOUR(session_data[[#This Row],[Time]])&lt;12),"Morning",
     AND(HOUR(session_data[[#This Row],[Time]])&gt;=12,HOUR(session_data[[#This Row],[Time]])&lt;17),"Afternoon",
     AND(HOUR(session_data[[#This Row],[Time]])&gt;=17,HOUR(session_data[[#This Row],[Time]])&lt;21),"Evening",
     TRUE,"Night"
)</f>
        <v>Night</v>
      </c>
      <c r="G424" s="1">
        <f t="shared" si="26"/>
        <v>2023</v>
      </c>
      <c r="H424" s="1" t="str">
        <f t="shared" si="27"/>
        <v>Jun</v>
      </c>
      <c r="I424" s="1" t="str">
        <f t="shared" si="24"/>
        <v>Tue</v>
      </c>
      <c r="J424" s="1" t="s">
        <v>11</v>
      </c>
      <c r="K424" s="1" t="s">
        <v>12</v>
      </c>
      <c r="L424" s="1" t="s">
        <v>41</v>
      </c>
      <c r="M424" s="1" t="s">
        <v>40</v>
      </c>
      <c r="N424" s="1" t="s">
        <v>22</v>
      </c>
      <c r="O424" t="s">
        <v>15</v>
      </c>
    </row>
    <row r="425" spans="1:15" x14ac:dyDescent="0.25">
      <c r="A425" s="1" t="s">
        <v>660</v>
      </c>
      <c r="B425" s="1" t="s">
        <v>661</v>
      </c>
      <c r="C425" s="3">
        <v>45158.909722222219</v>
      </c>
      <c r="D425" s="4">
        <f t="shared" si="25"/>
        <v>45158</v>
      </c>
      <c r="E425" s="6">
        <v>18.244444444440902</v>
      </c>
      <c r="F425" s="6" t="str" cm="1">
        <f t="array" ref="F425">_xlfn.IFS(
     AND(HOUR(session_data[[#This Row],[Time]])&gt;5,HOUR(session_data[[#This Row],[Time]])&lt;12),"Morning",
     AND(HOUR(session_data[[#This Row],[Time]])&gt;=12,HOUR(session_data[[#This Row],[Time]])&lt;17),"Afternoon",
     AND(HOUR(session_data[[#This Row],[Time]])&gt;=17,HOUR(session_data[[#This Row],[Time]])&lt;21),"Evening",
     TRUE,"Night"
)</f>
        <v>Night</v>
      </c>
      <c r="G425" s="1">
        <f t="shared" si="26"/>
        <v>2023</v>
      </c>
      <c r="H425" s="1" t="str">
        <f t="shared" si="27"/>
        <v>Aug</v>
      </c>
      <c r="I425" s="1" t="str">
        <f t="shared" si="24"/>
        <v>Sun</v>
      </c>
      <c r="J425" s="1" t="s">
        <v>11</v>
      </c>
      <c r="K425" s="1" t="s">
        <v>12</v>
      </c>
      <c r="L425" s="1" t="s">
        <v>13</v>
      </c>
      <c r="M425" s="1" t="s">
        <v>32</v>
      </c>
      <c r="N425" s="1" t="s">
        <v>14</v>
      </c>
      <c r="O425" t="s">
        <v>15</v>
      </c>
    </row>
    <row r="426" spans="1:15" x14ac:dyDescent="0.25">
      <c r="A426" s="1" t="s">
        <v>662</v>
      </c>
      <c r="B426" s="1" t="s">
        <v>661</v>
      </c>
      <c r="C426" s="2">
        <v>45055.701388888891</v>
      </c>
      <c r="D426" s="4">
        <f t="shared" si="25"/>
        <v>45055</v>
      </c>
      <c r="E426" s="6">
        <v>18.286111111107601</v>
      </c>
      <c r="F426" s="6" t="str" cm="1">
        <f t="array" ref="F426">_xlfn.IFS(
     AND(HOUR(session_data[[#This Row],[Time]])&gt;5,HOUR(session_data[[#This Row],[Time]])&lt;12),"Morning",
     AND(HOUR(session_data[[#This Row],[Time]])&gt;=12,HOUR(session_data[[#This Row],[Time]])&lt;17),"Afternoon",
     AND(HOUR(session_data[[#This Row],[Time]])&gt;=17,HOUR(session_data[[#This Row],[Time]])&lt;21),"Evening",
     TRUE,"Night"
)</f>
        <v>Morning</v>
      </c>
      <c r="G426" s="1">
        <f t="shared" si="26"/>
        <v>2023</v>
      </c>
      <c r="H426" s="1" t="str">
        <f t="shared" si="27"/>
        <v>May</v>
      </c>
      <c r="I426" s="1" t="str">
        <f t="shared" si="24"/>
        <v>Tue</v>
      </c>
      <c r="J426" s="1" t="s">
        <v>11</v>
      </c>
      <c r="K426" s="1" t="s">
        <v>12</v>
      </c>
      <c r="L426" s="1" t="s">
        <v>13</v>
      </c>
      <c r="M426" s="1" t="s">
        <v>32</v>
      </c>
      <c r="N426" s="1" t="s">
        <v>22</v>
      </c>
      <c r="O426" t="s">
        <v>15</v>
      </c>
    </row>
    <row r="427" spans="1:15" x14ac:dyDescent="0.25">
      <c r="A427" s="1" t="s">
        <v>663</v>
      </c>
      <c r="B427" s="1" t="s">
        <v>664</v>
      </c>
      <c r="C427" s="2">
        <v>45056.962500000001</v>
      </c>
      <c r="D427" s="4">
        <f t="shared" si="25"/>
        <v>45056</v>
      </c>
      <c r="E427" s="6">
        <v>18.327777777774202</v>
      </c>
      <c r="F427" s="6" t="str" cm="1">
        <f t="array" ref="F427">_xlfn.IFS(
     AND(HOUR(session_data[[#This Row],[Time]])&gt;5,HOUR(session_data[[#This Row],[Time]])&lt;12),"Morning",
     AND(HOUR(session_data[[#This Row],[Time]])&gt;=12,HOUR(session_data[[#This Row],[Time]])&lt;17),"Afternoon",
     AND(HOUR(session_data[[#This Row],[Time]])&gt;=17,HOUR(session_data[[#This Row],[Time]])&lt;21),"Evening",
     TRUE,"Night"
)</f>
        <v>Morning</v>
      </c>
      <c r="G427" s="1">
        <f t="shared" si="26"/>
        <v>2023</v>
      </c>
      <c r="H427" s="1" t="str">
        <f t="shared" si="27"/>
        <v>May</v>
      </c>
      <c r="I427" s="1" t="str">
        <f t="shared" si="24"/>
        <v>Wed</v>
      </c>
      <c r="J427" s="1" t="s">
        <v>66</v>
      </c>
      <c r="K427" s="1" t="s">
        <v>12</v>
      </c>
      <c r="L427" s="1" t="s">
        <v>13</v>
      </c>
      <c r="M427" s="1" t="s">
        <v>32</v>
      </c>
      <c r="N427" s="1" t="s">
        <v>14</v>
      </c>
      <c r="O427" t="s">
        <v>45</v>
      </c>
    </row>
    <row r="428" spans="1:15" x14ac:dyDescent="0.25">
      <c r="A428" s="1" t="s">
        <v>665</v>
      </c>
      <c r="B428" s="1" t="s">
        <v>666</v>
      </c>
      <c r="C428" s="3">
        <v>44942.777083333334</v>
      </c>
      <c r="D428" s="4">
        <f t="shared" si="25"/>
        <v>44942</v>
      </c>
      <c r="E428" s="6">
        <v>18.369444444440902</v>
      </c>
      <c r="F428" s="6" t="str" cm="1">
        <f t="array" ref="F428">_xlfn.IFS(
     AND(HOUR(session_data[[#This Row],[Time]])&gt;5,HOUR(session_data[[#This Row],[Time]])&lt;12),"Morning",
     AND(HOUR(session_data[[#This Row],[Time]])&gt;=12,HOUR(session_data[[#This Row],[Time]])&lt;17),"Afternoon",
     AND(HOUR(session_data[[#This Row],[Time]])&gt;=17,HOUR(session_data[[#This Row],[Time]])&lt;21),"Evening",
     TRUE,"Night"
)</f>
        <v>Morning</v>
      </c>
      <c r="G428" s="1">
        <f t="shared" si="26"/>
        <v>2023</v>
      </c>
      <c r="H428" s="1" t="str">
        <f t="shared" si="27"/>
        <v>Jan</v>
      </c>
      <c r="I428" s="1" t="str">
        <f t="shared" si="24"/>
        <v>Mon</v>
      </c>
      <c r="J428" s="1" t="s">
        <v>44</v>
      </c>
      <c r="K428" s="1" t="s">
        <v>12</v>
      </c>
      <c r="L428" s="1" t="s">
        <v>50</v>
      </c>
      <c r="M428" s="1" t="s">
        <v>19</v>
      </c>
      <c r="N428" s="1" t="s">
        <v>14</v>
      </c>
      <c r="O428" t="s">
        <v>15</v>
      </c>
    </row>
    <row r="429" spans="1:15" x14ac:dyDescent="0.25">
      <c r="A429" s="1" t="s">
        <v>667</v>
      </c>
      <c r="B429" s="1" t="s">
        <v>668</v>
      </c>
      <c r="C429" s="2">
        <v>45144.588888888888</v>
      </c>
      <c r="D429" s="4">
        <f t="shared" si="25"/>
        <v>45144</v>
      </c>
      <c r="E429" s="6">
        <v>18.411111111107601</v>
      </c>
      <c r="F429" s="6" t="str" cm="1">
        <f t="array" ref="F429">_xlfn.IFS(
     AND(HOUR(session_data[[#This Row],[Time]])&gt;5,HOUR(session_data[[#This Row],[Time]])&lt;12),"Morning",
     AND(HOUR(session_data[[#This Row],[Time]])&gt;=12,HOUR(session_data[[#This Row],[Time]])&lt;17),"Afternoon",
     AND(HOUR(session_data[[#This Row],[Time]])&gt;=17,HOUR(session_data[[#This Row],[Time]])&lt;21),"Evening",
     TRUE,"Night"
)</f>
        <v>Morning</v>
      </c>
      <c r="G429" s="1">
        <f t="shared" si="26"/>
        <v>2023</v>
      </c>
      <c r="H429" s="1" t="str">
        <f t="shared" si="27"/>
        <v>Aug</v>
      </c>
      <c r="I429" s="1" t="str">
        <f t="shared" si="24"/>
        <v>Sun</v>
      </c>
      <c r="J429" s="1" t="s">
        <v>18</v>
      </c>
      <c r="K429" s="1" t="s">
        <v>12</v>
      </c>
      <c r="L429" s="1" t="s">
        <v>79</v>
      </c>
      <c r="M429" s="1" t="s">
        <v>40</v>
      </c>
      <c r="N429" s="1" t="s">
        <v>14</v>
      </c>
      <c r="O429" t="s">
        <v>15</v>
      </c>
    </row>
    <row r="430" spans="1:15" x14ac:dyDescent="0.25">
      <c r="A430" s="1" t="s">
        <v>669</v>
      </c>
      <c r="B430" s="1" t="s">
        <v>668</v>
      </c>
      <c r="C430" s="2">
        <v>45084.005555555559</v>
      </c>
      <c r="D430" s="4">
        <f t="shared" si="25"/>
        <v>45084</v>
      </c>
      <c r="E430" s="6">
        <v>18.452777777774202</v>
      </c>
      <c r="F430" s="6" t="str" cm="1">
        <f t="array" ref="F430">_xlfn.IFS(
     AND(HOUR(session_data[[#This Row],[Time]])&gt;5,HOUR(session_data[[#This Row],[Time]])&lt;12),"Morning",
     AND(HOUR(session_data[[#This Row],[Time]])&gt;=12,HOUR(session_data[[#This Row],[Time]])&lt;17),"Afternoon",
     AND(HOUR(session_data[[#This Row],[Time]])&gt;=17,HOUR(session_data[[#This Row],[Time]])&lt;21),"Evening",
     TRUE,"Night"
)</f>
        <v>Morning</v>
      </c>
      <c r="G430" s="1">
        <f t="shared" si="26"/>
        <v>2023</v>
      </c>
      <c r="H430" s="1" t="str">
        <f t="shared" si="27"/>
        <v>Jun</v>
      </c>
      <c r="I430" s="1" t="str">
        <f t="shared" si="24"/>
        <v>Wed</v>
      </c>
      <c r="J430" s="1" t="s">
        <v>18</v>
      </c>
      <c r="K430" s="1" t="s">
        <v>12</v>
      </c>
      <c r="L430" s="1" t="s">
        <v>79</v>
      </c>
      <c r="M430" s="1" t="s">
        <v>40</v>
      </c>
      <c r="N430" s="1" t="s">
        <v>22</v>
      </c>
      <c r="O430" t="s">
        <v>15</v>
      </c>
    </row>
    <row r="431" spans="1:15" x14ac:dyDescent="0.25">
      <c r="A431" s="1" t="s">
        <v>670</v>
      </c>
      <c r="B431" s="1" t="s">
        <v>668</v>
      </c>
      <c r="C431" s="2">
        <v>45267.380555555559</v>
      </c>
      <c r="D431" s="4">
        <f t="shared" si="25"/>
        <v>45267</v>
      </c>
      <c r="E431" s="6">
        <v>18.494444444440902</v>
      </c>
      <c r="F431" s="6" t="str" cm="1">
        <f t="array" ref="F431">_xlfn.IFS(
     AND(HOUR(session_data[[#This Row],[Time]])&gt;5,HOUR(session_data[[#This Row],[Time]])&lt;12),"Morning",
     AND(HOUR(session_data[[#This Row],[Time]])&gt;=12,HOUR(session_data[[#This Row],[Time]])&lt;17),"Afternoon",
     AND(HOUR(session_data[[#This Row],[Time]])&gt;=17,HOUR(session_data[[#This Row],[Time]])&lt;21),"Evening",
     TRUE,"Night"
)</f>
        <v>Morning</v>
      </c>
      <c r="G431" s="1">
        <f t="shared" si="26"/>
        <v>2023</v>
      </c>
      <c r="H431" s="1" t="str">
        <f t="shared" si="27"/>
        <v>Dec</v>
      </c>
      <c r="I431" s="1" t="str">
        <f t="shared" si="24"/>
        <v>Thu</v>
      </c>
      <c r="J431" s="1" t="s">
        <v>18</v>
      </c>
      <c r="K431" s="1" t="s">
        <v>12</v>
      </c>
      <c r="L431" s="1" t="s">
        <v>79</v>
      </c>
      <c r="M431" s="1" t="s">
        <v>40</v>
      </c>
      <c r="N431" s="1" t="s">
        <v>22</v>
      </c>
      <c r="O431" t="s">
        <v>15</v>
      </c>
    </row>
    <row r="432" spans="1:15" x14ac:dyDescent="0.25">
      <c r="A432" s="1" t="s">
        <v>671</v>
      </c>
      <c r="B432" s="1" t="s">
        <v>672</v>
      </c>
      <c r="C432" s="3">
        <v>45094.348611111112</v>
      </c>
      <c r="D432" s="4">
        <f t="shared" si="25"/>
        <v>45094</v>
      </c>
      <c r="E432" s="6">
        <v>18.536111111107601</v>
      </c>
      <c r="F432" s="6" t="str" cm="1">
        <f t="array" ref="F432">_xlfn.IFS(
     AND(HOUR(session_data[[#This Row],[Time]])&gt;5,HOUR(session_data[[#This Row],[Time]])&lt;12),"Morning",
     AND(HOUR(session_data[[#This Row],[Time]])&gt;=12,HOUR(session_data[[#This Row],[Time]])&lt;17),"Afternoon",
     AND(HOUR(session_data[[#This Row],[Time]])&gt;=17,HOUR(session_data[[#This Row],[Time]])&lt;21),"Evening",
     TRUE,"Night"
)</f>
        <v>Afternoon</v>
      </c>
      <c r="G432" s="1">
        <f t="shared" si="26"/>
        <v>2023</v>
      </c>
      <c r="H432" s="1" t="str">
        <f t="shared" si="27"/>
        <v>Jun</v>
      </c>
      <c r="I432" s="1" t="str">
        <f t="shared" si="24"/>
        <v>Sat</v>
      </c>
      <c r="J432" s="1" t="s">
        <v>18</v>
      </c>
      <c r="K432" s="1" t="s">
        <v>12</v>
      </c>
      <c r="L432" s="1" t="s">
        <v>41</v>
      </c>
      <c r="M432" s="1" t="s">
        <v>40</v>
      </c>
      <c r="N432" s="1" t="s">
        <v>14</v>
      </c>
      <c r="O432" t="s">
        <v>45</v>
      </c>
    </row>
    <row r="433" spans="1:15" x14ac:dyDescent="0.25">
      <c r="A433" s="1" t="s">
        <v>673</v>
      </c>
      <c r="B433" s="1" t="s">
        <v>674</v>
      </c>
      <c r="C433" s="2">
        <v>45267.072222222225</v>
      </c>
      <c r="D433" s="4">
        <f t="shared" si="25"/>
        <v>45267</v>
      </c>
      <c r="E433" s="6">
        <v>18.577777777774202</v>
      </c>
      <c r="F433" s="6" t="str" cm="1">
        <f t="array" ref="F433">_xlfn.IFS(
     AND(HOUR(session_data[[#This Row],[Time]])&gt;5,HOUR(session_data[[#This Row],[Time]])&lt;12),"Morning",
     AND(HOUR(session_data[[#This Row],[Time]])&gt;=12,HOUR(session_data[[#This Row],[Time]])&lt;17),"Afternoon",
     AND(HOUR(session_data[[#This Row],[Time]])&gt;=17,HOUR(session_data[[#This Row],[Time]])&lt;21),"Evening",
     TRUE,"Night"
)</f>
        <v>Afternoon</v>
      </c>
      <c r="G433" s="1">
        <f t="shared" si="26"/>
        <v>2023</v>
      </c>
      <c r="H433" s="1" t="str">
        <f t="shared" si="27"/>
        <v>Dec</v>
      </c>
      <c r="I433" s="1" t="str">
        <f t="shared" si="24"/>
        <v>Thu</v>
      </c>
      <c r="J433" s="1" t="s">
        <v>11</v>
      </c>
      <c r="K433" s="1" t="s">
        <v>12</v>
      </c>
      <c r="L433" s="1" t="s">
        <v>30</v>
      </c>
      <c r="M433" s="1" t="s">
        <v>32</v>
      </c>
      <c r="N433" s="1" t="s">
        <v>14</v>
      </c>
      <c r="O433" t="s">
        <v>15</v>
      </c>
    </row>
    <row r="434" spans="1:15" x14ac:dyDescent="0.25">
      <c r="A434" s="1" t="s">
        <v>675</v>
      </c>
      <c r="B434" s="1" t="s">
        <v>676</v>
      </c>
      <c r="C434" s="3">
        <v>44945.681250000001</v>
      </c>
      <c r="D434" s="4">
        <f t="shared" si="25"/>
        <v>44945</v>
      </c>
      <c r="E434" s="6">
        <v>18.619444444440902</v>
      </c>
      <c r="F434" s="6" t="str" cm="1">
        <f t="array" ref="F434">_xlfn.IFS(
     AND(HOUR(session_data[[#This Row],[Time]])&gt;5,HOUR(session_data[[#This Row],[Time]])&lt;12),"Morning",
     AND(HOUR(session_data[[#This Row],[Time]])&gt;=12,HOUR(session_data[[#This Row],[Time]])&lt;17),"Afternoon",
     AND(HOUR(session_data[[#This Row],[Time]])&gt;=17,HOUR(session_data[[#This Row],[Time]])&lt;21),"Evening",
     TRUE,"Night"
)</f>
        <v>Afternoon</v>
      </c>
      <c r="G434" s="1">
        <f t="shared" si="26"/>
        <v>2023</v>
      </c>
      <c r="H434" s="1" t="str">
        <f t="shared" si="27"/>
        <v>Jan</v>
      </c>
      <c r="I434" s="1" t="str">
        <f t="shared" si="24"/>
        <v>Thu</v>
      </c>
      <c r="J434" s="1" t="s">
        <v>18</v>
      </c>
      <c r="K434" s="1" t="s">
        <v>12</v>
      </c>
      <c r="L434" s="1" t="s">
        <v>13</v>
      </c>
      <c r="M434" s="1" t="s">
        <v>32</v>
      </c>
      <c r="N434" s="1" t="s">
        <v>14</v>
      </c>
      <c r="O434" t="s">
        <v>15</v>
      </c>
    </row>
    <row r="435" spans="1:15" x14ac:dyDescent="0.25">
      <c r="A435" s="1" t="s">
        <v>677</v>
      </c>
      <c r="B435" s="1" t="s">
        <v>676</v>
      </c>
      <c r="C435" s="2">
        <v>44987.597916666666</v>
      </c>
      <c r="D435" s="4">
        <f t="shared" si="25"/>
        <v>44987</v>
      </c>
      <c r="E435" s="6">
        <v>18.661111111107601</v>
      </c>
      <c r="F435" s="6" t="str" cm="1">
        <f t="array" ref="F435">_xlfn.IFS(
     AND(HOUR(session_data[[#This Row],[Time]])&gt;5,HOUR(session_data[[#This Row],[Time]])&lt;12),"Morning",
     AND(HOUR(session_data[[#This Row],[Time]])&gt;=12,HOUR(session_data[[#This Row],[Time]])&lt;17),"Afternoon",
     AND(HOUR(session_data[[#This Row],[Time]])&gt;=17,HOUR(session_data[[#This Row],[Time]])&lt;21),"Evening",
     TRUE,"Night"
)</f>
        <v>Afternoon</v>
      </c>
      <c r="G435" s="1">
        <f t="shared" si="26"/>
        <v>2023</v>
      </c>
      <c r="H435" s="1" t="str">
        <f t="shared" si="27"/>
        <v>Mar</v>
      </c>
      <c r="I435" s="1" t="str">
        <f t="shared" si="24"/>
        <v>Thu</v>
      </c>
      <c r="J435" s="1" t="s">
        <v>18</v>
      </c>
      <c r="K435" s="1" t="s">
        <v>12</v>
      </c>
      <c r="L435" s="1" t="s">
        <v>13</v>
      </c>
      <c r="M435" s="1" t="s">
        <v>32</v>
      </c>
      <c r="N435" s="1" t="s">
        <v>22</v>
      </c>
      <c r="O435" t="s">
        <v>15</v>
      </c>
    </row>
    <row r="436" spans="1:15" x14ac:dyDescent="0.25">
      <c r="A436" s="1" t="s">
        <v>678</v>
      </c>
      <c r="B436" s="1" t="s">
        <v>679</v>
      </c>
      <c r="C436" s="2">
        <v>44963.227083333331</v>
      </c>
      <c r="D436" s="4">
        <f t="shared" si="25"/>
        <v>44963</v>
      </c>
      <c r="E436" s="6">
        <v>18.702777777774202</v>
      </c>
      <c r="F436" s="6" t="str" cm="1">
        <f t="array" ref="F436">_xlfn.IFS(
     AND(HOUR(session_data[[#This Row],[Time]])&gt;5,HOUR(session_data[[#This Row],[Time]])&lt;12),"Morning",
     AND(HOUR(session_data[[#This Row],[Time]])&gt;=12,HOUR(session_data[[#This Row],[Time]])&lt;17),"Afternoon",
     AND(HOUR(session_data[[#This Row],[Time]])&gt;=17,HOUR(session_data[[#This Row],[Time]])&lt;21),"Evening",
     TRUE,"Night"
)</f>
        <v>Afternoon</v>
      </c>
      <c r="G436" s="1">
        <f t="shared" si="26"/>
        <v>2023</v>
      </c>
      <c r="H436" s="1" t="str">
        <f t="shared" si="27"/>
        <v>Feb</v>
      </c>
      <c r="I436" s="1" t="str">
        <f t="shared" si="24"/>
        <v>Mon</v>
      </c>
      <c r="J436" s="1" t="s">
        <v>18</v>
      </c>
      <c r="K436" s="1" t="s">
        <v>29</v>
      </c>
      <c r="L436" s="1" t="s">
        <v>30</v>
      </c>
      <c r="M436" s="1" t="s">
        <v>32</v>
      </c>
      <c r="N436" s="1" t="s">
        <v>14</v>
      </c>
      <c r="O436" t="s">
        <v>45</v>
      </c>
    </row>
    <row r="437" spans="1:15" x14ac:dyDescent="0.25">
      <c r="A437" s="1" t="s">
        <v>680</v>
      </c>
      <c r="B437" s="1" t="s">
        <v>679</v>
      </c>
      <c r="C437" s="3">
        <v>45103.393750000003</v>
      </c>
      <c r="D437" s="4">
        <f t="shared" si="25"/>
        <v>45103</v>
      </c>
      <c r="E437" s="6">
        <v>18.744444444440902</v>
      </c>
      <c r="F437" s="6" t="str" cm="1">
        <f t="array" ref="F437">_xlfn.IFS(
     AND(HOUR(session_data[[#This Row],[Time]])&gt;5,HOUR(session_data[[#This Row],[Time]])&lt;12),"Morning",
     AND(HOUR(session_data[[#This Row],[Time]])&gt;=12,HOUR(session_data[[#This Row],[Time]])&lt;17),"Afternoon",
     AND(HOUR(session_data[[#This Row],[Time]])&gt;=17,HOUR(session_data[[#This Row],[Time]])&lt;21),"Evening",
     TRUE,"Night"
)</f>
        <v>Evening</v>
      </c>
      <c r="G437" s="1">
        <f t="shared" si="26"/>
        <v>2023</v>
      </c>
      <c r="H437" s="1" t="str">
        <f t="shared" si="27"/>
        <v>Jun</v>
      </c>
      <c r="I437" s="1" t="str">
        <f t="shared" si="24"/>
        <v>Mon</v>
      </c>
      <c r="J437" s="1" t="s">
        <v>18</v>
      </c>
      <c r="K437" s="1" t="s">
        <v>29</v>
      </c>
      <c r="L437" s="1" t="s">
        <v>30</v>
      </c>
      <c r="M437" s="1" t="s">
        <v>32</v>
      </c>
      <c r="N437" s="1" t="s">
        <v>22</v>
      </c>
      <c r="O437" t="s">
        <v>45</v>
      </c>
    </row>
    <row r="438" spans="1:15" x14ac:dyDescent="0.25">
      <c r="A438" s="1" t="s">
        <v>681</v>
      </c>
      <c r="B438" s="1" t="s">
        <v>679</v>
      </c>
      <c r="C438" s="2">
        <v>45176.268750000003</v>
      </c>
      <c r="D438" s="4">
        <f t="shared" si="25"/>
        <v>45176</v>
      </c>
      <c r="E438" s="6">
        <v>18.786111111107601</v>
      </c>
      <c r="F438" s="6" t="str" cm="1">
        <f t="array" ref="F438">_xlfn.IFS(
     AND(HOUR(session_data[[#This Row],[Time]])&gt;5,HOUR(session_data[[#This Row],[Time]])&lt;12),"Morning",
     AND(HOUR(session_data[[#This Row],[Time]])&gt;=12,HOUR(session_data[[#This Row],[Time]])&lt;17),"Afternoon",
     AND(HOUR(session_data[[#This Row],[Time]])&gt;=17,HOUR(session_data[[#This Row],[Time]])&lt;21),"Evening",
     TRUE,"Night"
)</f>
        <v>Evening</v>
      </c>
      <c r="G438" s="1">
        <f t="shared" si="26"/>
        <v>2023</v>
      </c>
      <c r="H438" s="1" t="str">
        <f t="shared" si="27"/>
        <v>Sep</v>
      </c>
      <c r="I438" s="1" t="str">
        <f t="shared" si="24"/>
        <v>Thu</v>
      </c>
      <c r="J438" s="1" t="s">
        <v>18</v>
      </c>
      <c r="K438" s="1" t="s">
        <v>29</v>
      </c>
      <c r="L438" s="1" t="s">
        <v>30</v>
      </c>
      <c r="M438" s="1" t="s">
        <v>32</v>
      </c>
      <c r="N438" s="1" t="s">
        <v>22</v>
      </c>
      <c r="O438" t="s">
        <v>45</v>
      </c>
    </row>
    <row r="439" spans="1:15" x14ac:dyDescent="0.25">
      <c r="A439" s="1" t="s">
        <v>682</v>
      </c>
      <c r="B439" s="1" t="s">
        <v>683</v>
      </c>
      <c r="C439" s="3">
        <v>45067.265972222223</v>
      </c>
      <c r="D439" s="4">
        <f t="shared" si="25"/>
        <v>45067</v>
      </c>
      <c r="E439" s="6">
        <v>18.827777777774202</v>
      </c>
      <c r="F439" s="6" t="str" cm="1">
        <f t="array" ref="F439">_xlfn.IFS(
     AND(HOUR(session_data[[#This Row],[Time]])&gt;5,HOUR(session_data[[#This Row],[Time]])&lt;12),"Morning",
     AND(HOUR(session_data[[#This Row],[Time]])&gt;=12,HOUR(session_data[[#This Row],[Time]])&lt;17),"Afternoon",
     AND(HOUR(session_data[[#This Row],[Time]])&gt;=17,HOUR(session_data[[#This Row],[Time]])&lt;21),"Evening",
     TRUE,"Night"
)</f>
        <v>Evening</v>
      </c>
      <c r="G439" s="1">
        <f t="shared" si="26"/>
        <v>2023</v>
      </c>
      <c r="H439" s="1" t="str">
        <f t="shared" si="27"/>
        <v>May</v>
      </c>
      <c r="I439" s="1" t="str">
        <f t="shared" si="24"/>
        <v>Sun</v>
      </c>
      <c r="J439" s="1" t="s">
        <v>11</v>
      </c>
      <c r="K439" s="1" t="s">
        <v>29</v>
      </c>
      <c r="L439" s="1" t="s">
        <v>59</v>
      </c>
      <c r="M439" s="1" t="s">
        <v>19</v>
      </c>
      <c r="N439" s="1" t="s">
        <v>14</v>
      </c>
      <c r="O439" t="s">
        <v>15</v>
      </c>
    </row>
    <row r="440" spans="1:15" x14ac:dyDescent="0.25">
      <c r="A440" s="1" t="s">
        <v>684</v>
      </c>
      <c r="B440" s="1" t="s">
        <v>683</v>
      </c>
      <c r="C440" s="2">
        <v>44963.890972222223</v>
      </c>
      <c r="D440" s="4">
        <f t="shared" si="25"/>
        <v>44963</v>
      </c>
      <c r="E440" s="6">
        <v>18.869444444440902</v>
      </c>
      <c r="F440" s="6" t="str" cm="1">
        <f t="array" ref="F440">_xlfn.IFS(
     AND(HOUR(session_data[[#This Row],[Time]])&gt;5,HOUR(session_data[[#This Row],[Time]])&lt;12),"Morning",
     AND(HOUR(session_data[[#This Row],[Time]])&gt;=12,HOUR(session_data[[#This Row],[Time]])&lt;17),"Afternoon",
     AND(HOUR(session_data[[#This Row],[Time]])&gt;=17,HOUR(session_data[[#This Row],[Time]])&lt;21),"Evening",
     TRUE,"Night"
)</f>
        <v>Evening</v>
      </c>
      <c r="G440" s="1">
        <f t="shared" si="26"/>
        <v>2023</v>
      </c>
      <c r="H440" s="1" t="str">
        <f t="shared" si="27"/>
        <v>Feb</v>
      </c>
      <c r="I440" s="1" t="str">
        <f t="shared" si="24"/>
        <v>Mon</v>
      </c>
      <c r="J440" s="1" t="s">
        <v>11</v>
      </c>
      <c r="K440" s="1" t="s">
        <v>29</v>
      </c>
      <c r="L440" s="1" t="s">
        <v>59</v>
      </c>
      <c r="M440" s="1" t="s">
        <v>19</v>
      </c>
      <c r="N440" s="1" t="s">
        <v>22</v>
      </c>
      <c r="O440" t="s">
        <v>15</v>
      </c>
    </row>
    <row r="441" spans="1:15" x14ac:dyDescent="0.25">
      <c r="A441" s="1" t="s">
        <v>685</v>
      </c>
      <c r="B441" s="1" t="s">
        <v>683</v>
      </c>
      <c r="C441" s="3">
        <v>45106.599305555559</v>
      </c>
      <c r="D441" s="4">
        <f t="shared" si="25"/>
        <v>45106</v>
      </c>
      <c r="E441" s="6">
        <v>18.911111111107601</v>
      </c>
      <c r="F441" s="6" t="str" cm="1">
        <f t="array" ref="F441">_xlfn.IFS(
     AND(HOUR(session_data[[#This Row],[Time]])&gt;5,HOUR(session_data[[#This Row],[Time]])&lt;12),"Morning",
     AND(HOUR(session_data[[#This Row],[Time]])&gt;=12,HOUR(session_data[[#This Row],[Time]])&lt;17),"Afternoon",
     AND(HOUR(session_data[[#This Row],[Time]])&gt;=17,HOUR(session_data[[#This Row],[Time]])&lt;21),"Evening",
     TRUE,"Night"
)</f>
        <v>Night</v>
      </c>
      <c r="G441" s="1">
        <f t="shared" si="26"/>
        <v>2023</v>
      </c>
      <c r="H441" s="1" t="str">
        <f t="shared" si="27"/>
        <v>Jun</v>
      </c>
      <c r="I441" s="1" t="str">
        <f t="shared" si="24"/>
        <v>Thu</v>
      </c>
      <c r="J441" s="1" t="s">
        <v>11</v>
      </c>
      <c r="K441" s="1" t="s">
        <v>29</v>
      </c>
      <c r="L441" s="1" t="s">
        <v>59</v>
      </c>
      <c r="M441" s="1" t="s">
        <v>19</v>
      </c>
      <c r="N441" s="1" t="s">
        <v>22</v>
      </c>
      <c r="O441" t="s">
        <v>15</v>
      </c>
    </row>
    <row r="442" spans="1:15" x14ac:dyDescent="0.25">
      <c r="A442" s="1" t="s">
        <v>686</v>
      </c>
      <c r="B442" s="1" t="s">
        <v>687</v>
      </c>
      <c r="C442" s="2">
        <v>44988.404166666667</v>
      </c>
      <c r="D442" s="4">
        <f t="shared" si="25"/>
        <v>44988</v>
      </c>
      <c r="E442" s="6">
        <v>18.952777777774202</v>
      </c>
      <c r="F442" s="6" t="str" cm="1">
        <f t="array" ref="F442">_xlfn.IFS(
     AND(HOUR(session_data[[#This Row],[Time]])&gt;5,HOUR(session_data[[#This Row],[Time]])&lt;12),"Morning",
     AND(HOUR(session_data[[#This Row],[Time]])&gt;=12,HOUR(session_data[[#This Row],[Time]])&lt;17),"Afternoon",
     AND(HOUR(session_data[[#This Row],[Time]])&gt;=17,HOUR(session_data[[#This Row],[Time]])&lt;21),"Evening",
     TRUE,"Night"
)</f>
        <v>Night</v>
      </c>
      <c r="G442" s="1">
        <f t="shared" si="26"/>
        <v>2023</v>
      </c>
      <c r="H442" s="1" t="str">
        <f t="shared" si="27"/>
        <v>Mar</v>
      </c>
      <c r="I442" s="1" t="str">
        <f t="shared" si="24"/>
        <v>Fri</v>
      </c>
      <c r="J442" s="1" t="s">
        <v>18</v>
      </c>
      <c r="K442" s="1" t="s">
        <v>12</v>
      </c>
      <c r="L442" s="1" t="s">
        <v>59</v>
      </c>
      <c r="M442" s="1" t="s">
        <v>19</v>
      </c>
      <c r="N442" s="1" t="s">
        <v>14</v>
      </c>
      <c r="O442" t="s">
        <v>15</v>
      </c>
    </row>
    <row r="443" spans="1:15" x14ac:dyDescent="0.25">
      <c r="A443" s="1" t="s">
        <v>688</v>
      </c>
      <c r="B443" s="1" t="s">
        <v>689</v>
      </c>
      <c r="C443" s="3">
        <v>45094.642361111109</v>
      </c>
      <c r="D443" s="4">
        <f t="shared" si="25"/>
        <v>45094</v>
      </c>
      <c r="E443" s="6">
        <v>18.994444444440902</v>
      </c>
      <c r="F443" s="6" t="str" cm="1">
        <f t="array" ref="F443">_xlfn.IFS(
     AND(HOUR(session_data[[#This Row],[Time]])&gt;5,HOUR(session_data[[#This Row],[Time]])&lt;12),"Morning",
     AND(HOUR(session_data[[#This Row],[Time]])&gt;=12,HOUR(session_data[[#This Row],[Time]])&lt;17),"Afternoon",
     AND(HOUR(session_data[[#This Row],[Time]])&gt;=17,HOUR(session_data[[#This Row],[Time]])&lt;21),"Evening",
     TRUE,"Night"
)</f>
        <v>Night</v>
      </c>
      <c r="G443" s="1">
        <f t="shared" si="26"/>
        <v>2023</v>
      </c>
      <c r="H443" s="1" t="str">
        <f t="shared" si="27"/>
        <v>Jun</v>
      </c>
      <c r="I443" s="1" t="str">
        <f t="shared" si="24"/>
        <v>Sat</v>
      </c>
      <c r="J443" s="1" t="s">
        <v>18</v>
      </c>
      <c r="K443" s="1" t="s">
        <v>36</v>
      </c>
      <c r="L443" s="1" t="s">
        <v>20</v>
      </c>
      <c r="M443" s="1" t="s">
        <v>19</v>
      </c>
      <c r="N443" s="1" t="s">
        <v>14</v>
      </c>
      <c r="O443" t="s">
        <v>15</v>
      </c>
    </row>
    <row r="444" spans="1:15" x14ac:dyDescent="0.25">
      <c r="A444" s="1" t="s">
        <v>690</v>
      </c>
      <c r="B444" s="1" t="s">
        <v>689</v>
      </c>
      <c r="C444" s="3">
        <v>45103.350694444445</v>
      </c>
      <c r="D444" s="4">
        <f t="shared" si="25"/>
        <v>45103</v>
      </c>
      <c r="E444" s="6">
        <v>19.036111111107601</v>
      </c>
      <c r="F444" s="6" t="str" cm="1">
        <f t="array" ref="F444">_xlfn.IFS(
     AND(HOUR(session_data[[#This Row],[Time]])&gt;5,HOUR(session_data[[#This Row],[Time]])&lt;12),"Morning",
     AND(HOUR(session_data[[#This Row],[Time]])&gt;=12,HOUR(session_data[[#This Row],[Time]])&lt;17),"Afternoon",
     AND(HOUR(session_data[[#This Row],[Time]])&gt;=17,HOUR(session_data[[#This Row],[Time]])&lt;21),"Evening",
     TRUE,"Night"
)</f>
        <v>Night</v>
      </c>
      <c r="G444" s="1">
        <f t="shared" si="26"/>
        <v>2023</v>
      </c>
      <c r="H444" s="1" t="str">
        <f t="shared" si="27"/>
        <v>Jun</v>
      </c>
      <c r="I444" s="1" t="str">
        <f t="shared" si="24"/>
        <v>Mon</v>
      </c>
      <c r="J444" s="1" t="s">
        <v>18</v>
      </c>
      <c r="K444" s="1" t="s">
        <v>36</v>
      </c>
      <c r="L444" s="1" t="s">
        <v>20</v>
      </c>
      <c r="M444" s="1" t="s">
        <v>19</v>
      </c>
      <c r="N444" s="1" t="s">
        <v>22</v>
      </c>
      <c r="O444" t="s">
        <v>15</v>
      </c>
    </row>
    <row r="445" spans="1:15" x14ac:dyDescent="0.25">
      <c r="A445" s="1" t="s">
        <v>691</v>
      </c>
      <c r="B445" s="1" t="s">
        <v>689</v>
      </c>
      <c r="C445" s="2">
        <v>45146.017361111109</v>
      </c>
      <c r="D445" s="4">
        <f t="shared" si="25"/>
        <v>45146</v>
      </c>
      <c r="E445" s="6">
        <v>19.077777777774202</v>
      </c>
      <c r="F445" s="6" t="str" cm="1">
        <f t="array" ref="F445">_xlfn.IFS(
     AND(HOUR(session_data[[#This Row],[Time]])&gt;5,HOUR(session_data[[#This Row],[Time]])&lt;12),"Morning",
     AND(HOUR(session_data[[#This Row],[Time]])&gt;=12,HOUR(session_data[[#This Row],[Time]])&lt;17),"Afternoon",
     AND(HOUR(session_data[[#This Row],[Time]])&gt;=17,HOUR(session_data[[#This Row],[Time]])&lt;21),"Evening",
     TRUE,"Night"
)</f>
        <v>Night</v>
      </c>
      <c r="G445" s="1">
        <f t="shared" si="26"/>
        <v>2023</v>
      </c>
      <c r="H445" s="1" t="str">
        <f t="shared" si="27"/>
        <v>Aug</v>
      </c>
      <c r="I445" s="1" t="str">
        <f t="shared" si="24"/>
        <v>Tue</v>
      </c>
      <c r="J445" s="1" t="s">
        <v>18</v>
      </c>
      <c r="K445" s="1" t="s">
        <v>36</v>
      </c>
      <c r="L445" s="1" t="s">
        <v>20</v>
      </c>
      <c r="M445" s="1" t="s">
        <v>19</v>
      </c>
      <c r="N445" s="1" t="s">
        <v>22</v>
      </c>
      <c r="O445" t="s">
        <v>15</v>
      </c>
    </row>
    <row r="446" spans="1:15" x14ac:dyDescent="0.25">
      <c r="A446" s="1" t="s">
        <v>692</v>
      </c>
      <c r="B446" s="1" t="s">
        <v>693</v>
      </c>
      <c r="C446" s="2">
        <v>44965.48541666667</v>
      </c>
      <c r="D446" s="4">
        <f t="shared" si="25"/>
        <v>44965</v>
      </c>
      <c r="E446" s="6">
        <v>19.119444444440902</v>
      </c>
      <c r="F446" s="6" t="str" cm="1">
        <f t="array" ref="F446">_xlfn.IFS(
     AND(HOUR(session_data[[#This Row],[Time]])&gt;5,HOUR(session_data[[#This Row],[Time]])&lt;12),"Morning",
     AND(HOUR(session_data[[#This Row],[Time]])&gt;=12,HOUR(session_data[[#This Row],[Time]])&lt;17),"Afternoon",
     AND(HOUR(session_data[[#This Row],[Time]])&gt;=17,HOUR(session_data[[#This Row],[Time]])&lt;21),"Evening",
     TRUE,"Night"
)</f>
        <v>Night</v>
      </c>
      <c r="G446" s="1">
        <f t="shared" si="26"/>
        <v>2023</v>
      </c>
      <c r="H446" s="1" t="str">
        <f t="shared" si="27"/>
        <v>Feb</v>
      </c>
      <c r="I446" s="1" t="str">
        <f t="shared" si="24"/>
        <v>Wed</v>
      </c>
      <c r="J446" s="1" t="s">
        <v>18</v>
      </c>
      <c r="K446" s="1" t="s">
        <v>29</v>
      </c>
      <c r="L446" s="1" t="s">
        <v>119</v>
      </c>
      <c r="M446" s="1" t="s">
        <v>40</v>
      </c>
      <c r="N446" s="1" t="s">
        <v>14</v>
      </c>
      <c r="O446" t="s">
        <v>45</v>
      </c>
    </row>
    <row r="447" spans="1:15" x14ac:dyDescent="0.25">
      <c r="A447" s="1" t="s">
        <v>694</v>
      </c>
      <c r="B447" s="1" t="s">
        <v>695</v>
      </c>
      <c r="C447" s="3">
        <v>45070.563888888886</v>
      </c>
      <c r="D447" s="4">
        <f t="shared" si="25"/>
        <v>45070</v>
      </c>
      <c r="E447" s="6">
        <v>19.161111111107601</v>
      </c>
      <c r="F447" s="6" t="str" cm="1">
        <f t="array" ref="F447">_xlfn.IFS(
     AND(HOUR(session_data[[#This Row],[Time]])&gt;5,HOUR(session_data[[#This Row],[Time]])&lt;12),"Morning",
     AND(HOUR(session_data[[#This Row],[Time]])&gt;=12,HOUR(session_data[[#This Row],[Time]])&lt;17),"Afternoon",
     AND(HOUR(session_data[[#This Row],[Time]])&gt;=17,HOUR(session_data[[#This Row],[Time]])&lt;21),"Evening",
     TRUE,"Night"
)</f>
        <v>Night</v>
      </c>
      <c r="G447" s="1">
        <f t="shared" si="26"/>
        <v>2023</v>
      </c>
      <c r="H447" s="1" t="str">
        <f t="shared" si="27"/>
        <v>May</v>
      </c>
      <c r="I447" s="1" t="str">
        <f t="shared" si="24"/>
        <v>Wed</v>
      </c>
      <c r="J447" s="1" t="s">
        <v>28</v>
      </c>
      <c r="K447" s="1" t="s">
        <v>12</v>
      </c>
      <c r="L447" s="1" t="s">
        <v>20</v>
      </c>
      <c r="M447" s="1" t="s">
        <v>19</v>
      </c>
      <c r="N447" s="1" t="s">
        <v>14</v>
      </c>
      <c r="O447" t="s">
        <v>45</v>
      </c>
    </row>
    <row r="448" spans="1:15" x14ac:dyDescent="0.25">
      <c r="A448" s="1" t="s">
        <v>696</v>
      </c>
      <c r="B448" s="1" t="s">
        <v>697</v>
      </c>
      <c r="C448" s="3">
        <v>45103.538888888892</v>
      </c>
      <c r="D448" s="4">
        <f t="shared" si="25"/>
        <v>45103</v>
      </c>
      <c r="E448" s="6">
        <v>19.202777777774202</v>
      </c>
      <c r="F448" s="6" t="str" cm="1">
        <f t="array" ref="F448">_xlfn.IFS(
     AND(HOUR(session_data[[#This Row],[Time]])&gt;5,HOUR(session_data[[#This Row],[Time]])&lt;12),"Morning",
     AND(HOUR(session_data[[#This Row],[Time]])&gt;=12,HOUR(session_data[[#This Row],[Time]])&lt;17),"Afternoon",
     AND(HOUR(session_data[[#This Row],[Time]])&gt;=17,HOUR(session_data[[#This Row],[Time]])&lt;21),"Evening",
     TRUE,"Night"
)</f>
        <v>Night</v>
      </c>
      <c r="G448" s="1">
        <f t="shared" si="26"/>
        <v>2023</v>
      </c>
      <c r="H448" s="1" t="str">
        <f t="shared" si="27"/>
        <v>Jun</v>
      </c>
      <c r="I448" s="1" t="str">
        <f t="shared" si="24"/>
        <v>Mon</v>
      </c>
      <c r="J448" s="1" t="s">
        <v>11</v>
      </c>
      <c r="K448" s="1" t="s">
        <v>29</v>
      </c>
      <c r="L448" s="1" t="s">
        <v>119</v>
      </c>
      <c r="M448" s="1" t="s">
        <v>40</v>
      </c>
      <c r="N448" s="1" t="s">
        <v>14</v>
      </c>
      <c r="O448" t="s">
        <v>15</v>
      </c>
    </row>
    <row r="449" spans="1:15" x14ac:dyDescent="0.25">
      <c r="A449" s="1" t="s">
        <v>698</v>
      </c>
      <c r="B449" s="1" t="s">
        <v>697</v>
      </c>
      <c r="C449" s="3">
        <v>45122.37222222222</v>
      </c>
      <c r="D449" s="4">
        <f t="shared" si="25"/>
        <v>45122</v>
      </c>
      <c r="E449" s="6">
        <v>19.244444444440902</v>
      </c>
      <c r="F449" s="6" t="str" cm="1">
        <f t="array" ref="F449">_xlfn.IFS(
     AND(HOUR(session_data[[#This Row],[Time]])&gt;5,HOUR(session_data[[#This Row],[Time]])&lt;12),"Morning",
     AND(HOUR(session_data[[#This Row],[Time]])&gt;=12,HOUR(session_data[[#This Row],[Time]])&lt;17),"Afternoon",
     AND(HOUR(session_data[[#This Row],[Time]])&gt;=17,HOUR(session_data[[#This Row],[Time]])&lt;21),"Evening",
     TRUE,"Night"
)</f>
        <v>Night</v>
      </c>
      <c r="G449" s="1">
        <f t="shared" si="26"/>
        <v>2023</v>
      </c>
      <c r="H449" s="1" t="str">
        <f t="shared" si="27"/>
        <v>Jul</v>
      </c>
      <c r="I449" s="1" t="str">
        <f t="shared" si="24"/>
        <v>Sat</v>
      </c>
      <c r="J449" s="1" t="s">
        <v>11</v>
      </c>
      <c r="K449" s="1" t="s">
        <v>29</v>
      </c>
      <c r="L449" s="1" t="s">
        <v>119</v>
      </c>
      <c r="M449" s="1" t="s">
        <v>40</v>
      </c>
      <c r="N449" s="1" t="s">
        <v>22</v>
      </c>
      <c r="O449" t="s">
        <v>15</v>
      </c>
    </row>
    <row r="450" spans="1:15" x14ac:dyDescent="0.25">
      <c r="A450" s="1" t="s">
        <v>699</v>
      </c>
      <c r="B450" s="1" t="s">
        <v>697</v>
      </c>
      <c r="C450" s="3">
        <v>45500.455555555556</v>
      </c>
      <c r="D450" s="4">
        <f t="shared" si="25"/>
        <v>45500</v>
      </c>
      <c r="E450" s="6">
        <v>19.286111111107601</v>
      </c>
      <c r="F450" s="6" t="str" cm="1">
        <f t="array" ref="F450">_xlfn.IFS(
     AND(HOUR(session_data[[#This Row],[Time]])&gt;5,HOUR(session_data[[#This Row],[Time]])&lt;12),"Morning",
     AND(HOUR(session_data[[#This Row],[Time]])&gt;=12,HOUR(session_data[[#This Row],[Time]])&lt;17),"Afternoon",
     AND(HOUR(session_data[[#This Row],[Time]])&gt;=17,HOUR(session_data[[#This Row],[Time]])&lt;21),"Evening",
     TRUE,"Night"
)</f>
        <v>Morning</v>
      </c>
      <c r="G450" s="1">
        <f t="shared" si="26"/>
        <v>2024</v>
      </c>
      <c r="H450" s="1" t="str">
        <f t="shared" si="27"/>
        <v>Jul</v>
      </c>
      <c r="I450" s="1" t="str">
        <f t="shared" ref="I450:I513" si="28">TEXT(D450,"DDD")</f>
        <v>Sat</v>
      </c>
      <c r="J450" s="1" t="s">
        <v>11</v>
      </c>
      <c r="K450" s="1" t="s">
        <v>29</v>
      </c>
      <c r="L450" s="1" t="s">
        <v>119</v>
      </c>
      <c r="M450" s="1" t="s">
        <v>40</v>
      </c>
      <c r="N450" s="1" t="s">
        <v>22</v>
      </c>
      <c r="O450" t="s">
        <v>15</v>
      </c>
    </row>
    <row r="451" spans="1:15" x14ac:dyDescent="0.25">
      <c r="A451" s="1" t="s">
        <v>700</v>
      </c>
      <c r="B451" s="1" t="s">
        <v>701</v>
      </c>
      <c r="C451" s="3">
        <v>45442.493055555555</v>
      </c>
      <c r="D451" s="4">
        <f t="shared" ref="D451:D514" si="29">INT(C451)</f>
        <v>45442</v>
      </c>
      <c r="E451" s="6">
        <v>19.327777777774202</v>
      </c>
      <c r="F451" s="6" t="str" cm="1">
        <f t="array" ref="F451">_xlfn.IFS(
     AND(HOUR(session_data[[#This Row],[Time]])&gt;5,HOUR(session_data[[#This Row],[Time]])&lt;12),"Morning",
     AND(HOUR(session_data[[#This Row],[Time]])&gt;=12,HOUR(session_data[[#This Row],[Time]])&lt;17),"Afternoon",
     AND(HOUR(session_data[[#This Row],[Time]])&gt;=17,HOUR(session_data[[#This Row],[Time]])&lt;21),"Evening",
     TRUE,"Night"
)</f>
        <v>Morning</v>
      </c>
      <c r="G451" s="1">
        <f t="shared" ref="G451:G514" si="30">YEAR(D451)</f>
        <v>2024</v>
      </c>
      <c r="H451" s="1" t="str">
        <f t="shared" ref="H451:H514" si="31">TEXT(D451,"MMM")</f>
        <v>May</v>
      </c>
      <c r="I451" s="1" t="str">
        <f t="shared" si="28"/>
        <v>Thu</v>
      </c>
      <c r="J451" s="1" t="s">
        <v>18</v>
      </c>
      <c r="K451" s="1" t="s">
        <v>29</v>
      </c>
      <c r="L451" s="1" t="s">
        <v>20</v>
      </c>
      <c r="M451" s="1" t="s">
        <v>19</v>
      </c>
      <c r="N451" s="1" t="s">
        <v>14</v>
      </c>
      <c r="O451" t="s">
        <v>15</v>
      </c>
    </row>
    <row r="452" spans="1:15" x14ac:dyDescent="0.25">
      <c r="A452" s="1" t="s">
        <v>702</v>
      </c>
      <c r="B452" s="1" t="s">
        <v>701</v>
      </c>
      <c r="C452" s="3">
        <v>45457.243055555555</v>
      </c>
      <c r="D452" s="4">
        <f t="shared" si="29"/>
        <v>45457</v>
      </c>
      <c r="E452" s="6">
        <v>19.369444444440902</v>
      </c>
      <c r="F452" s="6" t="str" cm="1">
        <f t="array" ref="F452">_xlfn.IFS(
     AND(HOUR(session_data[[#This Row],[Time]])&gt;5,HOUR(session_data[[#This Row],[Time]])&lt;12),"Morning",
     AND(HOUR(session_data[[#This Row],[Time]])&gt;=12,HOUR(session_data[[#This Row],[Time]])&lt;17),"Afternoon",
     AND(HOUR(session_data[[#This Row],[Time]])&gt;=17,HOUR(session_data[[#This Row],[Time]])&lt;21),"Evening",
     TRUE,"Night"
)</f>
        <v>Morning</v>
      </c>
      <c r="G452" s="1">
        <f t="shared" si="30"/>
        <v>2024</v>
      </c>
      <c r="H452" s="1" t="str">
        <f t="shared" si="31"/>
        <v>Jun</v>
      </c>
      <c r="I452" s="1" t="str">
        <f t="shared" si="28"/>
        <v>Fri</v>
      </c>
      <c r="J452" s="1" t="s">
        <v>18</v>
      </c>
      <c r="K452" s="1" t="s">
        <v>29</v>
      </c>
      <c r="L452" s="1" t="s">
        <v>20</v>
      </c>
      <c r="M452" s="1" t="s">
        <v>19</v>
      </c>
      <c r="N452" s="1" t="s">
        <v>22</v>
      </c>
      <c r="O452" t="s">
        <v>15</v>
      </c>
    </row>
    <row r="453" spans="1:15" x14ac:dyDescent="0.25">
      <c r="A453" s="1" t="s">
        <v>703</v>
      </c>
      <c r="B453" s="1" t="s">
        <v>704</v>
      </c>
      <c r="C453" s="2">
        <v>45328.916666666664</v>
      </c>
      <c r="D453" s="4">
        <f t="shared" si="29"/>
        <v>45328</v>
      </c>
      <c r="E453" s="6">
        <v>19.411111111107601</v>
      </c>
      <c r="F453" s="6" t="str" cm="1">
        <f t="array" ref="F453">_xlfn.IFS(
     AND(HOUR(session_data[[#This Row],[Time]])&gt;5,HOUR(session_data[[#This Row],[Time]])&lt;12),"Morning",
     AND(HOUR(session_data[[#This Row],[Time]])&gt;=12,HOUR(session_data[[#This Row],[Time]])&lt;17),"Afternoon",
     AND(HOUR(session_data[[#This Row],[Time]])&gt;=17,HOUR(session_data[[#This Row],[Time]])&lt;21),"Evening",
     TRUE,"Night"
)</f>
        <v>Morning</v>
      </c>
      <c r="G453" s="1">
        <f t="shared" si="30"/>
        <v>2024</v>
      </c>
      <c r="H453" s="1" t="str">
        <f t="shared" si="31"/>
        <v>Feb</v>
      </c>
      <c r="I453" s="1" t="str">
        <f t="shared" si="28"/>
        <v>Tue</v>
      </c>
      <c r="J453" s="1" t="s">
        <v>44</v>
      </c>
      <c r="K453" s="1" t="s">
        <v>12</v>
      </c>
      <c r="L453" s="1" t="s">
        <v>30</v>
      </c>
      <c r="M453" s="1" t="s">
        <v>32</v>
      </c>
      <c r="N453" s="1" t="s">
        <v>14</v>
      </c>
      <c r="O453" t="s">
        <v>45</v>
      </c>
    </row>
    <row r="454" spans="1:15" x14ac:dyDescent="0.25">
      <c r="A454" s="1" t="s">
        <v>705</v>
      </c>
      <c r="B454" s="1" t="s">
        <v>704</v>
      </c>
      <c r="C454" s="3">
        <v>45457.125</v>
      </c>
      <c r="D454" s="4">
        <f t="shared" si="29"/>
        <v>45457</v>
      </c>
      <c r="E454" s="6">
        <v>19.452777777774202</v>
      </c>
      <c r="F454" s="6" t="str" cm="1">
        <f t="array" ref="F454">_xlfn.IFS(
     AND(HOUR(session_data[[#This Row],[Time]])&gt;5,HOUR(session_data[[#This Row],[Time]])&lt;12),"Morning",
     AND(HOUR(session_data[[#This Row],[Time]])&gt;=12,HOUR(session_data[[#This Row],[Time]])&lt;17),"Afternoon",
     AND(HOUR(session_data[[#This Row],[Time]])&gt;=17,HOUR(session_data[[#This Row],[Time]])&lt;21),"Evening",
     TRUE,"Night"
)</f>
        <v>Morning</v>
      </c>
      <c r="G454" s="1">
        <f t="shared" si="30"/>
        <v>2024</v>
      </c>
      <c r="H454" s="1" t="str">
        <f t="shared" si="31"/>
        <v>Jun</v>
      </c>
      <c r="I454" s="1" t="str">
        <f t="shared" si="28"/>
        <v>Fri</v>
      </c>
      <c r="J454" s="1" t="s">
        <v>44</v>
      </c>
      <c r="K454" s="1" t="s">
        <v>12</v>
      </c>
      <c r="L454" s="1" t="s">
        <v>30</v>
      </c>
      <c r="M454" s="1" t="s">
        <v>32</v>
      </c>
      <c r="N454" s="1" t="s">
        <v>22</v>
      </c>
      <c r="O454" t="s">
        <v>45</v>
      </c>
    </row>
    <row r="455" spans="1:15" x14ac:dyDescent="0.25">
      <c r="A455" s="1" t="s">
        <v>706</v>
      </c>
      <c r="B455" s="1" t="s">
        <v>704</v>
      </c>
      <c r="C455" s="3">
        <v>45463.583333333336</v>
      </c>
      <c r="D455" s="4">
        <f t="shared" si="29"/>
        <v>45463</v>
      </c>
      <c r="E455" s="6">
        <v>19.494444444440902</v>
      </c>
      <c r="F455" s="6" t="str" cm="1">
        <f t="array" ref="F455">_xlfn.IFS(
     AND(HOUR(session_data[[#This Row],[Time]])&gt;5,HOUR(session_data[[#This Row],[Time]])&lt;12),"Morning",
     AND(HOUR(session_data[[#This Row],[Time]])&gt;=12,HOUR(session_data[[#This Row],[Time]])&lt;17),"Afternoon",
     AND(HOUR(session_data[[#This Row],[Time]])&gt;=17,HOUR(session_data[[#This Row],[Time]])&lt;21),"Evening",
     TRUE,"Night"
)</f>
        <v>Morning</v>
      </c>
      <c r="G455" s="1">
        <f t="shared" si="30"/>
        <v>2024</v>
      </c>
      <c r="H455" s="1" t="str">
        <f t="shared" si="31"/>
        <v>Jun</v>
      </c>
      <c r="I455" s="1" t="str">
        <f t="shared" si="28"/>
        <v>Thu</v>
      </c>
      <c r="J455" s="1" t="s">
        <v>44</v>
      </c>
      <c r="K455" s="1" t="s">
        <v>12</v>
      </c>
      <c r="L455" s="1" t="s">
        <v>30</v>
      </c>
      <c r="M455" s="1" t="s">
        <v>32</v>
      </c>
      <c r="N455" s="1" t="s">
        <v>22</v>
      </c>
      <c r="O455" t="s">
        <v>45</v>
      </c>
    </row>
    <row r="456" spans="1:15" x14ac:dyDescent="0.25">
      <c r="A456" s="1" t="s">
        <v>707</v>
      </c>
      <c r="B456" s="1" t="s">
        <v>708</v>
      </c>
      <c r="C456" s="3">
        <v>45340.546527777777</v>
      </c>
      <c r="D456" s="4">
        <f t="shared" si="29"/>
        <v>45340</v>
      </c>
      <c r="E456" s="6">
        <v>19.536111111107601</v>
      </c>
      <c r="F456" s="6" t="str" cm="1">
        <f t="array" ref="F456">_xlfn.IFS(
     AND(HOUR(session_data[[#This Row],[Time]])&gt;5,HOUR(session_data[[#This Row],[Time]])&lt;12),"Morning",
     AND(HOUR(session_data[[#This Row],[Time]])&gt;=12,HOUR(session_data[[#This Row],[Time]])&lt;17),"Afternoon",
     AND(HOUR(session_data[[#This Row],[Time]])&gt;=17,HOUR(session_data[[#This Row],[Time]])&lt;21),"Evening",
     TRUE,"Night"
)</f>
        <v>Afternoon</v>
      </c>
      <c r="G456" s="1">
        <f t="shared" si="30"/>
        <v>2024</v>
      </c>
      <c r="H456" s="1" t="str">
        <f t="shared" si="31"/>
        <v>Feb</v>
      </c>
      <c r="I456" s="1" t="str">
        <f t="shared" si="28"/>
        <v>Sun</v>
      </c>
      <c r="J456" s="1" t="s">
        <v>11</v>
      </c>
      <c r="K456" s="1" t="s">
        <v>12</v>
      </c>
      <c r="L456" s="1" t="s">
        <v>13</v>
      </c>
      <c r="M456" s="1" t="s">
        <v>32</v>
      </c>
      <c r="N456" s="1" t="s">
        <v>14</v>
      </c>
      <c r="O456" t="s">
        <v>15</v>
      </c>
    </row>
    <row r="457" spans="1:15" x14ac:dyDescent="0.25">
      <c r="A457" s="1" t="s">
        <v>709</v>
      </c>
      <c r="B457" s="1" t="s">
        <v>708</v>
      </c>
      <c r="C457" s="3">
        <v>45375.088194444441</v>
      </c>
      <c r="D457" s="4">
        <f t="shared" si="29"/>
        <v>45375</v>
      </c>
      <c r="E457" s="6">
        <v>19.577777777774202</v>
      </c>
      <c r="F457" s="6" t="str" cm="1">
        <f t="array" ref="F457">_xlfn.IFS(
     AND(HOUR(session_data[[#This Row],[Time]])&gt;5,HOUR(session_data[[#This Row],[Time]])&lt;12),"Morning",
     AND(HOUR(session_data[[#This Row],[Time]])&gt;=12,HOUR(session_data[[#This Row],[Time]])&lt;17),"Afternoon",
     AND(HOUR(session_data[[#This Row],[Time]])&gt;=17,HOUR(session_data[[#This Row],[Time]])&lt;21),"Evening",
     TRUE,"Night"
)</f>
        <v>Afternoon</v>
      </c>
      <c r="G457" s="1">
        <f t="shared" si="30"/>
        <v>2024</v>
      </c>
      <c r="H457" s="1" t="str">
        <f t="shared" si="31"/>
        <v>Mar</v>
      </c>
      <c r="I457" s="1" t="str">
        <f t="shared" si="28"/>
        <v>Sun</v>
      </c>
      <c r="J457" s="1" t="s">
        <v>11</v>
      </c>
      <c r="K457" s="1" t="s">
        <v>12</v>
      </c>
      <c r="L457" s="1" t="s">
        <v>13</v>
      </c>
      <c r="M457" s="1" t="s">
        <v>32</v>
      </c>
      <c r="N457" s="1" t="s">
        <v>22</v>
      </c>
      <c r="O457" t="s">
        <v>15</v>
      </c>
    </row>
    <row r="458" spans="1:15" x14ac:dyDescent="0.25">
      <c r="A458" s="1" t="s">
        <v>710</v>
      </c>
      <c r="B458" s="1" t="s">
        <v>708</v>
      </c>
      <c r="C458" s="2">
        <v>45508.796527777777</v>
      </c>
      <c r="D458" s="4">
        <f t="shared" si="29"/>
        <v>45508</v>
      </c>
      <c r="E458" s="6">
        <v>19.619444444440902</v>
      </c>
      <c r="F458" s="6" t="str" cm="1">
        <f t="array" ref="F458">_xlfn.IFS(
     AND(HOUR(session_data[[#This Row],[Time]])&gt;5,HOUR(session_data[[#This Row],[Time]])&lt;12),"Morning",
     AND(HOUR(session_data[[#This Row],[Time]])&gt;=12,HOUR(session_data[[#This Row],[Time]])&lt;17),"Afternoon",
     AND(HOUR(session_data[[#This Row],[Time]])&gt;=17,HOUR(session_data[[#This Row],[Time]])&lt;21),"Evening",
     TRUE,"Night"
)</f>
        <v>Afternoon</v>
      </c>
      <c r="G458" s="1">
        <f t="shared" si="30"/>
        <v>2024</v>
      </c>
      <c r="H458" s="1" t="str">
        <f t="shared" si="31"/>
        <v>Aug</v>
      </c>
      <c r="I458" s="1" t="str">
        <f t="shared" si="28"/>
        <v>Sun</v>
      </c>
      <c r="J458" s="1" t="s">
        <v>11</v>
      </c>
      <c r="K458" s="1" t="s">
        <v>12</v>
      </c>
      <c r="L458" s="1" t="s">
        <v>13</v>
      </c>
      <c r="M458" s="1" t="s">
        <v>32</v>
      </c>
      <c r="N458" s="1" t="s">
        <v>22</v>
      </c>
      <c r="O458" t="s">
        <v>15</v>
      </c>
    </row>
    <row r="459" spans="1:15" x14ac:dyDescent="0.25">
      <c r="A459" s="1" t="s">
        <v>711</v>
      </c>
      <c r="B459" s="1" t="s">
        <v>712</v>
      </c>
      <c r="C459" s="3">
        <v>45399.598611111112</v>
      </c>
      <c r="D459" s="4">
        <f t="shared" si="29"/>
        <v>45399</v>
      </c>
      <c r="E459" s="6">
        <v>19.661111111107601</v>
      </c>
      <c r="F459" s="6" t="str" cm="1">
        <f t="array" ref="F459">_xlfn.IFS(
     AND(HOUR(session_data[[#This Row],[Time]])&gt;5,HOUR(session_data[[#This Row],[Time]])&lt;12),"Morning",
     AND(HOUR(session_data[[#This Row],[Time]])&gt;=12,HOUR(session_data[[#This Row],[Time]])&lt;17),"Afternoon",
     AND(HOUR(session_data[[#This Row],[Time]])&gt;=17,HOUR(session_data[[#This Row],[Time]])&lt;21),"Evening",
     TRUE,"Night"
)</f>
        <v>Afternoon</v>
      </c>
      <c r="G459" s="1">
        <f t="shared" si="30"/>
        <v>2024</v>
      </c>
      <c r="H459" s="1" t="str">
        <f t="shared" si="31"/>
        <v>Apr</v>
      </c>
      <c r="I459" s="1" t="str">
        <f t="shared" si="28"/>
        <v>Wed</v>
      </c>
      <c r="J459" s="1" t="s">
        <v>28</v>
      </c>
      <c r="K459" s="1" t="s">
        <v>29</v>
      </c>
      <c r="L459" s="1" t="s">
        <v>79</v>
      </c>
      <c r="M459" s="1" t="s">
        <v>40</v>
      </c>
      <c r="N459" s="1" t="s">
        <v>14</v>
      </c>
      <c r="O459" t="s">
        <v>45</v>
      </c>
    </row>
    <row r="460" spans="1:15" x14ac:dyDescent="0.25">
      <c r="A460" s="1" t="s">
        <v>713</v>
      </c>
      <c r="B460" s="1" t="s">
        <v>712</v>
      </c>
      <c r="C460" s="2">
        <v>45631.640277777777</v>
      </c>
      <c r="D460" s="4">
        <f t="shared" si="29"/>
        <v>45631</v>
      </c>
      <c r="E460" s="6">
        <v>19.702777777774202</v>
      </c>
      <c r="F460" s="6" t="str" cm="1">
        <f t="array" ref="F460">_xlfn.IFS(
     AND(HOUR(session_data[[#This Row],[Time]])&gt;5,HOUR(session_data[[#This Row],[Time]])&lt;12),"Morning",
     AND(HOUR(session_data[[#This Row],[Time]])&gt;=12,HOUR(session_data[[#This Row],[Time]])&lt;17),"Afternoon",
     AND(HOUR(session_data[[#This Row],[Time]])&gt;=17,HOUR(session_data[[#This Row],[Time]])&lt;21),"Evening",
     TRUE,"Night"
)</f>
        <v>Afternoon</v>
      </c>
      <c r="G460" s="1">
        <f t="shared" si="30"/>
        <v>2024</v>
      </c>
      <c r="H460" s="1" t="str">
        <f t="shared" si="31"/>
        <v>Dec</v>
      </c>
      <c r="I460" s="1" t="str">
        <f t="shared" si="28"/>
        <v>Thu</v>
      </c>
      <c r="J460" s="1" t="s">
        <v>28</v>
      </c>
      <c r="K460" s="1" t="s">
        <v>29</v>
      </c>
      <c r="L460" s="1" t="s">
        <v>79</v>
      </c>
      <c r="M460" s="1" t="s">
        <v>40</v>
      </c>
      <c r="N460" s="1" t="s">
        <v>22</v>
      </c>
      <c r="O460" t="s">
        <v>45</v>
      </c>
    </row>
    <row r="461" spans="1:15" x14ac:dyDescent="0.25">
      <c r="A461" s="1" t="s">
        <v>714</v>
      </c>
      <c r="B461" s="1" t="s">
        <v>715</v>
      </c>
      <c r="C461" s="2">
        <v>45356.143750000003</v>
      </c>
      <c r="D461" s="4">
        <f t="shared" si="29"/>
        <v>45356</v>
      </c>
      <c r="E461" s="6">
        <v>19.744444444440902</v>
      </c>
      <c r="F461" s="6" t="str" cm="1">
        <f t="array" ref="F461">_xlfn.IFS(
     AND(HOUR(session_data[[#This Row],[Time]])&gt;5,HOUR(session_data[[#This Row],[Time]])&lt;12),"Morning",
     AND(HOUR(session_data[[#This Row],[Time]])&gt;=12,HOUR(session_data[[#This Row],[Time]])&lt;17),"Afternoon",
     AND(HOUR(session_data[[#This Row],[Time]])&gt;=17,HOUR(session_data[[#This Row],[Time]])&lt;21),"Evening",
     TRUE,"Night"
)</f>
        <v>Evening</v>
      </c>
      <c r="G461" s="1">
        <f t="shared" si="30"/>
        <v>2024</v>
      </c>
      <c r="H461" s="1" t="str">
        <f t="shared" si="31"/>
        <v>Mar</v>
      </c>
      <c r="I461" s="1" t="str">
        <f t="shared" si="28"/>
        <v>Tue</v>
      </c>
      <c r="J461" s="1" t="s">
        <v>66</v>
      </c>
      <c r="K461" s="1" t="s">
        <v>12</v>
      </c>
      <c r="L461" s="1" t="s">
        <v>13</v>
      </c>
      <c r="M461" s="1" t="s">
        <v>32</v>
      </c>
      <c r="N461" s="1" t="s">
        <v>14</v>
      </c>
      <c r="O461" t="s">
        <v>45</v>
      </c>
    </row>
    <row r="462" spans="1:15" x14ac:dyDescent="0.25">
      <c r="A462" s="1" t="s">
        <v>716</v>
      </c>
      <c r="B462" s="1" t="s">
        <v>717</v>
      </c>
      <c r="C462" s="3">
        <v>45402.588888888888</v>
      </c>
      <c r="D462" s="4">
        <f t="shared" si="29"/>
        <v>45402</v>
      </c>
      <c r="E462" s="6">
        <v>19.786111111107601</v>
      </c>
      <c r="F462" s="6" t="str" cm="1">
        <f t="array" ref="F462">_xlfn.IFS(
     AND(HOUR(session_data[[#This Row],[Time]])&gt;5,HOUR(session_data[[#This Row],[Time]])&lt;12),"Morning",
     AND(HOUR(session_data[[#This Row],[Time]])&gt;=12,HOUR(session_data[[#This Row],[Time]])&lt;17),"Afternoon",
     AND(HOUR(session_data[[#This Row],[Time]])&gt;=17,HOUR(session_data[[#This Row],[Time]])&lt;21),"Evening",
     TRUE,"Night"
)</f>
        <v>Evening</v>
      </c>
      <c r="G462" s="1">
        <f t="shared" si="30"/>
        <v>2024</v>
      </c>
      <c r="H462" s="1" t="str">
        <f t="shared" si="31"/>
        <v>Apr</v>
      </c>
      <c r="I462" s="1" t="str">
        <f t="shared" si="28"/>
        <v>Sat</v>
      </c>
      <c r="J462" s="1" t="s">
        <v>28</v>
      </c>
      <c r="K462" s="1" t="s">
        <v>29</v>
      </c>
      <c r="L462" s="1" t="s">
        <v>119</v>
      </c>
      <c r="M462" s="1" t="s">
        <v>40</v>
      </c>
      <c r="N462" s="1" t="s">
        <v>14</v>
      </c>
      <c r="O462" t="s">
        <v>45</v>
      </c>
    </row>
    <row r="463" spans="1:15" x14ac:dyDescent="0.25">
      <c r="A463" s="1" t="s">
        <v>718</v>
      </c>
      <c r="B463" s="1" t="s">
        <v>719</v>
      </c>
      <c r="C463" s="3">
        <v>45397.52847222222</v>
      </c>
      <c r="D463" s="4">
        <f t="shared" si="29"/>
        <v>45397</v>
      </c>
      <c r="E463" s="6">
        <v>19.827777777774202</v>
      </c>
      <c r="F463" s="6" t="str" cm="1">
        <f t="array" ref="F463">_xlfn.IFS(
     AND(HOUR(session_data[[#This Row],[Time]])&gt;5,HOUR(session_data[[#This Row],[Time]])&lt;12),"Morning",
     AND(HOUR(session_data[[#This Row],[Time]])&gt;=12,HOUR(session_data[[#This Row],[Time]])&lt;17),"Afternoon",
     AND(HOUR(session_data[[#This Row],[Time]])&gt;=17,HOUR(session_data[[#This Row],[Time]])&lt;21),"Evening",
     TRUE,"Night"
)</f>
        <v>Evening</v>
      </c>
      <c r="G463" s="1">
        <f t="shared" si="30"/>
        <v>2024</v>
      </c>
      <c r="H463" s="1" t="str">
        <f t="shared" si="31"/>
        <v>Apr</v>
      </c>
      <c r="I463" s="1" t="str">
        <f t="shared" si="28"/>
        <v>Mon</v>
      </c>
      <c r="J463" s="1" t="s">
        <v>11</v>
      </c>
      <c r="K463" s="1" t="s">
        <v>12</v>
      </c>
      <c r="L463" s="1" t="s">
        <v>30</v>
      </c>
      <c r="M463" s="1" t="s">
        <v>32</v>
      </c>
      <c r="N463" s="1" t="s">
        <v>14</v>
      </c>
      <c r="O463" t="s">
        <v>15</v>
      </c>
    </row>
    <row r="464" spans="1:15" x14ac:dyDescent="0.25">
      <c r="A464" s="1" t="s">
        <v>720</v>
      </c>
      <c r="B464" s="1" t="s">
        <v>721</v>
      </c>
      <c r="C464" s="3">
        <v>45319.200694444444</v>
      </c>
      <c r="D464" s="4">
        <f t="shared" si="29"/>
        <v>45319</v>
      </c>
      <c r="E464" s="6">
        <v>19.869444444440902</v>
      </c>
      <c r="F464" s="6" t="str" cm="1">
        <f t="array" ref="F464">_xlfn.IFS(
     AND(HOUR(session_data[[#This Row],[Time]])&gt;5,HOUR(session_data[[#This Row],[Time]])&lt;12),"Morning",
     AND(HOUR(session_data[[#This Row],[Time]])&gt;=12,HOUR(session_data[[#This Row],[Time]])&lt;17),"Afternoon",
     AND(HOUR(session_data[[#This Row],[Time]])&gt;=17,HOUR(session_data[[#This Row],[Time]])&lt;21),"Evening",
     TRUE,"Night"
)</f>
        <v>Evening</v>
      </c>
      <c r="G464" s="1">
        <f t="shared" si="30"/>
        <v>2024</v>
      </c>
      <c r="H464" s="1" t="str">
        <f t="shared" si="31"/>
        <v>Jan</v>
      </c>
      <c r="I464" s="1" t="str">
        <f t="shared" si="28"/>
        <v>Sun</v>
      </c>
      <c r="J464" s="1" t="s">
        <v>11</v>
      </c>
      <c r="K464" s="1" t="s">
        <v>12</v>
      </c>
      <c r="L464" s="1" t="s">
        <v>94</v>
      </c>
      <c r="M464" s="1" t="s">
        <v>32</v>
      </c>
      <c r="N464" s="1" t="s">
        <v>14</v>
      </c>
      <c r="O464" t="s">
        <v>45</v>
      </c>
    </row>
    <row r="465" spans="1:15" x14ac:dyDescent="0.25">
      <c r="A465" s="1" t="s">
        <v>722</v>
      </c>
      <c r="B465" s="1" t="s">
        <v>723</v>
      </c>
      <c r="C465" s="3">
        <v>45305.711805555555</v>
      </c>
      <c r="D465" s="4">
        <f t="shared" si="29"/>
        <v>45305</v>
      </c>
      <c r="E465" s="6">
        <v>19.911111111107601</v>
      </c>
      <c r="F465" s="6" t="str" cm="1">
        <f t="array" ref="F465">_xlfn.IFS(
     AND(HOUR(session_data[[#This Row],[Time]])&gt;5,HOUR(session_data[[#This Row],[Time]])&lt;12),"Morning",
     AND(HOUR(session_data[[#This Row],[Time]])&gt;=12,HOUR(session_data[[#This Row],[Time]])&lt;17),"Afternoon",
     AND(HOUR(session_data[[#This Row],[Time]])&gt;=17,HOUR(session_data[[#This Row],[Time]])&lt;21),"Evening",
     TRUE,"Night"
)</f>
        <v>Night</v>
      </c>
      <c r="G465" s="1">
        <f t="shared" si="30"/>
        <v>2024</v>
      </c>
      <c r="H465" s="1" t="str">
        <f t="shared" si="31"/>
        <v>Jan</v>
      </c>
      <c r="I465" s="1" t="str">
        <f t="shared" si="28"/>
        <v>Sun</v>
      </c>
      <c r="J465" s="1" t="s">
        <v>18</v>
      </c>
      <c r="K465" s="1" t="s">
        <v>12</v>
      </c>
      <c r="L465" s="1" t="s">
        <v>13</v>
      </c>
      <c r="M465" s="1" t="s">
        <v>32</v>
      </c>
      <c r="N465" s="1" t="s">
        <v>14</v>
      </c>
      <c r="O465" t="s">
        <v>45</v>
      </c>
    </row>
    <row r="466" spans="1:15" x14ac:dyDescent="0.25">
      <c r="A466" s="1" t="s">
        <v>724</v>
      </c>
      <c r="B466" s="1" t="s">
        <v>723</v>
      </c>
      <c r="C466" s="2">
        <v>45384.295138888891</v>
      </c>
      <c r="D466" s="4">
        <f t="shared" si="29"/>
        <v>45384</v>
      </c>
      <c r="E466" s="6">
        <v>19.952777777774202</v>
      </c>
      <c r="F466" s="6" t="str" cm="1">
        <f t="array" ref="F466">_xlfn.IFS(
     AND(HOUR(session_data[[#This Row],[Time]])&gt;5,HOUR(session_data[[#This Row],[Time]])&lt;12),"Morning",
     AND(HOUR(session_data[[#This Row],[Time]])&gt;=12,HOUR(session_data[[#This Row],[Time]])&lt;17),"Afternoon",
     AND(HOUR(session_data[[#This Row],[Time]])&gt;=17,HOUR(session_data[[#This Row],[Time]])&lt;21),"Evening",
     TRUE,"Night"
)</f>
        <v>Night</v>
      </c>
      <c r="G466" s="1">
        <f t="shared" si="30"/>
        <v>2024</v>
      </c>
      <c r="H466" s="1" t="str">
        <f t="shared" si="31"/>
        <v>Apr</v>
      </c>
      <c r="I466" s="1" t="str">
        <f t="shared" si="28"/>
        <v>Tue</v>
      </c>
      <c r="J466" s="1" t="s">
        <v>18</v>
      </c>
      <c r="K466" s="1" t="s">
        <v>12</v>
      </c>
      <c r="L466" s="1" t="s">
        <v>13</v>
      </c>
      <c r="M466" s="1" t="s">
        <v>32</v>
      </c>
      <c r="N466" s="1" t="s">
        <v>22</v>
      </c>
      <c r="O466" t="s">
        <v>45</v>
      </c>
    </row>
    <row r="467" spans="1:15" x14ac:dyDescent="0.25">
      <c r="A467" s="1" t="s">
        <v>725</v>
      </c>
      <c r="B467" s="1" t="s">
        <v>723</v>
      </c>
      <c r="C467" s="3">
        <v>45344.336805555555</v>
      </c>
      <c r="D467" s="4">
        <f t="shared" si="29"/>
        <v>45344</v>
      </c>
      <c r="E467" s="6">
        <v>19.994444444440902</v>
      </c>
      <c r="F467" s="6" t="str" cm="1">
        <f t="array" ref="F467">_xlfn.IFS(
     AND(HOUR(session_data[[#This Row],[Time]])&gt;5,HOUR(session_data[[#This Row],[Time]])&lt;12),"Morning",
     AND(HOUR(session_data[[#This Row],[Time]])&gt;=12,HOUR(session_data[[#This Row],[Time]])&lt;17),"Afternoon",
     AND(HOUR(session_data[[#This Row],[Time]])&gt;=17,HOUR(session_data[[#This Row],[Time]])&lt;21),"Evening",
     TRUE,"Night"
)</f>
        <v>Night</v>
      </c>
      <c r="G467" s="1">
        <f t="shared" si="30"/>
        <v>2024</v>
      </c>
      <c r="H467" s="1" t="str">
        <f t="shared" si="31"/>
        <v>Feb</v>
      </c>
      <c r="I467" s="1" t="str">
        <f t="shared" si="28"/>
        <v>Thu</v>
      </c>
      <c r="J467" s="1" t="s">
        <v>18</v>
      </c>
      <c r="K467" s="1" t="s">
        <v>12</v>
      </c>
      <c r="L467" s="1" t="s">
        <v>13</v>
      </c>
      <c r="M467" s="1" t="s">
        <v>32</v>
      </c>
      <c r="N467" s="1" t="s">
        <v>22</v>
      </c>
      <c r="O467" t="s">
        <v>45</v>
      </c>
    </row>
    <row r="468" spans="1:15" x14ac:dyDescent="0.25">
      <c r="A468" s="1" t="s">
        <v>726</v>
      </c>
      <c r="B468" s="1" t="s">
        <v>723</v>
      </c>
      <c r="C468" s="3">
        <v>45379.295138888891</v>
      </c>
      <c r="D468" s="4">
        <f t="shared" si="29"/>
        <v>45379</v>
      </c>
      <c r="E468" s="6">
        <v>20.036111111107601</v>
      </c>
      <c r="F468" s="6" t="str" cm="1">
        <f t="array" ref="F468">_xlfn.IFS(
     AND(HOUR(session_data[[#This Row],[Time]])&gt;5,HOUR(session_data[[#This Row],[Time]])&lt;12),"Morning",
     AND(HOUR(session_data[[#This Row],[Time]])&gt;=12,HOUR(session_data[[#This Row],[Time]])&lt;17),"Afternoon",
     AND(HOUR(session_data[[#This Row],[Time]])&gt;=17,HOUR(session_data[[#This Row],[Time]])&lt;21),"Evening",
     TRUE,"Night"
)</f>
        <v>Night</v>
      </c>
      <c r="G468" s="1">
        <f t="shared" si="30"/>
        <v>2024</v>
      </c>
      <c r="H468" s="1" t="str">
        <f t="shared" si="31"/>
        <v>Mar</v>
      </c>
      <c r="I468" s="1" t="str">
        <f t="shared" si="28"/>
        <v>Thu</v>
      </c>
      <c r="J468" s="1" t="s">
        <v>18</v>
      </c>
      <c r="K468" s="1" t="s">
        <v>12</v>
      </c>
      <c r="L468" s="1" t="s">
        <v>13</v>
      </c>
      <c r="M468" s="1" t="s">
        <v>32</v>
      </c>
      <c r="N468" s="1" t="s">
        <v>22</v>
      </c>
      <c r="O468" t="s">
        <v>45</v>
      </c>
    </row>
    <row r="469" spans="1:15" x14ac:dyDescent="0.25">
      <c r="A469" s="1" t="s">
        <v>727</v>
      </c>
      <c r="B469" s="1" t="s">
        <v>723</v>
      </c>
      <c r="C469" s="3">
        <v>45397.545138888891</v>
      </c>
      <c r="D469" s="4">
        <f t="shared" si="29"/>
        <v>45397</v>
      </c>
      <c r="E469" s="6">
        <v>20.077777777774202</v>
      </c>
      <c r="F469" s="6" t="str" cm="1">
        <f t="array" ref="F469">_xlfn.IFS(
     AND(HOUR(session_data[[#This Row],[Time]])&gt;5,HOUR(session_data[[#This Row],[Time]])&lt;12),"Morning",
     AND(HOUR(session_data[[#This Row],[Time]])&gt;=12,HOUR(session_data[[#This Row],[Time]])&lt;17),"Afternoon",
     AND(HOUR(session_data[[#This Row],[Time]])&gt;=17,HOUR(session_data[[#This Row],[Time]])&lt;21),"Evening",
     TRUE,"Night"
)</f>
        <v>Night</v>
      </c>
      <c r="G469" s="1">
        <f t="shared" si="30"/>
        <v>2024</v>
      </c>
      <c r="H469" s="1" t="str">
        <f t="shared" si="31"/>
        <v>Apr</v>
      </c>
      <c r="I469" s="1" t="str">
        <f t="shared" si="28"/>
        <v>Mon</v>
      </c>
      <c r="J469" s="1" t="s">
        <v>18</v>
      </c>
      <c r="K469" s="1" t="s">
        <v>12</v>
      </c>
      <c r="L469" s="1" t="s">
        <v>13</v>
      </c>
      <c r="M469" s="1" t="s">
        <v>32</v>
      </c>
      <c r="N469" s="1" t="s">
        <v>22</v>
      </c>
      <c r="O469" t="s">
        <v>45</v>
      </c>
    </row>
    <row r="470" spans="1:15" x14ac:dyDescent="0.25">
      <c r="A470" s="1" t="s">
        <v>728</v>
      </c>
      <c r="B470" s="1" t="s">
        <v>729</v>
      </c>
      <c r="C470" s="2">
        <v>45353.597916666666</v>
      </c>
      <c r="D470" s="4">
        <f t="shared" si="29"/>
        <v>45353</v>
      </c>
      <c r="E470" s="6">
        <v>20.119444444440902</v>
      </c>
      <c r="F470" s="6" t="str" cm="1">
        <f t="array" ref="F470">_xlfn.IFS(
     AND(HOUR(session_data[[#This Row],[Time]])&gt;5,HOUR(session_data[[#This Row],[Time]])&lt;12),"Morning",
     AND(HOUR(session_data[[#This Row],[Time]])&gt;=12,HOUR(session_data[[#This Row],[Time]])&lt;17),"Afternoon",
     AND(HOUR(session_data[[#This Row],[Time]])&gt;=17,HOUR(session_data[[#This Row],[Time]])&lt;21),"Evening",
     TRUE,"Night"
)</f>
        <v>Night</v>
      </c>
      <c r="G470" s="1">
        <f t="shared" si="30"/>
        <v>2024</v>
      </c>
      <c r="H470" s="1" t="str">
        <f t="shared" si="31"/>
        <v>Mar</v>
      </c>
      <c r="I470" s="1" t="str">
        <f t="shared" si="28"/>
        <v>Sat</v>
      </c>
      <c r="J470" s="1" t="s">
        <v>66</v>
      </c>
      <c r="K470" s="1" t="s">
        <v>12</v>
      </c>
      <c r="L470" s="1" t="s">
        <v>94</v>
      </c>
      <c r="M470" s="1" t="s">
        <v>32</v>
      </c>
      <c r="N470" s="1" t="s">
        <v>14</v>
      </c>
      <c r="O470" t="s">
        <v>15</v>
      </c>
    </row>
    <row r="471" spans="1:15" x14ac:dyDescent="0.25">
      <c r="A471" s="1" t="s">
        <v>730</v>
      </c>
      <c r="B471" s="1" t="s">
        <v>731</v>
      </c>
      <c r="C471" s="3">
        <v>45350.356944444444</v>
      </c>
      <c r="D471" s="4">
        <f t="shared" si="29"/>
        <v>45350</v>
      </c>
      <c r="E471" s="6">
        <v>20.161111111107601</v>
      </c>
      <c r="F471" s="6" t="str" cm="1">
        <f t="array" ref="F471">_xlfn.IFS(
     AND(HOUR(session_data[[#This Row],[Time]])&gt;5,HOUR(session_data[[#This Row],[Time]])&lt;12),"Morning",
     AND(HOUR(session_data[[#This Row],[Time]])&gt;=12,HOUR(session_data[[#This Row],[Time]])&lt;17),"Afternoon",
     AND(HOUR(session_data[[#This Row],[Time]])&gt;=17,HOUR(session_data[[#This Row],[Time]])&lt;21),"Evening",
     TRUE,"Night"
)</f>
        <v>Night</v>
      </c>
      <c r="G471" s="1">
        <f t="shared" si="30"/>
        <v>2024</v>
      </c>
      <c r="H471" s="1" t="str">
        <f t="shared" si="31"/>
        <v>Feb</v>
      </c>
      <c r="I471" s="1" t="str">
        <f t="shared" si="28"/>
        <v>Wed</v>
      </c>
      <c r="J471" s="1" t="s">
        <v>18</v>
      </c>
      <c r="K471" s="1" t="s">
        <v>29</v>
      </c>
      <c r="L471" s="1" t="s">
        <v>94</v>
      </c>
      <c r="M471" s="1" t="s">
        <v>32</v>
      </c>
      <c r="N471" s="1" t="s">
        <v>14</v>
      </c>
      <c r="O471" t="s">
        <v>45</v>
      </c>
    </row>
    <row r="472" spans="1:15" x14ac:dyDescent="0.25">
      <c r="A472" s="1" t="s">
        <v>732</v>
      </c>
      <c r="B472" s="1" t="s">
        <v>731</v>
      </c>
      <c r="C472" s="3">
        <v>45370.19027777778</v>
      </c>
      <c r="D472" s="4">
        <f t="shared" si="29"/>
        <v>45370</v>
      </c>
      <c r="E472" s="6">
        <v>20.202777777774202</v>
      </c>
      <c r="F472" s="6" t="str" cm="1">
        <f t="array" ref="F472">_xlfn.IFS(
     AND(HOUR(session_data[[#This Row],[Time]])&gt;5,HOUR(session_data[[#This Row],[Time]])&lt;12),"Morning",
     AND(HOUR(session_data[[#This Row],[Time]])&gt;=12,HOUR(session_data[[#This Row],[Time]])&lt;17),"Afternoon",
     AND(HOUR(session_data[[#This Row],[Time]])&gt;=17,HOUR(session_data[[#This Row],[Time]])&lt;21),"Evening",
     TRUE,"Night"
)</f>
        <v>Night</v>
      </c>
      <c r="G472" s="1">
        <f t="shared" si="30"/>
        <v>2024</v>
      </c>
      <c r="H472" s="1" t="str">
        <f t="shared" si="31"/>
        <v>Mar</v>
      </c>
      <c r="I472" s="1" t="str">
        <f t="shared" si="28"/>
        <v>Tue</v>
      </c>
      <c r="J472" s="1" t="s">
        <v>18</v>
      </c>
      <c r="K472" s="1" t="s">
        <v>29</v>
      </c>
      <c r="L472" s="1" t="s">
        <v>94</v>
      </c>
      <c r="M472" s="1" t="s">
        <v>32</v>
      </c>
      <c r="N472" s="1" t="s">
        <v>22</v>
      </c>
      <c r="O472" t="s">
        <v>45</v>
      </c>
    </row>
    <row r="473" spans="1:15" x14ac:dyDescent="0.25">
      <c r="A473" s="1" t="s">
        <v>733</v>
      </c>
      <c r="B473" s="1" t="s">
        <v>731</v>
      </c>
      <c r="C473" s="2">
        <v>45630.94027777778</v>
      </c>
      <c r="D473" s="4">
        <f t="shared" si="29"/>
        <v>45630</v>
      </c>
      <c r="E473" s="6">
        <v>20.244444444440902</v>
      </c>
      <c r="F473" s="6" t="str" cm="1">
        <f t="array" ref="F473">_xlfn.IFS(
     AND(HOUR(session_data[[#This Row],[Time]])&gt;5,HOUR(session_data[[#This Row],[Time]])&lt;12),"Morning",
     AND(HOUR(session_data[[#This Row],[Time]])&gt;=12,HOUR(session_data[[#This Row],[Time]])&lt;17),"Afternoon",
     AND(HOUR(session_data[[#This Row],[Time]])&gt;=17,HOUR(session_data[[#This Row],[Time]])&lt;21),"Evening",
     TRUE,"Night"
)</f>
        <v>Night</v>
      </c>
      <c r="G473" s="1">
        <f t="shared" si="30"/>
        <v>2024</v>
      </c>
      <c r="H473" s="1" t="str">
        <f t="shared" si="31"/>
        <v>Dec</v>
      </c>
      <c r="I473" s="1" t="str">
        <f t="shared" si="28"/>
        <v>Wed</v>
      </c>
      <c r="J473" s="1" t="s">
        <v>18</v>
      </c>
      <c r="K473" s="1" t="s">
        <v>29</v>
      </c>
      <c r="L473" s="1" t="s">
        <v>94</v>
      </c>
      <c r="M473" s="1" t="s">
        <v>32</v>
      </c>
      <c r="N473" s="1" t="s">
        <v>22</v>
      </c>
      <c r="O473" t="s">
        <v>45</v>
      </c>
    </row>
    <row r="474" spans="1:15" x14ac:dyDescent="0.25">
      <c r="A474" s="1" t="s">
        <v>734</v>
      </c>
      <c r="B474" s="1" t="s">
        <v>731</v>
      </c>
      <c r="C474" s="3">
        <v>45406.773611111108</v>
      </c>
      <c r="D474" s="4">
        <f t="shared" si="29"/>
        <v>45406</v>
      </c>
      <c r="E474" s="6">
        <v>20.286111111107601</v>
      </c>
      <c r="F474" s="6" t="str" cm="1">
        <f t="array" ref="F474">_xlfn.IFS(
     AND(HOUR(session_data[[#This Row],[Time]])&gt;5,HOUR(session_data[[#This Row],[Time]])&lt;12),"Morning",
     AND(HOUR(session_data[[#This Row],[Time]])&gt;=12,HOUR(session_data[[#This Row],[Time]])&lt;17),"Afternoon",
     AND(HOUR(session_data[[#This Row],[Time]])&gt;=17,HOUR(session_data[[#This Row],[Time]])&lt;21),"Evening",
     TRUE,"Night"
)</f>
        <v>Morning</v>
      </c>
      <c r="G474" s="1">
        <f t="shared" si="30"/>
        <v>2024</v>
      </c>
      <c r="H474" s="1" t="str">
        <f t="shared" si="31"/>
        <v>Apr</v>
      </c>
      <c r="I474" s="1" t="str">
        <f t="shared" si="28"/>
        <v>Wed</v>
      </c>
      <c r="J474" s="1" t="s">
        <v>18</v>
      </c>
      <c r="K474" s="1" t="s">
        <v>29</v>
      </c>
      <c r="L474" s="1" t="s">
        <v>94</v>
      </c>
      <c r="M474" s="1" t="s">
        <v>32</v>
      </c>
      <c r="N474" s="1" t="s">
        <v>22</v>
      </c>
      <c r="O474" t="s">
        <v>45</v>
      </c>
    </row>
    <row r="475" spans="1:15" x14ac:dyDescent="0.25">
      <c r="A475" s="1" t="s">
        <v>735</v>
      </c>
      <c r="B475" s="1" t="s">
        <v>736</v>
      </c>
      <c r="C475" s="2">
        <v>45631.28402777778</v>
      </c>
      <c r="D475" s="4">
        <f t="shared" si="29"/>
        <v>45631</v>
      </c>
      <c r="E475" s="6">
        <v>20.327777777774202</v>
      </c>
      <c r="F475" s="6" t="str" cm="1">
        <f t="array" ref="F475">_xlfn.IFS(
     AND(HOUR(session_data[[#This Row],[Time]])&gt;5,HOUR(session_data[[#This Row],[Time]])&lt;12),"Morning",
     AND(HOUR(session_data[[#This Row],[Time]])&gt;=12,HOUR(session_data[[#This Row],[Time]])&lt;17),"Afternoon",
     AND(HOUR(session_data[[#This Row],[Time]])&gt;=17,HOUR(session_data[[#This Row],[Time]])&lt;21),"Evening",
     TRUE,"Night"
)</f>
        <v>Morning</v>
      </c>
      <c r="G475" s="1">
        <f t="shared" si="30"/>
        <v>2024</v>
      </c>
      <c r="H475" s="1" t="str">
        <f t="shared" si="31"/>
        <v>Dec</v>
      </c>
      <c r="I475" s="1" t="str">
        <f t="shared" si="28"/>
        <v>Thu</v>
      </c>
      <c r="J475" s="1" t="s">
        <v>11</v>
      </c>
      <c r="K475" s="1" t="s">
        <v>12</v>
      </c>
      <c r="L475" s="1" t="s">
        <v>79</v>
      </c>
      <c r="M475" s="1" t="s">
        <v>40</v>
      </c>
      <c r="N475" s="1" t="s">
        <v>14</v>
      </c>
      <c r="O475" t="s">
        <v>45</v>
      </c>
    </row>
    <row r="476" spans="1:15" x14ac:dyDescent="0.25">
      <c r="A476" s="1" t="s">
        <v>737</v>
      </c>
      <c r="B476" s="1" t="s">
        <v>736</v>
      </c>
      <c r="C476" s="2">
        <v>45418.65902777778</v>
      </c>
      <c r="D476" s="4">
        <f t="shared" si="29"/>
        <v>45418</v>
      </c>
      <c r="E476" s="6">
        <v>20.369444444440902</v>
      </c>
      <c r="F476" s="6" t="str" cm="1">
        <f t="array" ref="F476">_xlfn.IFS(
     AND(HOUR(session_data[[#This Row],[Time]])&gt;5,HOUR(session_data[[#This Row],[Time]])&lt;12),"Morning",
     AND(HOUR(session_data[[#This Row],[Time]])&gt;=12,HOUR(session_data[[#This Row],[Time]])&lt;17),"Afternoon",
     AND(HOUR(session_data[[#This Row],[Time]])&gt;=17,HOUR(session_data[[#This Row],[Time]])&lt;21),"Evening",
     TRUE,"Night"
)</f>
        <v>Morning</v>
      </c>
      <c r="G476" s="1">
        <f t="shared" si="30"/>
        <v>2024</v>
      </c>
      <c r="H476" s="1" t="str">
        <f t="shared" si="31"/>
        <v>May</v>
      </c>
      <c r="I476" s="1" t="str">
        <f t="shared" si="28"/>
        <v>Mon</v>
      </c>
      <c r="J476" s="1" t="s">
        <v>11</v>
      </c>
      <c r="K476" s="1" t="s">
        <v>12</v>
      </c>
      <c r="L476" s="1" t="s">
        <v>79</v>
      </c>
      <c r="M476" s="1" t="s">
        <v>40</v>
      </c>
      <c r="N476" s="1" t="s">
        <v>22</v>
      </c>
      <c r="O476" t="s">
        <v>45</v>
      </c>
    </row>
    <row r="477" spans="1:15" x14ac:dyDescent="0.25">
      <c r="A477" s="1" t="s">
        <v>738</v>
      </c>
      <c r="B477" s="1" t="s">
        <v>739</v>
      </c>
      <c r="C477" s="3">
        <v>45307.115972222222</v>
      </c>
      <c r="D477" s="4">
        <f t="shared" si="29"/>
        <v>45307</v>
      </c>
      <c r="E477" s="6">
        <v>20.411111111107601</v>
      </c>
      <c r="F477" s="6" t="str" cm="1">
        <f t="array" ref="F477">_xlfn.IFS(
     AND(HOUR(session_data[[#This Row],[Time]])&gt;5,HOUR(session_data[[#This Row],[Time]])&lt;12),"Morning",
     AND(HOUR(session_data[[#This Row],[Time]])&gt;=12,HOUR(session_data[[#This Row],[Time]])&lt;17),"Afternoon",
     AND(HOUR(session_data[[#This Row],[Time]])&gt;=17,HOUR(session_data[[#This Row],[Time]])&lt;21),"Evening",
     TRUE,"Night"
)</f>
        <v>Morning</v>
      </c>
      <c r="G477" s="1">
        <f t="shared" si="30"/>
        <v>2024</v>
      </c>
      <c r="H477" s="1" t="str">
        <f t="shared" si="31"/>
        <v>Jan</v>
      </c>
      <c r="I477" s="1" t="str">
        <f t="shared" si="28"/>
        <v>Tue</v>
      </c>
      <c r="J477" s="1" t="s">
        <v>18</v>
      </c>
      <c r="K477" s="1" t="s">
        <v>29</v>
      </c>
      <c r="L477" s="1" t="s">
        <v>41</v>
      </c>
      <c r="M477" s="1" t="s">
        <v>40</v>
      </c>
      <c r="N477" s="1" t="s">
        <v>14</v>
      </c>
      <c r="O477" t="s">
        <v>45</v>
      </c>
    </row>
    <row r="478" spans="1:15" x14ac:dyDescent="0.25">
      <c r="A478" s="1" t="s">
        <v>740</v>
      </c>
      <c r="B478" s="1" t="s">
        <v>739</v>
      </c>
      <c r="C478" s="2">
        <v>45445.615972222222</v>
      </c>
      <c r="D478" s="4">
        <f t="shared" si="29"/>
        <v>45445</v>
      </c>
      <c r="E478" s="6">
        <v>20.452777777774202</v>
      </c>
      <c r="F478" s="6" t="str" cm="1">
        <f t="array" ref="F478">_xlfn.IFS(
     AND(HOUR(session_data[[#This Row],[Time]])&gt;5,HOUR(session_data[[#This Row],[Time]])&lt;12),"Morning",
     AND(HOUR(session_data[[#This Row],[Time]])&gt;=12,HOUR(session_data[[#This Row],[Time]])&lt;17),"Afternoon",
     AND(HOUR(session_data[[#This Row],[Time]])&gt;=17,HOUR(session_data[[#This Row],[Time]])&lt;21),"Evening",
     TRUE,"Night"
)</f>
        <v>Morning</v>
      </c>
      <c r="G478" s="1">
        <f t="shared" si="30"/>
        <v>2024</v>
      </c>
      <c r="H478" s="1" t="str">
        <f t="shared" si="31"/>
        <v>Jun</v>
      </c>
      <c r="I478" s="1" t="str">
        <f t="shared" si="28"/>
        <v>Sun</v>
      </c>
      <c r="J478" s="1" t="s">
        <v>18</v>
      </c>
      <c r="K478" s="1" t="s">
        <v>29</v>
      </c>
      <c r="L478" s="1" t="s">
        <v>41</v>
      </c>
      <c r="M478" s="1" t="s">
        <v>40</v>
      </c>
      <c r="N478" s="1" t="s">
        <v>22</v>
      </c>
      <c r="O478" t="s">
        <v>45</v>
      </c>
    </row>
    <row r="479" spans="1:15" x14ac:dyDescent="0.25">
      <c r="A479" s="1" t="s">
        <v>741</v>
      </c>
      <c r="B479" s="1" t="s">
        <v>739</v>
      </c>
      <c r="C479" s="3">
        <v>45340.157638888886</v>
      </c>
      <c r="D479" s="4">
        <f t="shared" si="29"/>
        <v>45340</v>
      </c>
      <c r="E479" s="6">
        <v>20.494444444440902</v>
      </c>
      <c r="F479" s="6" t="str" cm="1">
        <f t="array" ref="F479">_xlfn.IFS(
     AND(HOUR(session_data[[#This Row],[Time]])&gt;5,HOUR(session_data[[#This Row],[Time]])&lt;12),"Morning",
     AND(HOUR(session_data[[#This Row],[Time]])&gt;=12,HOUR(session_data[[#This Row],[Time]])&lt;17),"Afternoon",
     AND(HOUR(session_data[[#This Row],[Time]])&gt;=17,HOUR(session_data[[#This Row],[Time]])&lt;21),"Evening",
     TRUE,"Night"
)</f>
        <v>Morning</v>
      </c>
      <c r="G479" s="1">
        <f t="shared" si="30"/>
        <v>2024</v>
      </c>
      <c r="H479" s="1" t="str">
        <f t="shared" si="31"/>
        <v>Feb</v>
      </c>
      <c r="I479" s="1" t="str">
        <f t="shared" si="28"/>
        <v>Sun</v>
      </c>
      <c r="J479" s="1" t="s">
        <v>18</v>
      </c>
      <c r="K479" s="1" t="s">
        <v>29</v>
      </c>
      <c r="L479" s="1" t="s">
        <v>41</v>
      </c>
      <c r="M479" s="1" t="s">
        <v>40</v>
      </c>
      <c r="N479" s="1" t="s">
        <v>22</v>
      </c>
      <c r="O479" t="s">
        <v>45</v>
      </c>
    </row>
    <row r="480" spans="1:15" x14ac:dyDescent="0.25">
      <c r="A480" s="1" t="s">
        <v>742</v>
      </c>
      <c r="B480" s="1" t="s">
        <v>743</v>
      </c>
      <c r="C480" s="3">
        <v>45381.820833333331</v>
      </c>
      <c r="D480" s="4">
        <f t="shared" si="29"/>
        <v>45381</v>
      </c>
      <c r="E480" s="6">
        <v>20.536111111107601</v>
      </c>
      <c r="F480" s="6" t="str" cm="1">
        <f t="array" ref="F480">_xlfn.IFS(
     AND(HOUR(session_data[[#This Row],[Time]])&gt;5,HOUR(session_data[[#This Row],[Time]])&lt;12),"Morning",
     AND(HOUR(session_data[[#This Row],[Time]])&gt;=12,HOUR(session_data[[#This Row],[Time]])&lt;17),"Afternoon",
     AND(HOUR(session_data[[#This Row],[Time]])&gt;=17,HOUR(session_data[[#This Row],[Time]])&lt;21),"Evening",
     TRUE,"Night"
)</f>
        <v>Afternoon</v>
      </c>
      <c r="G480" s="1">
        <f t="shared" si="30"/>
        <v>2024</v>
      </c>
      <c r="H480" s="1" t="str">
        <f t="shared" si="31"/>
        <v>Mar</v>
      </c>
      <c r="I480" s="1" t="str">
        <f t="shared" si="28"/>
        <v>Sat</v>
      </c>
      <c r="J480" s="1" t="s">
        <v>11</v>
      </c>
      <c r="K480" s="1" t="s">
        <v>12</v>
      </c>
      <c r="L480" s="1" t="s">
        <v>94</v>
      </c>
      <c r="M480" s="1" t="s">
        <v>32</v>
      </c>
      <c r="N480" s="1" t="s">
        <v>14</v>
      </c>
      <c r="O480" t="s">
        <v>15</v>
      </c>
    </row>
    <row r="481" spans="1:15" x14ac:dyDescent="0.25">
      <c r="A481" s="1" t="s">
        <v>744</v>
      </c>
      <c r="B481" s="1" t="s">
        <v>743</v>
      </c>
      <c r="C481" s="2">
        <v>45600.820833333331</v>
      </c>
      <c r="D481" s="4">
        <f t="shared" si="29"/>
        <v>45600</v>
      </c>
      <c r="E481" s="6">
        <v>20.577777777774202</v>
      </c>
      <c r="F481" s="6" t="str" cm="1">
        <f t="array" ref="F481">_xlfn.IFS(
     AND(HOUR(session_data[[#This Row],[Time]])&gt;5,HOUR(session_data[[#This Row],[Time]])&lt;12),"Morning",
     AND(HOUR(session_data[[#This Row],[Time]])&gt;=12,HOUR(session_data[[#This Row],[Time]])&lt;17),"Afternoon",
     AND(HOUR(session_data[[#This Row],[Time]])&gt;=17,HOUR(session_data[[#This Row],[Time]])&lt;21),"Evening",
     TRUE,"Night"
)</f>
        <v>Afternoon</v>
      </c>
      <c r="G481" s="1">
        <f t="shared" si="30"/>
        <v>2024</v>
      </c>
      <c r="H481" s="1" t="str">
        <f t="shared" si="31"/>
        <v>Nov</v>
      </c>
      <c r="I481" s="1" t="str">
        <f t="shared" si="28"/>
        <v>Mon</v>
      </c>
      <c r="J481" s="1" t="s">
        <v>11</v>
      </c>
      <c r="K481" s="1" t="s">
        <v>12</v>
      </c>
      <c r="L481" s="1" t="s">
        <v>94</v>
      </c>
      <c r="M481" s="1" t="s">
        <v>32</v>
      </c>
      <c r="N481" s="1" t="s">
        <v>22</v>
      </c>
      <c r="O481" t="s">
        <v>15</v>
      </c>
    </row>
    <row r="482" spans="1:15" x14ac:dyDescent="0.25">
      <c r="A482" s="1" t="s">
        <v>745</v>
      </c>
      <c r="B482" s="1" t="s">
        <v>746</v>
      </c>
      <c r="C482" s="3">
        <v>45307.242361111108</v>
      </c>
      <c r="D482" s="4">
        <f t="shared" si="29"/>
        <v>45307</v>
      </c>
      <c r="E482" s="6">
        <v>20.619444444440902</v>
      </c>
      <c r="F482" s="6" t="str" cm="1">
        <f t="array" ref="F482">_xlfn.IFS(
     AND(HOUR(session_data[[#This Row],[Time]])&gt;5,HOUR(session_data[[#This Row],[Time]])&lt;12),"Morning",
     AND(HOUR(session_data[[#This Row],[Time]])&gt;=12,HOUR(session_data[[#This Row],[Time]])&lt;17),"Afternoon",
     AND(HOUR(session_data[[#This Row],[Time]])&gt;=17,HOUR(session_data[[#This Row],[Time]])&lt;21),"Evening",
     TRUE,"Night"
)</f>
        <v>Afternoon</v>
      </c>
      <c r="G482" s="1">
        <f t="shared" si="30"/>
        <v>2024</v>
      </c>
      <c r="H482" s="1" t="str">
        <f t="shared" si="31"/>
        <v>Jan</v>
      </c>
      <c r="I482" s="1" t="str">
        <f t="shared" si="28"/>
        <v>Tue</v>
      </c>
      <c r="J482" s="1" t="s">
        <v>66</v>
      </c>
      <c r="K482" s="1" t="s">
        <v>12</v>
      </c>
      <c r="L482" s="1" t="s">
        <v>30</v>
      </c>
      <c r="M482" s="1" t="s">
        <v>32</v>
      </c>
      <c r="N482" s="1" t="s">
        <v>14</v>
      </c>
      <c r="O482" t="s">
        <v>45</v>
      </c>
    </row>
    <row r="483" spans="1:15" x14ac:dyDescent="0.25">
      <c r="A483" s="1" t="s">
        <v>747</v>
      </c>
      <c r="B483" s="1" t="s">
        <v>746</v>
      </c>
      <c r="C483" s="2">
        <v>45353.325694444444</v>
      </c>
      <c r="D483" s="4">
        <f t="shared" si="29"/>
        <v>45353</v>
      </c>
      <c r="E483" s="6">
        <v>20.661111111107601</v>
      </c>
      <c r="F483" s="6" t="str" cm="1">
        <f t="array" ref="F483">_xlfn.IFS(
     AND(HOUR(session_data[[#This Row],[Time]])&gt;5,HOUR(session_data[[#This Row],[Time]])&lt;12),"Morning",
     AND(HOUR(session_data[[#This Row],[Time]])&gt;=12,HOUR(session_data[[#This Row],[Time]])&lt;17),"Afternoon",
     AND(HOUR(session_data[[#This Row],[Time]])&gt;=17,HOUR(session_data[[#This Row],[Time]])&lt;21),"Evening",
     TRUE,"Night"
)</f>
        <v>Afternoon</v>
      </c>
      <c r="G483" s="1">
        <f t="shared" si="30"/>
        <v>2024</v>
      </c>
      <c r="H483" s="1" t="str">
        <f t="shared" si="31"/>
        <v>Mar</v>
      </c>
      <c r="I483" s="1" t="str">
        <f t="shared" si="28"/>
        <v>Sat</v>
      </c>
      <c r="J483" s="1" t="s">
        <v>66</v>
      </c>
      <c r="K483" s="1" t="s">
        <v>12</v>
      </c>
      <c r="L483" s="1" t="s">
        <v>30</v>
      </c>
      <c r="M483" s="1" t="s">
        <v>32</v>
      </c>
      <c r="N483" s="1" t="s">
        <v>22</v>
      </c>
      <c r="O483" t="s">
        <v>45</v>
      </c>
    </row>
    <row r="484" spans="1:15" x14ac:dyDescent="0.25">
      <c r="A484" s="1" t="s">
        <v>748</v>
      </c>
      <c r="B484" s="1" t="s">
        <v>749</v>
      </c>
      <c r="C484" s="3">
        <v>45307.697222222225</v>
      </c>
      <c r="D484" s="4">
        <f t="shared" si="29"/>
        <v>45307</v>
      </c>
      <c r="E484" s="6">
        <v>20.702777777774202</v>
      </c>
      <c r="F484" s="6" t="str" cm="1">
        <f t="array" ref="F484">_xlfn.IFS(
     AND(HOUR(session_data[[#This Row],[Time]])&gt;5,HOUR(session_data[[#This Row],[Time]])&lt;12),"Morning",
     AND(HOUR(session_data[[#This Row],[Time]])&gt;=12,HOUR(session_data[[#This Row],[Time]])&lt;17),"Afternoon",
     AND(HOUR(session_data[[#This Row],[Time]])&gt;=17,HOUR(session_data[[#This Row],[Time]])&lt;21),"Evening",
     TRUE,"Night"
)</f>
        <v>Afternoon</v>
      </c>
      <c r="G484" s="1">
        <f t="shared" si="30"/>
        <v>2024</v>
      </c>
      <c r="H484" s="1" t="str">
        <f t="shared" si="31"/>
        <v>Jan</v>
      </c>
      <c r="I484" s="1" t="str">
        <f t="shared" si="28"/>
        <v>Tue</v>
      </c>
      <c r="J484" s="1" t="s">
        <v>11</v>
      </c>
      <c r="K484" s="1" t="s">
        <v>12</v>
      </c>
      <c r="L484" s="1" t="s">
        <v>59</v>
      </c>
      <c r="M484" s="1" t="s">
        <v>19</v>
      </c>
      <c r="N484" s="1" t="s">
        <v>14</v>
      </c>
      <c r="O484" t="s">
        <v>45</v>
      </c>
    </row>
    <row r="485" spans="1:15" x14ac:dyDescent="0.25">
      <c r="A485" s="1" t="s">
        <v>750</v>
      </c>
      <c r="B485" s="1" t="s">
        <v>749</v>
      </c>
      <c r="C485" s="2">
        <v>45445.530555555553</v>
      </c>
      <c r="D485" s="4">
        <f t="shared" si="29"/>
        <v>45445</v>
      </c>
      <c r="E485" s="6">
        <v>20.744444444440902</v>
      </c>
      <c r="F485" s="6" t="str" cm="1">
        <f t="array" ref="F485">_xlfn.IFS(
     AND(HOUR(session_data[[#This Row],[Time]])&gt;5,HOUR(session_data[[#This Row],[Time]])&lt;12),"Morning",
     AND(HOUR(session_data[[#This Row],[Time]])&gt;=12,HOUR(session_data[[#This Row],[Time]])&lt;17),"Afternoon",
     AND(HOUR(session_data[[#This Row],[Time]])&gt;=17,HOUR(session_data[[#This Row],[Time]])&lt;21),"Evening",
     TRUE,"Night"
)</f>
        <v>Evening</v>
      </c>
      <c r="G485" s="1">
        <f t="shared" si="30"/>
        <v>2024</v>
      </c>
      <c r="H485" s="1" t="str">
        <f t="shared" si="31"/>
        <v>Jun</v>
      </c>
      <c r="I485" s="1" t="str">
        <f t="shared" si="28"/>
        <v>Sun</v>
      </c>
      <c r="J485" s="1" t="s">
        <v>11</v>
      </c>
      <c r="K485" s="1" t="s">
        <v>12</v>
      </c>
      <c r="L485" s="1" t="s">
        <v>59</v>
      </c>
      <c r="M485" s="1" t="s">
        <v>19</v>
      </c>
      <c r="N485" s="1" t="s">
        <v>22</v>
      </c>
      <c r="O485" t="s">
        <v>45</v>
      </c>
    </row>
    <row r="486" spans="1:15" x14ac:dyDescent="0.25">
      <c r="A486" s="1" t="s">
        <v>751</v>
      </c>
      <c r="B486" s="1" t="s">
        <v>752</v>
      </c>
      <c r="C486" s="2">
        <v>45508.906944444447</v>
      </c>
      <c r="D486" s="4">
        <f t="shared" si="29"/>
        <v>45508</v>
      </c>
      <c r="E486" s="6">
        <v>20.786111111107601</v>
      </c>
      <c r="F486" s="6" t="str" cm="1">
        <f t="array" ref="F486">_xlfn.IFS(
     AND(HOUR(session_data[[#This Row],[Time]])&gt;5,HOUR(session_data[[#This Row],[Time]])&lt;12),"Morning",
     AND(HOUR(session_data[[#This Row],[Time]])&gt;=12,HOUR(session_data[[#This Row],[Time]])&lt;17),"Afternoon",
     AND(HOUR(session_data[[#This Row],[Time]])&gt;=17,HOUR(session_data[[#This Row],[Time]])&lt;21),"Evening",
     TRUE,"Night"
)</f>
        <v>Evening</v>
      </c>
      <c r="G486" s="1">
        <f t="shared" si="30"/>
        <v>2024</v>
      </c>
      <c r="H486" s="1" t="str">
        <f t="shared" si="31"/>
        <v>Aug</v>
      </c>
      <c r="I486" s="1" t="str">
        <f t="shared" si="28"/>
        <v>Sun</v>
      </c>
      <c r="J486" s="1" t="s">
        <v>18</v>
      </c>
      <c r="K486" s="1" t="s">
        <v>12</v>
      </c>
      <c r="L486" s="1" t="s">
        <v>50</v>
      </c>
      <c r="M486" s="1" t="s">
        <v>19</v>
      </c>
      <c r="N486" s="1" t="s">
        <v>14</v>
      </c>
      <c r="O486" t="s">
        <v>15</v>
      </c>
    </row>
    <row r="487" spans="1:15" x14ac:dyDescent="0.25">
      <c r="A487" s="1" t="s">
        <v>753</v>
      </c>
      <c r="B487" s="1" t="s">
        <v>754</v>
      </c>
      <c r="C487" s="2">
        <v>45326.65347222222</v>
      </c>
      <c r="D487" s="4">
        <f t="shared" si="29"/>
        <v>45326</v>
      </c>
      <c r="E487" s="6">
        <v>20.827777777774202</v>
      </c>
      <c r="F487" s="6" t="str" cm="1">
        <f t="array" ref="F487">_xlfn.IFS(
     AND(HOUR(session_data[[#This Row],[Time]])&gt;5,HOUR(session_data[[#This Row],[Time]])&lt;12),"Morning",
     AND(HOUR(session_data[[#This Row],[Time]])&gt;=12,HOUR(session_data[[#This Row],[Time]])&lt;17),"Afternoon",
     AND(HOUR(session_data[[#This Row],[Time]])&gt;=17,HOUR(session_data[[#This Row],[Time]])&lt;21),"Evening",
     TRUE,"Night"
)</f>
        <v>Evening</v>
      </c>
      <c r="G487" s="1">
        <f t="shared" si="30"/>
        <v>2024</v>
      </c>
      <c r="H487" s="1" t="str">
        <f t="shared" si="31"/>
        <v>Feb</v>
      </c>
      <c r="I487" s="1" t="str">
        <f t="shared" si="28"/>
        <v>Sun</v>
      </c>
      <c r="J487" s="1" t="s">
        <v>18</v>
      </c>
      <c r="K487" s="1" t="s">
        <v>12</v>
      </c>
      <c r="L487" s="1" t="s">
        <v>79</v>
      </c>
      <c r="M487" s="1" t="s">
        <v>40</v>
      </c>
      <c r="N487" s="1" t="s">
        <v>14</v>
      </c>
      <c r="O487" t="s">
        <v>15</v>
      </c>
    </row>
    <row r="488" spans="1:15" x14ac:dyDescent="0.25">
      <c r="A488" s="1" t="s">
        <v>755</v>
      </c>
      <c r="B488" s="1" t="s">
        <v>754</v>
      </c>
      <c r="C488" s="3">
        <v>45408.861805555556</v>
      </c>
      <c r="D488" s="4">
        <f t="shared" si="29"/>
        <v>45408</v>
      </c>
      <c r="E488" s="6">
        <v>20.869444444440902</v>
      </c>
      <c r="F488" s="6" t="str" cm="1">
        <f t="array" ref="F488">_xlfn.IFS(
     AND(HOUR(session_data[[#This Row],[Time]])&gt;5,HOUR(session_data[[#This Row],[Time]])&lt;12),"Morning",
     AND(HOUR(session_data[[#This Row],[Time]])&gt;=12,HOUR(session_data[[#This Row],[Time]])&lt;17),"Afternoon",
     AND(HOUR(session_data[[#This Row],[Time]])&gt;=17,HOUR(session_data[[#This Row],[Time]])&lt;21),"Evening",
     TRUE,"Night"
)</f>
        <v>Evening</v>
      </c>
      <c r="G488" s="1">
        <f t="shared" si="30"/>
        <v>2024</v>
      </c>
      <c r="H488" s="1" t="str">
        <f t="shared" si="31"/>
        <v>Apr</v>
      </c>
      <c r="I488" s="1" t="str">
        <f t="shared" si="28"/>
        <v>Fri</v>
      </c>
      <c r="J488" s="1" t="s">
        <v>18</v>
      </c>
      <c r="K488" s="1" t="s">
        <v>12</v>
      </c>
      <c r="L488" s="1" t="s">
        <v>79</v>
      </c>
      <c r="M488" s="1" t="s">
        <v>40</v>
      </c>
      <c r="N488" s="1" t="s">
        <v>22</v>
      </c>
      <c r="O488" t="s">
        <v>15</v>
      </c>
    </row>
    <row r="489" spans="1:15" x14ac:dyDescent="0.25">
      <c r="A489" s="1" t="s">
        <v>756</v>
      </c>
      <c r="B489" s="1" t="s">
        <v>754</v>
      </c>
      <c r="C489" s="3">
        <v>45427.320138888892</v>
      </c>
      <c r="D489" s="4">
        <f t="shared" si="29"/>
        <v>45427</v>
      </c>
      <c r="E489" s="6">
        <v>20.911111111107601</v>
      </c>
      <c r="F489" s="6" t="str" cm="1">
        <f t="array" ref="F489">_xlfn.IFS(
     AND(HOUR(session_data[[#This Row],[Time]])&gt;5,HOUR(session_data[[#This Row],[Time]])&lt;12),"Morning",
     AND(HOUR(session_data[[#This Row],[Time]])&gt;=12,HOUR(session_data[[#This Row],[Time]])&lt;17),"Afternoon",
     AND(HOUR(session_data[[#This Row],[Time]])&gt;=17,HOUR(session_data[[#This Row],[Time]])&lt;21),"Evening",
     TRUE,"Night"
)</f>
        <v>Night</v>
      </c>
      <c r="G489" s="1">
        <f t="shared" si="30"/>
        <v>2024</v>
      </c>
      <c r="H489" s="1" t="str">
        <f t="shared" si="31"/>
        <v>May</v>
      </c>
      <c r="I489" s="1" t="str">
        <f t="shared" si="28"/>
        <v>Wed</v>
      </c>
      <c r="J489" s="1" t="s">
        <v>18</v>
      </c>
      <c r="K489" s="1" t="s">
        <v>12</v>
      </c>
      <c r="L489" s="1" t="s">
        <v>79</v>
      </c>
      <c r="M489" s="1" t="s">
        <v>40</v>
      </c>
      <c r="N489" s="1" t="s">
        <v>22</v>
      </c>
      <c r="O489" t="s">
        <v>15</v>
      </c>
    </row>
    <row r="490" spans="1:15" x14ac:dyDescent="0.25">
      <c r="A490" s="1" t="s">
        <v>757</v>
      </c>
      <c r="B490" s="1" t="s">
        <v>758</v>
      </c>
      <c r="C490" s="3">
        <v>45472.50277777778</v>
      </c>
      <c r="D490" s="4">
        <f t="shared" si="29"/>
        <v>45472</v>
      </c>
      <c r="E490" s="6">
        <v>20.952777777774202</v>
      </c>
      <c r="F490" s="6" t="str" cm="1">
        <f t="array" ref="F490">_xlfn.IFS(
     AND(HOUR(session_data[[#This Row],[Time]])&gt;5,HOUR(session_data[[#This Row],[Time]])&lt;12),"Morning",
     AND(HOUR(session_data[[#This Row],[Time]])&gt;=12,HOUR(session_data[[#This Row],[Time]])&lt;17),"Afternoon",
     AND(HOUR(session_data[[#This Row],[Time]])&gt;=17,HOUR(session_data[[#This Row],[Time]])&lt;21),"Evening",
     TRUE,"Night"
)</f>
        <v>Night</v>
      </c>
      <c r="G490" s="1">
        <f t="shared" si="30"/>
        <v>2024</v>
      </c>
      <c r="H490" s="1" t="str">
        <f t="shared" si="31"/>
        <v>Jun</v>
      </c>
      <c r="I490" s="1" t="str">
        <f t="shared" si="28"/>
        <v>Sat</v>
      </c>
      <c r="J490" s="1" t="s">
        <v>66</v>
      </c>
      <c r="K490" s="1" t="s">
        <v>29</v>
      </c>
      <c r="L490" s="1" t="s">
        <v>41</v>
      </c>
      <c r="M490" s="1" t="s">
        <v>40</v>
      </c>
      <c r="N490" s="1" t="s">
        <v>14</v>
      </c>
      <c r="O490" t="s">
        <v>45</v>
      </c>
    </row>
    <row r="491" spans="1:15" x14ac:dyDescent="0.25">
      <c r="A491" s="1" t="s">
        <v>759</v>
      </c>
      <c r="B491" s="1" t="s">
        <v>760</v>
      </c>
      <c r="C491" s="3">
        <v>45310.695138888892</v>
      </c>
      <c r="D491" s="4">
        <f t="shared" si="29"/>
        <v>45310</v>
      </c>
      <c r="E491" s="6">
        <v>20.994444444440902</v>
      </c>
      <c r="F491" s="6" t="str" cm="1">
        <f t="array" ref="F491">_xlfn.IFS(
     AND(HOUR(session_data[[#This Row],[Time]])&gt;5,HOUR(session_data[[#This Row],[Time]])&lt;12),"Morning",
     AND(HOUR(session_data[[#This Row],[Time]])&gt;=12,HOUR(session_data[[#This Row],[Time]])&lt;17),"Afternoon",
     AND(HOUR(session_data[[#This Row],[Time]])&gt;=17,HOUR(session_data[[#This Row],[Time]])&lt;21),"Evening",
     TRUE,"Night"
)</f>
        <v>Night</v>
      </c>
      <c r="G491" s="1">
        <f t="shared" si="30"/>
        <v>2024</v>
      </c>
      <c r="H491" s="1" t="str">
        <f t="shared" si="31"/>
        <v>Jan</v>
      </c>
      <c r="I491" s="1" t="str">
        <f t="shared" si="28"/>
        <v>Fri</v>
      </c>
      <c r="J491" s="1" t="s">
        <v>11</v>
      </c>
      <c r="K491" s="1" t="s">
        <v>29</v>
      </c>
      <c r="L491" s="1" t="s">
        <v>50</v>
      </c>
      <c r="M491" s="1" t="s">
        <v>19</v>
      </c>
      <c r="N491" s="1" t="s">
        <v>14</v>
      </c>
      <c r="O491" t="s">
        <v>45</v>
      </c>
    </row>
    <row r="492" spans="1:15" x14ac:dyDescent="0.25">
      <c r="A492" s="1" t="s">
        <v>761</v>
      </c>
      <c r="B492" s="1" t="s">
        <v>762</v>
      </c>
      <c r="C492" s="2">
        <v>45445.431944444441</v>
      </c>
      <c r="D492" s="4">
        <f t="shared" si="29"/>
        <v>45445</v>
      </c>
      <c r="E492" s="6">
        <v>21.036111111107601</v>
      </c>
      <c r="F492" s="6" t="str" cm="1">
        <f t="array" ref="F492">_xlfn.IFS(
     AND(HOUR(session_data[[#This Row],[Time]])&gt;5,HOUR(session_data[[#This Row],[Time]])&lt;12),"Morning",
     AND(HOUR(session_data[[#This Row],[Time]])&gt;=12,HOUR(session_data[[#This Row],[Time]])&lt;17),"Afternoon",
     AND(HOUR(session_data[[#This Row],[Time]])&gt;=17,HOUR(session_data[[#This Row],[Time]])&lt;21),"Evening",
     TRUE,"Night"
)</f>
        <v>Night</v>
      </c>
      <c r="G492" s="1">
        <f t="shared" si="30"/>
        <v>2024</v>
      </c>
      <c r="H492" s="1" t="str">
        <f t="shared" si="31"/>
        <v>Jun</v>
      </c>
      <c r="I492" s="1" t="str">
        <f t="shared" si="28"/>
        <v>Sun</v>
      </c>
      <c r="J492" s="1" t="s">
        <v>18</v>
      </c>
      <c r="K492" s="1" t="s">
        <v>12</v>
      </c>
      <c r="L492" s="1" t="s">
        <v>20</v>
      </c>
      <c r="M492" s="1" t="s">
        <v>19</v>
      </c>
      <c r="N492" s="1" t="s">
        <v>14</v>
      </c>
      <c r="O492" t="s">
        <v>45</v>
      </c>
    </row>
    <row r="493" spans="1:15" x14ac:dyDescent="0.25">
      <c r="A493" s="1" t="s">
        <v>763</v>
      </c>
      <c r="B493" s="1" t="s">
        <v>762</v>
      </c>
      <c r="C493" s="3">
        <v>45337.223611111112</v>
      </c>
      <c r="D493" s="4">
        <f t="shared" si="29"/>
        <v>45337</v>
      </c>
      <c r="E493" s="6">
        <v>21.077777777774202</v>
      </c>
      <c r="F493" s="6" t="str" cm="1">
        <f t="array" ref="F493">_xlfn.IFS(
     AND(HOUR(session_data[[#This Row],[Time]])&gt;5,HOUR(session_data[[#This Row],[Time]])&lt;12),"Morning",
     AND(HOUR(session_data[[#This Row],[Time]])&gt;=12,HOUR(session_data[[#This Row],[Time]])&lt;17),"Afternoon",
     AND(HOUR(session_data[[#This Row],[Time]])&gt;=17,HOUR(session_data[[#This Row],[Time]])&lt;21),"Evening",
     TRUE,"Night"
)</f>
        <v>Night</v>
      </c>
      <c r="G493" s="1">
        <f t="shared" si="30"/>
        <v>2024</v>
      </c>
      <c r="H493" s="1" t="str">
        <f t="shared" si="31"/>
        <v>Feb</v>
      </c>
      <c r="I493" s="1" t="str">
        <f t="shared" si="28"/>
        <v>Thu</v>
      </c>
      <c r="J493" s="1" t="s">
        <v>18</v>
      </c>
      <c r="K493" s="1" t="s">
        <v>12</v>
      </c>
      <c r="L493" s="1" t="s">
        <v>20</v>
      </c>
      <c r="M493" s="1" t="s">
        <v>19</v>
      </c>
      <c r="N493" s="1" t="s">
        <v>22</v>
      </c>
      <c r="O493" t="s">
        <v>45</v>
      </c>
    </row>
    <row r="494" spans="1:15" x14ac:dyDescent="0.25">
      <c r="A494" s="1" t="s">
        <v>764</v>
      </c>
      <c r="B494" s="1" t="s">
        <v>765</v>
      </c>
      <c r="C494" s="3">
        <v>45518.446527777778</v>
      </c>
      <c r="D494" s="4">
        <f t="shared" si="29"/>
        <v>45518</v>
      </c>
      <c r="E494" s="6">
        <v>21.119444444440902</v>
      </c>
      <c r="F494" s="6" t="str" cm="1">
        <f t="array" ref="F494">_xlfn.IFS(
     AND(HOUR(session_data[[#This Row],[Time]])&gt;5,HOUR(session_data[[#This Row],[Time]])&lt;12),"Morning",
     AND(HOUR(session_data[[#This Row],[Time]])&gt;=12,HOUR(session_data[[#This Row],[Time]])&lt;17),"Afternoon",
     AND(HOUR(session_data[[#This Row],[Time]])&gt;=17,HOUR(session_data[[#This Row],[Time]])&lt;21),"Evening",
     TRUE,"Night"
)</f>
        <v>Night</v>
      </c>
      <c r="G494" s="1">
        <f t="shared" si="30"/>
        <v>2024</v>
      </c>
      <c r="H494" s="1" t="str">
        <f t="shared" si="31"/>
        <v>Aug</v>
      </c>
      <c r="I494" s="1" t="str">
        <f t="shared" si="28"/>
        <v>Wed</v>
      </c>
      <c r="J494" s="1" t="s">
        <v>11</v>
      </c>
      <c r="K494" s="1" t="s">
        <v>12</v>
      </c>
      <c r="L494" s="1" t="s">
        <v>30</v>
      </c>
      <c r="M494" s="1" t="s">
        <v>32</v>
      </c>
      <c r="N494" s="1" t="s">
        <v>14</v>
      </c>
      <c r="O494" t="s">
        <v>45</v>
      </c>
    </row>
    <row r="495" spans="1:15" x14ac:dyDescent="0.25">
      <c r="A495" s="1" t="s">
        <v>766</v>
      </c>
      <c r="B495" s="1" t="s">
        <v>767</v>
      </c>
      <c r="C495" s="3">
        <v>45405.430555555555</v>
      </c>
      <c r="D495" s="4">
        <f t="shared" si="29"/>
        <v>45405</v>
      </c>
      <c r="E495" s="6">
        <v>21.161111111107601</v>
      </c>
      <c r="F495" s="6" t="str" cm="1">
        <f t="array" ref="F495">_xlfn.IFS(
     AND(HOUR(session_data[[#This Row],[Time]])&gt;5,HOUR(session_data[[#This Row],[Time]])&lt;12),"Morning",
     AND(HOUR(session_data[[#This Row],[Time]])&gt;=12,HOUR(session_data[[#This Row],[Time]])&lt;17),"Afternoon",
     AND(HOUR(session_data[[#This Row],[Time]])&gt;=17,HOUR(session_data[[#This Row],[Time]])&lt;21),"Evening",
     TRUE,"Night"
)</f>
        <v>Night</v>
      </c>
      <c r="G495" s="1">
        <f t="shared" si="30"/>
        <v>2024</v>
      </c>
      <c r="H495" s="1" t="str">
        <f t="shared" si="31"/>
        <v>Apr</v>
      </c>
      <c r="I495" s="1" t="str">
        <f t="shared" si="28"/>
        <v>Tue</v>
      </c>
      <c r="J495" s="1" t="s">
        <v>44</v>
      </c>
      <c r="K495" s="1" t="s">
        <v>12</v>
      </c>
      <c r="L495" s="1" t="s">
        <v>13</v>
      </c>
      <c r="M495" s="1" t="s">
        <v>32</v>
      </c>
      <c r="N495" s="1" t="s">
        <v>14</v>
      </c>
      <c r="O495" t="s">
        <v>15</v>
      </c>
    </row>
    <row r="496" spans="1:15" x14ac:dyDescent="0.25">
      <c r="A496" s="1" t="s">
        <v>768</v>
      </c>
      <c r="B496" s="1" t="s">
        <v>767</v>
      </c>
      <c r="C496" s="2">
        <v>45631.388888888891</v>
      </c>
      <c r="D496" s="4">
        <f t="shared" si="29"/>
        <v>45631</v>
      </c>
      <c r="E496" s="6">
        <v>21.202777777774202</v>
      </c>
      <c r="F496" s="6" t="str" cm="1">
        <f t="array" ref="F496">_xlfn.IFS(
     AND(HOUR(session_data[[#This Row],[Time]])&gt;5,HOUR(session_data[[#This Row],[Time]])&lt;12),"Morning",
     AND(HOUR(session_data[[#This Row],[Time]])&gt;=12,HOUR(session_data[[#This Row],[Time]])&lt;17),"Afternoon",
     AND(HOUR(session_data[[#This Row],[Time]])&gt;=17,HOUR(session_data[[#This Row],[Time]])&lt;21),"Evening",
     TRUE,"Night"
)</f>
        <v>Night</v>
      </c>
      <c r="G496" s="1">
        <f t="shared" si="30"/>
        <v>2024</v>
      </c>
      <c r="H496" s="1" t="str">
        <f t="shared" si="31"/>
        <v>Dec</v>
      </c>
      <c r="I496" s="1" t="str">
        <f t="shared" si="28"/>
        <v>Thu</v>
      </c>
      <c r="J496" s="1" t="s">
        <v>44</v>
      </c>
      <c r="K496" s="1" t="s">
        <v>12</v>
      </c>
      <c r="L496" s="1" t="s">
        <v>13</v>
      </c>
      <c r="M496" s="1" t="s">
        <v>32</v>
      </c>
      <c r="N496" s="1" t="s">
        <v>22</v>
      </c>
      <c r="O496" t="s">
        <v>15</v>
      </c>
    </row>
    <row r="497" spans="1:15" x14ac:dyDescent="0.25">
      <c r="A497" s="1" t="s">
        <v>769</v>
      </c>
      <c r="B497" s="1" t="s">
        <v>767</v>
      </c>
      <c r="C497" s="3">
        <v>45433.763888888891</v>
      </c>
      <c r="D497" s="4">
        <f t="shared" si="29"/>
        <v>45433</v>
      </c>
      <c r="E497" s="6">
        <v>21.244444444440902</v>
      </c>
      <c r="F497" s="6" t="str" cm="1">
        <f t="array" ref="F497">_xlfn.IFS(
     AND(HOUR(session_data[[#This Row],[Time]])&gt;5,HOUR(session_data[[#This Row],[Time]])&lt;12),"Morning",
     AND(HOUR(session_data[[#This Row],[Time]])&gt;=12,HOUR(session_data[[#This Row],[Time]])&lt;17),"Afternoon",
     AND(HOUR(session_data[[#This Row],[Time]])&gt;=17,HOUR(session_data[[#This Row],[Time]])&lt;21),"Evening",
     TRUE,"Night"
)</f>
        <v>Night</v>
      </c>
      <c r="G497" s="1">
        <f t="shared" si="30"/>
        <v>2024</v>
      </c>
      <c r="H497" s="1" t="str">
        <f t="shared" si="31"/>
        <v>May</v>
      </c>
      <c r="I497" s="1" t="str">
        <f t="shared" si="28"/>
        <v>Tue</v>
      </c>
      <c r="J497" s="1" t="s">
        <v>44</v>
      </c>
      <c r="K497" s="1" t="s">
        <v>12</v>
      </c>
      <c r="L497" s="1" t="s">
        <v>13</v>
      </c>
      <c r="M497" s="1" t="s">
        <v>32</v>
      </c>
      <c r="N497" s="1" t="s">
        <v>22</v>
      </c>
      <c r="O497" t="s">
        <v>15</v>
      </c>
    </row>
    <row r="498" spans="1:15" x14ac:dyDescent="0.25">
      <c r="A498" s="1" t="s">
        <v>770</v>
      </c>
      <c r="B498" s="1" t="s">
        <v>767</v>
      </c>
      <c r="C498" s="3">
        <v>45460.972222222219</v>
      </c>
      <c r="D498" s="4">
        <f t="shared" si="29"/>
        <v>45460</v>
      </c>
      <c r="E498" s="6">
        <v>21.286111111107601</v>
      </c>
      <c r="F498" s="6" t="str" cm="1">
        <f t="array" ref="F498">_xlfn.IFS(
     AND(HOUR(session_data[[#This Row],[Time]])&gt;5,HOUR(session_data[[#This Row],[Time]])&lt;12),"Morning",
     AND(HOUR(session_data[[#This Row],[Time]])&gt;=12,HOUR(session_data[[#This Row],[Time]])&lt;17),"Afternoon",
     AND(HOUR(session_data[[#This Row],[Time]])&gt;=17,HOUR(session_data[[#This Row],[Time]])&lt;21),"Evening",
     TRUE,"Night"
)</f>
        <v>Morning</v>
      </c>
      <c r="G498" s="1">
        <f t="shared" si="30"/>
        <v>2024</v>
      </c>
      <c r="H498" s="1" t="str">
        <f t="shared" si="31"/>
        <v>Jun</v>
      </c>
      <c r="I498" s="1" t="str">
        <f t="shared" si="28"/>
        <v>Mon</v>
      </c>
      <c r="J498" s="1" t="s">
        <v>44</v>
      </c>
      <c r="K498" s="1" t="s">
        <v>12</v>
      </c>
      <c r="L498" s="1" t="s">
        <v>13</v>
      </c>
      <c r="M498" s="1" t="s">
        <v>32</v>
      </c>
      <c r="N498" s="1" t="s">
        <v>22</v>
      </c>
      <c r="O498" t="s">
        <v>15</v>
      </c>
    </row>
    <row r="499" spans="1:15" x14ac:dyDescent="0.25">
      <c r="A499" s="1" t="s">
        <v>771</v>
      </c>
      <c r="B499" s="1" t="s">
        <v>772</v>
      </c>
      <c r="C499" s="3">
        <v>45307.21597222222</v>
      </c>
      <c r="D499" s="4">
        <f t="shared" si="29"/>
        <v>45307</v>
      </c>
      <c r="E499" s="6">
        <v>21.327777777774202</v>
      </c>
      <c r="F499" s="6" t="str" cm="1">
        <f t="array" ref="F499">_xlfn.IFS(
     AND(HOUR(session_data[[#This Row],[Time]])&gt;5,HOUR(session_data[[#This Row],[Time]])&lt;12),"Morning",
     AND(HOUR(session_data[[#This Row],[Time]])&gt;=12,HOUR(session_data[[#This Row],[Time]])&lt;17),"Afternoon",
     AND(HOUR(session_data[[#This Row],[Time]])&gt;=17,HOUR(session_data[[#This Row],[Time]])&lt;21),"Evening",
     TRUE,"Night"
)</f>
        <v>Morning</v>
      </c>
      <c r="G499" s="1">
        <f t="shared" si="30"/>
        <v>2024</v>
      </c>
      <c r="H499" s="1" t="str">
        <f t="shared" si="31"/>
        <v>Jan</v>
      </c>
      <c r="I499" s="1" t="str">
        <f t="shared" si="28"/>
        <v>Tue</v>
      </c>
      <c r="J499" s="1" t="s">
        <v>18</v>
      </c>
      <c r="K499" s="1" t="s">
        <v>29</v>
      </c>
      <c r="L499" s="1" t="s">
        <v>30</v>
      </c>
      <c r="M499" s="1" t="s">
        <v>32</v>
      </c>
      <c r="N499" s="1" t="s">
        <v>14</v>
      </c>
      <c r="O499" t="s">
        <v>45</v>
      </c>
    </row>
    <row r="500" spans="1:15" x14ac:dyDescent="0.25">
      <c r="A500" s="1" t="s">
        <v>773</v>
      </c>
      <c r="B500" s="1" t="s">
        <v>772</v>
      </c>
      <c r="C500" s="2">
        <v>45445.59097222222</v>
      </c>
      <c r="D500" s="4">
        <f t="shared" si="29"/>
        <v>45445</v>
      </c>
      <c r="E500" s="6">
        <v>21.369444444440902</v>
      </c>
      <c r="F500" s="6" t="str" cm="1">
        <f t="array" ref="F500">_xlfn.IFS(
     AND(HOUR(session_data[[#This Row],[Time]])&gt;5,HOUR(session_data[[#This Row],[Time]])&lt;12),"Morning",
     AND(HOUR(session_data[[#This Row],[Time]])&gt;=12,HOUR(session_data[[#This Row],[Time]])&lt;17),"Afternoon",
     AND(HOUR(session_data[[#This Row],[Time]])&gt;=17,HOUR(session_data[[#This Row],[Time]])&lt;21),"Evening",
     TRUE,"Night"
)</f>
        <v>Morning</v>
      </c>
      <c r="G500" s="1">
        <f t="shared" si="30"/>
        <v>2024</v>
      </c>
      <c r="H500" s="1" t="str">
        <f t="shared" si="31"/>
        <v>Jun</v>
      </c>
      <c r="I500" s="1" t="str">
        <f t="shared" si="28"/>
        <v>Sun</v>
      </c>
      <c r="J500" s="1" t="s">
        <v>18</v>
      </c>
      <c r="K500" s="1" t="s">
        <v>29</v>
      </c>
      <c r="L500" s="1" t="s">
        <v>30</v>
      </c>
      <c r="M500" s="1" t="s">
        <v>32</v>
      </c>
      <c r="N500" s="1" t="s">
        <v>22</v>
      </c>
      <c r="O500" t="s">
        <v>45</v>
      </c>
    </row>
    <row r="501" spans="1:15" x14ac:dyDescent="0.25">
      <c r="A501" s="1" t="s">
        <v>774</v>
      </c>
      <c r="B501" s="1" t="s">
        <v>772</v>
      </c>
      <c r="C501" s="3">
        <v>45346.924305555556</v>
      </c>
      <c r="D501" s="4">
        <f t="shared" si="29"/>
        <v>45346</v>
      </c>
      <c r="E501" s="6">
        <v>21.411111111107601</v>
      </c>
      <c r="F501" s="6" t="str" cm="1">
        <f t="array" ref="F501">_xlfn.IFS(
     AND(HOUR(session_data[[#This Row],[Time]])&gt;5,HOUR(session_data[[#This Row],[Time]])&lt;12),"Morning",
     AND(HOUR(session_data[[#This Row],[Time]])&gt;=12,HOUR(session_data[[#This Row],[Time]])&lt;17),"Afternoon",
     AND(HOUR(session_data[[#This Row],[Time]])&gt;=17,HOUR(session_data[[#This Row],[Time]])&lt;21),"Evening",
     TRUE,"Night"
)</f>
        <v>Morning</v>
      </c>
      <c r="G501" s="1">
        <f t="shared" si="30"/>
        <v>2024</v>
      </c>
      <c r="H501" s="1" t="str">
        <f t="shared" si="31"/>
        <v>Feb</v>
      </c>
      <c r="I501" s="1" t="str">
        <f t="shared" si="28"/>
        <v>Sat</v>
      </c>
      <c r="J501" s="1" t="s">
        <v>18</v>
      </c>
      <c r="K501" s="1" t="s">
        <v>29</v>
      </c>
      <c r="L501" s="1" t="s">
        <v>30</v>
      </c>
      <c r="M501" s="1" t="s">
        <v>32</v>
      </c>
      <c r="N501" s="1" t="s">
        <v>22</v>
      </c>
      <c r="O501" t="s">
        <v>45</v>
      </c>
    </row>
    <row r="502" spans="1:15" x14ac:dyDescent="0.25">
      <c r="A502" s="1" t="s">
        <v>775</v>
      </c>
      <c r="B502" s="1" t="s">
        <v>772</v>
      </c>
      <c r="C502" s="3">
        <v>45381.007638888892</v>
      </c>
      <c r="D502" s="4">
        <f t="shared" si="29"/>
        <v>45381</v>
      </c>
      <c r="E502" s="6">
        <v>21.452777777774202</v>
      </c>
      <c r="F502" s="6" t="str" cm="1">
        <f t="array" ref="F502">_xlfn.IFS(
     AND(HOUR(session_data[[#This Row],[Time]])&gt;5,HOUR(session_data[[#This Row],[Time]])&lt;12),"Morning",
     AND(HOUR(session_data[[#This Row],[Time]])&gt;=12,HOUR(session_data[[#This Row],[Time]])&lt;17),"Afternoon",
     AND(HOUR(session_data[[#This Row],[Time]])&gt;=17,HOUR(session_data[[#This Row],[Time]])&lt;21),"Evening",
     TRUE,"Night"
)</f>
        <v>Morning</v>
      </c>
      <c r="G502" s="1">
        <f t="shared" si="30"/>
        <v>2024</v>
      </c>
      <c r="H502" s="1" t="str">
        <f t="shared" si="31"/>
        <v>Mar</v>
      </c>
      <c r="I502" s="1" t="str">
        <f t="shared" si="28"/>
        <v>Sat</v>
      </c>
      <c r="J502" s="1" t="s">
        <v>18</v>
      </c>
      <c r="K502" s="1" t="s">
        <v>29</v>
      </c>
      <c r="L502" s="1" t="s">
        <v>30</v>
      </c>
      <c r="M502" s="1" t="s">
        <v>32</v>
      </c>
      <c r="N502" s="1" t="s">
        <v>22</v>
      </c>
      <c r="O502" t="s">
        <v>45</v>
      </c>
    </row>
    <row r="503" spans="1:15" x14ac:dyDescent="0.25">
      <c r="A503" s="1" t="s">
        <v>776</v>
      </c>
      <c r="B503" s="1" t="s">
        <v>772</v>
      </c>
      <c r="C503" s="3">
        <v>45396.96597222222</v>
      </c>
      <c r="D503" s="4">
        <f t="shared" si="29"/>
        <v>45396</v>
      </c>
      <c r="E503" s="6">
        <v>21.494444444440902</v>
      </c>
      <c r="F503" s="6" t="str" cm="1">
        <f t="array" ref="F503">_xlfn.IFS(
     AND(HOUR(session_data[[#This Row],[Time]])&gt;5,HOUR(session_data[[#This Row],[Time]])&lt;12),"Morning",
     AND(HOUR(session_data[[#This Row],[Time]])&gt;=12,HOUR(session_data[[#This Row],[Time]])&lt;17),"Afternoon",
     AND(HOUR(session_data[[#This Row],[Time]])&gt;=17,HOUR(session_data[[#This Row],[Time]])&lt;21),"Evening",
     TRUE,"Night"
)</f>
        <v>Morning</v>
      </c>
      <c r="G503" s="1">
        <f t="shared" si="30"/>
        <v>2024</v>
      </c>
      <c r="H503" s="1" t="str">
        <f t="shared" si="31"/>
        <v>Apr</v>
      </c>
      <c r="I503" s="1" t="str">
        <f t="shared" si="28"/>
        <v>Sun</v>
      </c>
      <c r="J503" s="1" t="s">
        <v>18</v>
      </c>
      <c r="K503" s="1" t="s">
        <v>29</v>
      </c>
      <c r="L503" s="1" t="s">
        <v>30</v>
      </c>
      <c r="M503" s="1" t="s">
        <v>32</v>
      </c>
      <c r="N503" s="1" t="s">
        <v>22</v>
      </c>
      <c r="O503" t="s">
        <v>45</v>
      </c>
    </row>
    <row r="504" spans="1:15" x14ac:dyDescent="0.25">
      <c r="A504" s="1" t="s">
        <v>777</v>
      </c>
      <c r="B504" s="1" t="s">
        <v>778</v>
      </c>
      <c r="C504" s="2">
        <v>45542.798611111109</v>
      </c>
      <c r="D504" s="4">
        <f t="shared" si="29"/>
        <v>45542</v>
      </c>
      <c r="E504" s="6">
        <v>21.536111111107601</v>
      </c>
      <c r="F504" s="6" t="str" cm="1">
        <f t="array" ref="F504">_xlfn.IFS(
     AND(HOUR(session_data[[#This Row],[Time]])&gt;5,HOUR(session_data[[#This Row],[Time]])&lt;12),"Morning",
     AND(HOUR(session_data[[#This Row],[Time]])&gt;=12,HOUR(session_data[[#This Row],[Time]])&lt;17),"Afternoon",
     AND(HOUR(session_data[[#This Row],[Time]])&gt;=17,HOUR(session_data[[#This Row],[Time]])&lt;21),"Evening",
     TRUE,"Night"
)</f>
        <v>Afternoon</v>
      </c>
      <c r="G504" s="1">
        <f t="shared" si="30"/>
        <v>2024</v>
      </c>
      <c r="H504" s="1" t="str">
        <f t="shared" si="31"/>
        <v>Sep</v>
      </c>
      <c r="I504" s="1" t="str">
        <f t="shared" si="28"/>
        <v>Sat</v>
      </c>
      <c r="J504" s="1" t="s">
        <v>18</v>
      </c>
      <c r="K504" s="1" t="s">
        <v>29</v>
      </c>
      <c r="L504" s="1" t="s">
        <v>50</v>
      </c>
      <c r="M504" s="1" t="s">
        <v>19</v>
      </c>
      <c r="N504" s="1" t="s">
        <v>14</v>
      </c>
      <c r="O504" t="s">
        <v>15</v>
      </c>
    </row>
    <row r="505" spans="1:15" x14ac:dyDescent="0.25">
      <c r="A505" s="1" t="s">
        <v>779</v>
      </c>
      <c r="B505" s="1" t="s">
        <v>778</v>
      </c>
      <c r="C505" s="3">
        <v>45494.215277777781</v>
      </c>
      <c r="D505" s="4">
        <f t="shared" si="29"/>
        <v>45494</v>
      </c>
      <c r="E505" s="6">
        <v>21.577777777774202</v>
      </c>
      <c r="F505" s="6" t="str" cm="1">
        <f t="array" ref="F505">_xlfn.IFS(
     AND(HOUR(session_data[[#This Row],[Time]])&gt;5,HOUR(session_data[[#This Row],[Time]])&lt;12),"Morning",
     AND(HOUR(session_data[[#This Row],[Time]])&gt;=12,HOUR(session_data[[#This Row],[Time]])&lt;17),"Afternoon",
     AND(HOUR(session_data[[#This Row],[Time]])&gt;=17,HOUR(session_data[[#This Row],[Time]])&lt;21),"Evening",
     TRUE,"Night"
)</f>
        <v>Afternoon</v>
      </c>
      <c r="G505" s="1">
        <f t="shared" si="30"/>
        <v>2024</v>
      </c>
      <c r="H505" s="1" t="str">
        <f t="shared" si="31"/>
        <v>Jul</v>
      </c>
      <c r="I505" s="1" t="str">
        <f t="shared" si="28"/>
        <v>Sun</v>
      </c>
      <c r="J505" s="1" t="s">
        <v>18</v>
      </c>
      <c r="K505" s="1" t="s">
        <v>29</v>
      </c>
      <c r="L505" s="1" t="s">
        <v>50</v>
      </c>
      <c r="M505" s="1" t="s">
        <v>19</v>
      </c>
      <c r="N505" s="1" t="s">
        <v>22</v>
      </c>
      <c r="O505" t="s">
        <v>15</v>
      </c>
    </row>
    <row r="506" spans="1:15" x14ac:dyDescent="0.25">
      <c r="A506" s="1" t="s">
        <v>780</v>
      </c>
      <c r="B506" s="1" t="s">
        <v>778</v>
      </c>
      <c r="C506" s="2">
        <v>45330.715277777781</v>
      </c>
      <c r="D506" s="4">
        <f t="shared" si="29"/>
        <v>45330</v>
      </c>
      <c r="E506" s="6">
        <v>21.619444444440902</v>
      </c>
      <c r="F506" s="6" t="str" cm="1">
        <f t="array" ref="F506">_xlfn.IFS(
     AND(HOUR(session_data[[#This Row],[Time]])&gt;5,HOUR(session_data[[#This Row],[Time]])&lt;12),"Morning",
     AND(HOUR(session_data[[#This Row],[Time]])&gt;=12,HOUR(session_data[[#This Row],[Time]])&lt;17),"Afternoon",
     AND(HOUR(session_data[[#This Row],[Time]])&gt;=17,HOUR(session_data[[#This Row],[Time]])&lt;21),"Evening",
     TRUE,"Night"
)</f>
        <v>Afternoon</v>
      </c>
      <c r="G506" s="1">
        <f t="shared" si="30"/>
        <v>2024</v>
      </c>
      <c r="H506" s="1" t="str">
        <f t="shared" si="31"/>
        <v>Feb</v>
      </c>
      <c r="I506" s="1" t="str">
        <f t="shared" si="28"/>
        <v>Thu</v>
      </c>
      <c r="J506" s="1" t="s">
        <v>18</v>
      </c>
      <c r="K506" s="1" t="s">
        <v>29</v>
      </c>
      <c r="L506" s="1" t="s">
        <v>50</v>
      </c>
      <c r="M506" s="1" t="s">
        <v>19</v>
      </c>
      <c r="N506" s="1" t="s">
        <v>22</v>
      </c>
      <c r="O506" t="s">
        <v>15</v>
      </c>
    </row>
    <row r="507" spans="1:15" x14ac:dyDescent="0.25">
      <c r="A507" s="1" t="s">
        <v>781</v>
      </c>
      <c r="B507" s="1" t="s">
        <v>778</v>
      </c>
      <c r="C507" s="3">
        <v>45533.131944444445</v>
      </c>
      <c r="D507" s="4">
        <f t="shared" si="29"/>
        <v>45533</v>
      </c>
      <c r="E507" s="6">
        <v>21.661111111107601</v>
      </c>
      <c r="F507" s="6" t="str" cm="1">
        <f t="array" ref="F507">_xlfn.IFS(
     AND(HOUR(session_data[[#This Row],[Time]])&gt;5,HOUR(session_data[[#This Row],[Time]])&lt;12),"Morning",
     AND(HOUR(session_data[[#This Row],[Time]])&gt;=12,HOUR(session_data[[#This Row],[Time]])&lt;17),"Afternoon",
     AND(HOUR(session_data[[#This Row],[Time]])&gt;=17,HOUR(session_data[[#This Row],[Time]])&lt;21),"Evening",
     TRUE,"Night"
)</f>
        <v>Afternoon</v>
      </c>
      <c r="G507" s="1">
        <f t="shared" si="30"/>
        <v>2024</v>
      </c>
      <c r="H507" s="1" t="str">
        <f t="shared" si="31"/>
        <v>Aug</v>
      </c>
      <c r="I507" s="1" t="str">
        <f t="shared" si="28"/>
        <v>Thu</v>
      </c>
      <c r="J507" s="1" t="s">
        <v>18</v>
      </c>
      <c r="K507" s="1" t="s">
        <v>29</v>
      </c>
      <c r="L507" s="1" t="s">
        <v>50</v>
      </c>
      <c r="M507" s="1" t="s">
        <v>19</v>
      </c>
      <c r="N507" s="1" t="s">
        <v>22</v>
      </c>
      <c r="O507" t="s">
        <v>15</v>
      </c>
    </row>
    <row r="508" spans="1:15" x14ac:dyDescent="0.25">
      <c r="A508" s="1" t="s">
        <v>782</v>
      </c>
      <c r="B508" s="1" t="s">
        <v>783</v>
      </c>
      <c r="C508" s="3">
        <v>45277.251388888886</v>
      </c>
      <c r="D508" s="4">
        <f t="shared" si="29"/>
        <v>45277</v>
      </c>
      <c r="E508" s="6">
        <v>21.702777777774202</v>
      </c>
      <c r="F508" s="6" t="str" cm="1">
        <f t="array" ref="F508">_xlfn.IFS(
     AND(HOUR(session_data[[#This Row],[Time]])&gt;5,HOUR(session_data[[#This Row],[Time]])&lt;12),"Morning",
     AND(HOUR(session_data[[#This Row],[Time]])&gt;=12,HOUR(session_data[[#This Row],[Time]])&lt;17),"Afternoon",
     AND(HOUR(session_data[[#This Row],[Time]])&gt;=17,HOUR(session_data[[#This Row],[Time]])&lt;21),"Evening",
     TRUE,"Night"
)</f>
        <v>Afternoon</v>
      </c>
      <c r="G508" s="1">
        <f t="shared" si="30"/>
        <v>2023</v>
      </c>
      <c r="H508" s="1" t="str">
        <f t="shared" si="31"/>
        <v>Dec</v>
      </c>
      <c r="I508" s="1" t="str">
        <f t="shared" si="28"/>
        <v>Sun</v>
      </c>
      <c r="J508" s="1" t="s">
        <v>18</v>
      </c>
      <c r="K508" s="1" t="s">
        <v>29</v>
      </c>
      <c r="L508" s="1" t="s">
        <v>30</v>
      </c>
      <c r="M508" s="1" t="s">
        <v>32</v>
      </c>
      <c r="N508" s="1" t="s">
        <v>14</v>
      </c>
      <c r="O508" t="s">
        <v>15</v>
      </c>
    </row>
    <row r="509" spans="1:15" x14ac:dyDescent="0.25">
      <c r="A509" s="1" t="s">
        <v>784</v>
      </c>
      <c r="B509" s="1" t="s">
        <v>785</v>
      </c>
      <c r="C509" s="3">
        <v>45412.487500000003</v>
      </c>
      <c r="D509" s="4">
        <f t="shared" si="29"/>
        <v>45412</v>
      </c>
      <c r="E509" s="6">
        <v>21.744444444440902</v>
      </c>
      <c r="F509" s="6" t="str" cm="1">
        <f t="array" ref="F509">_xlfn.IFS(
     AND(HOUR(session_data[[#This Row],[Time]])&gt;5,HOUR(session_data[[#This Row],[Time]])&lt;12),"Morning",
     AND(HOUR(session_data[[#This Row],[Time]])&gt;=12,HOUR(session_data[[#This Row],[Time]])&lt;17),"Afternoon",
     AND(HOUR(session_data[[#This Row],[Time]])&gt;=17,HOUR(session_data[[#This Row],[Time]])&lt;21),"Evening",
     TRUE,"Night"
)</f>
        <v>Evening</v>
      </c>
      <c r="G509" s="1">
        <f t="shared" si="30"/>
        <v>2024</v>
      </c>
      <c r="H509" s="1" t="str">
        <f t="shared" si="31"/>
        <v>Apr</v>
      </c>
      <c r="I509" s="1" t="str">
        <f t="shared" si="28"/>
        <v>Tue</v>
      </c>
      <c r="J509" s="1" t="s">
        <v>18</v>
      </c>
      <c r="K509" s="1" t="s">
        <v>29</v>
      </c>
      <c r="L509" s="1" t="s">
        <v>59</v>
      </c>
      <c r="M509" s="1" t="s">
        <v>19</v>
      </c>
      <c r="N509" s="1" t="s">
        <v>14</v>
      </c>
      <c r="O509" t="s">
        <v>45</v>
      </c>
    </row>
    <row r="510" spans="1:15" x14ac:dyDescent="0.25">
      <c r="A510" s="1" t="s">
        <v>786</v>
      </c>
      <c r="B510" s="1" t="s">
        <v>787</v>
      </c>
      <c r="C510" s="2">
        <v>45200.910416666666</v>
      </c>
      <c r="D510" s="4">
        <f t="shared" si="29"/>
        <v>45200</v>
      </c>
      <c r="E510" s="6">
        <v>21.786111111107601</v>
      </c>
      <c r="F510" s="6" t="str" cm="1">
        <f t="array" ref="F510">_xlfn.IFS(
     AND(HOUR(session_data[[#This Row],[Time]])&gt;5,HOUR(session_data[[#This Row],[Time]])&lt;12),"Morning",
     AND(HOUR(session_data[[#This Row],[Time]])&gt;=12,HOUR(session_data[[#This Row],[Time]])&lt;17),"Afternoon",
     AND(HOUR(session_data[[#This Row],[Time]])&gt;=17,HOUR(session_data[[#This Row],[Time]])&lt;21),"Evening",
     TRUE,"Night"
)</f>
        <v>Evening</v>
      </c>
      <c r="G510" s="1">
        <f t="shared" si="30"/>
        <v>2023</v>
      </c>
      <c r="H510" s="1" t="str">
        <f t="shared" si="31"/>
        <v>Oct</v>
      </c>
      <c r="I510" s="1" t="str">
        <f t="shared" si="28"/>
        <v>Sun</v>
      </c>
      <c r="J510" s="1" t="s">
        <v>11</v>
      </c>
      <c r="K510" s="1" t="s">
        <v>12</v>
      </c>
      <c r="L510" s="1" t="s">
        <v>30</v>
      </c>
      <c r="M510" s="1" t="s">
        <v>32</v>
      </c>
      <c r="N510" s="1" t="s">
        <v>14</v>
      </c>
      <c r="O510" t="s">
        <v>45</v>
      </c>
    </row>
    <row r="511" spans="1:15" x14ac:dyDescent="0.25">
      <c r="A511" s="1" t="s">
        <v>788</v>
      </c>
      <c r="B511" s="1" t="s">
        <v>787</v>
      </c>
      <c r="C511" s="2">
        <v>44987.618750000001</v>
      </c>
      <c r="D511" s="4">
        <f t="shared" si="29"/>
        <v>44987</v>
      </c>
      <c r="E511" s="6">
        <v>21.827777777774202</v>
      </c>
      <c r="F511" s="6" t="str" cm="1">
        <f t="array" ref="F511">_xlfn.IFS(
     AND(HOUR(session_data[[#This Row],[Time]])&gt;5,HOUR(session_data[[#This Row],[Time]])&lt;12),"Morning",
     AND(HOUR(session_data[[#This Row],[Time]])&gt;=12,HOUR(session_data[[#This Row],[Time]])&lt;17),"Afternoon",
     AND(HOUR(session_data[[#This Row],[Time]])&gt;=17,HOUR(session_data[[#This Row],[Time]])&lt;21),"Evening",
     TRUE,"Night"
)</f>
        <v>Evening</v>
      </c>
      <c r="G511" s="1">
        <f t="shared" si="30"/>
        <v>2023</v>
      </c>
      <c r="H511" s="1" t="str">
        <f t="shared" si="31"/>
        <v>Mar</v>
      </c>
      <c r="I511" s="1" t="str">
        <f t="shared" si="28"/>
        <v>Thu</v>
      </c>
      <c r="J511" s="1" t="s">
        <v>11</v>
      </c>
      <c r="K511" s="1" t="s">
        <v>12</v>
      </c>
      <c r="L511" s="1" t="s">
        <v>30</v>
      </c>
      <c r="M511" s="1" t="s">
        <v>32</v>
      </c>
      <c r="N511" s="1" t="s">
        <v>22</v>
      </c>
      <c r="O511" t="s">
        <v>45</v>
      </c>
    </row>
    <row r="512" spans="1:15" x14ac:dyDescent="0.25">
      <c r="A512" s="1" t="s">
        <v>789</v>
      </c>
      <c r="B512" s="1" t="s">
        <v>787</v>
      </c>
      <c r="C512" s="2">
        <v>45080.118750000001</v>
      </c>
      <c r="D512" s="4">
        <f t="shared" si="29"/>
        <v>45080</v>
      </c>
      <c r="E512" s="6">
        <v>21.869444444440902</v>
      </c>
      <c r="F512" s="6" t="str" cm="1">
        <f t="array" ref="F512">_xlfn.IFS(
     AND(HOUR(session_data[[#This Row],[Time]])&gt;5,HOUR(session_data[[#This Row],[Time]])&lt;12),"Morning",
     AND(HOUR(session_data[[#This Row],[Time]])&gt;=12,HOUR(session_data[[#This Row],[Time]])&lt;17),"Afternoon",
     AND(HOUR(session_data[[#This Row],[Time]])&gt;=17,HOUR(session_data[[#This Row],[Time]])&lt;21),"Evening",
     TRUE,"Night"
)</f>
        <v>Evening</v>
      </c>
      <c r="G512" s="1">
        <f t="shared" si="30"/>
        <v>2023</v>
      </c>
      <c r="H512" s="1" t="str">
        <f t="shared" si="31"/>
        <v>Jun</v>
      </c>
      <c r="I512" s="1" t="str">
        <f t="shared" si="28"/>
        <v>Sat</v>
      </c>
      <c r="J512" s="1" t="s">
        <v>11</v>
      </c>
      <c r="K512" s="1" t="s">
        <v>12</v>
      </c>
      <c r="L512" s="1" t="s">
        <v>30</v>
      </c>
      <c r="M512" s="1" t="s">
        <v>32</v>
      </c>
      <c r="N512" s="1" t="s">
        <v>22</v>
      </c>
      <c r="O512" t="s">
        <v>45</v>
      </c>
    </row>
    <row r="513" spans="1:15" x14ac:dyDescent="0.25">
      <c r="A513" s="1" t="s">
        <v>790</v>
      </c>
      <c r="B513" s="1" t="s">
        <v>787</v>
      </c>
      <c r="C513" s="3">
        <v>45003.535416666666</v>
      </c>
      <c r="D513" s="4">
        <f t="shared" si="29"/>
        <v>45003</v>
      </c>
      <c r="E513" s="6">
        <v>21.911111111107601</v>
      </c>
      <c r="F513" s="6" t="str" cm="1">
        <f t="array" ref="F513">_xlfn.IFS(
     AND(HOUR(session_data[[#This Row],[Time]])&gt;5,HOUR(session_data[[#This Row],[Time]])&lt;12),"Morning",
     AND(HOUR(session_data[[#This Row],[Time]])&gt;=12,HOUR(session_data[[#This Row],[Time]])&lt;17),"Afternoon",
     AND(HOUR(session_data[[#This Row],[Time]])&gt;=17,HOUR(session_data[[#This Row],[Time]])&lt;21),"Evening",
     TRUE,"Night"
)</f>
        <v>Night</v>
      </c>
      <c r="G513" s="1">
        <f t="shared" si="30"/>
        <v>2023</v>
      </c>
      <c r="H513" s="1" t="str">
        <f t="shared" si="31"/>
        <v>Mar</v>
      </c>
      <c r="I513" s="1" t="str">
        <f t="shared" si="28"/>
        <v>Sat</v>
      </c>
      <c r="J513" s="1" t="s">
        <v>11</v>
      </c>
      <c r="K513" s="1" t="s">
        <v>12</v>
      </c>
      <c r="L513" s="1" t="s">
        <v>30</v>
      </c>
      <c r="M513" s="1" t="s">
        <v>32</v>
      </c>
      <c r="N513" s="1" t="s">
        <v>22</v>
      </c>
      <c r="O513" t="s">
        <v>45</v>
      </c>
    </row>
    <row r="514" spans="1:15" x14ac:dyDescent="0.25">
      <c r="A514" s="1" t="s">
        <v>791</v>
      </c>
      <c r="B514" s="1" t="s">
        <v>792</v>
      </c>
      <c r="C514" s="3">
        <v>45000.337500000001</v>
      </c>
      <c r="D514" s="4">
        <f t="shared" si="29"/>
        <v>45000</v>
      </c>
      <c r="E514" s="6">
        <v>21.952777777774202</v>
      </c>
      <c r="F514" s="6" t="str" cm="1">
        <f t="array" ref="F514">_xlfn.IFS(
     AND(HOUR(session_data[[#This Row],[Time]])&gt;5,HOUR(session_data[[#This Row],[Time]])&lt;12),"Morning",
     AND(HOUR(session_data[[#This Row],[Time]])&gt;=12,HOUR(session_data[[#This Row],[Time]])&lt;17),"Afternoon",
     AND(HOUR(session_data[[#This Row],[Time]])&gt;=17,HOUR(session_data[[#This Row],[Time]])&lt;21),"Evening",
     TRUE,"Night"
)</f>
        <v>Night</v>
      </c>
      <c r="G514" s="1">
        <f t="shared" si="30"/>
        <v>2023</v>
      </c>
      <c r="H514" s="1" t="str">
        <f t="shared" si="31"/>
        <v>Mar</v>
      </c>
      <c r="I514" s="1" t="str">
        <f t="shared" ref="I514:I577" si="32">TEXT(D514,"DDD")</f>
        <v>Wed</v>
      </c>
      <c r="J514" s="1" t="s">
        <v>18</v>
      </c>
      <c r="K514" s="1" t="s">
        <v>29</v>
      </c>
      <c r="L514" s="1" t="s">
        <v>94</v>
      </c>
      <c r="M514" s="1" t="s">
        <v>32</v>
      </c>
      <c r="N514" s="1" t="s">
        <v>14</v>
      </c>
      <c r="O514" t="s">
        <v>15</v>
      </c>
    </row>
    <row r="515" spans="1:15" x14ac:dyDescent="0.25">
      <c r="A515" s="1" t="s">
        <v>793</v>
      </c>
      <c r="B515" s="1" t="s">
        <v>792</v>
      </c>
      <c r="C515" s="2">
        <v>44961.67083333333</v>
      </c>
      <c r="D515" s="4">
        <f t="shared" ref="D515:D578" si="33">INT(C515)</f>
        <v>44961</v>
      </c>
      <c r="E515" s="6">
        <v>21.994444444440902</v>
      </c>
      <c r="F515" s="6" t="str" cm="1">
        <f t="array" ref="F515">_xlfn.IFS(
     AND(HOUR(session_data[[#This Row],[Time]])&gt;5,HOUR(session_data[[#This Row],[Time]])&lt;12),"Morning",
     AND(HOUR(session_data[[#This Row],[Time]])&gt;=12,HOUR(session_data[[#This Row],[Time]])&lt;17),"Afternoon",
     AND(HOUR(session_data[[#This Row],[Time]])&gt;=17,HOUR(session_data[[#This Row],[Time]])&lt;21),"Evening",
     TRUE,"Night"
)</f>
        <v>Night</v>
      </c>
      <c r="G515" s="1">
        <f t="shared" ref="G515:G578" si="34">YEAR(D515)</f>
        <v>2023</v>
      </c>
      <c r="H515" s="1" t="str">
        <f t="shared" ref="H515:H578" si="35">TEXT(D515,"MMM")</f>
        <v>Feb</v>
      </c>
      <c r="I515" s="1" t="str">
        <f t="shared" si="32"/>
        <v>Sat</v>
      </c>
      <c r="J515" s="1" t="s">
        <v>18</v>
      </c>
      <c r="K515" s="1" t="s">
        <v>29</v>
      </c>
      <c r="L515" s="1" t="s">
        <v>94</v>
      </c>
      <c r="M515" s="1" t="s">
        <v>32</v>
      </c>
      <c r="N515" s="1" t="s">
        <v>22</v>
      </c>
      <c r="O515" t="s">
        <v>15</v>
      </c>
    </row>
    <row r="516" spans="1:15" x14ac:dyDescent="0.25">
      <c r="A516" s="1" t="s">
        <v>794</v>
      </c>
      <c r="B516" s="1" t="s">
        <v>795</v>
      </c>
      <c r="C516" s="3">
        <v>44945.829861111109</v>
      </c>
      <c r="D516" s="4">
        <f t="shared" si="33"/>
        <v>44945</v>
      </c>
      <c r="E516" s="6">
        <v>22.036111111107601</v>
      </c>
      <c r="F516" s="6" t="str" cm="1">
        <f t="array" ref="F516">_xlfn.IFS(
     AND(HOUR(session_data[[#This Row],[Time]])&gt;5,HOUR(session_data[[#This Row],[Time]])&lt;12),"Morning",
     AND(HOUR(session_data[[#This Row],[Time]])&gt;=12,HOUR(session_data[[#This Row],[Time]])&lt;17),"Afternoon",
     AND(HOUR(session_data[[#This Row],[Time]])&gt;=17,HOUR(session_data[[#This Row],[Time]])&lt;21),"Evening",
     TRUE,"Night"
)</f>
        <v>Night</v>
      </c>
      <c r="G516" s="1">
        <f t="shared" si="34"/>
        <v>2023</v>
      </c>
      <c r="H516" s="1" t="str">
        <f t="shared" si="35"/>
        <v>Jan</v>
      </c>
      <c r="I516" s="1" t="str">
        <f t="shared" si="32"/>
        <v>Thu</v>
      </c>
      <c r="J516" s="1" t="s">
        <v>11</v>
      </c>
      <c r="K516" s="1" t="s">
        <v>12</v>
      </c>
      <c r="L516" s="1" t="s">
        <v>94</v>
      </c>
      <c r="M516" s="1" t="s">
        <v>32</v>
      </c>
      <c r="N516" s="1" t="s">
        <v>14</v>
      </c>
      <c r="O516" t="s">
        <v>45</v>
      </c>
    </row>
    <row r="517" spans="1:15" x14ac:dyDescent="0.25">
      <c r="A517" s="1" t="s">
        <v>796</v>
      </c>
      <c r="B517" s="1" t="s">
        <v>795</v>
      </c>
      <c r="C517" s="2">
        <v>45262.079861111109</v>
      </c>
      <c r="D517" s="4">
        <f t="shared" si="33"/>
        <v>45262</v>
      </c>
      <c r="E517" s="6">
        <v>22.077777777774202</v>
      </c>
      <c r="F517" s="6" t="str" cm="1">
        <f t="array" ref="F517">_xlfn.IFS(
     AND(HOUR(session_data[[#This Row],[Time]])&gt;5,HOUR(session_data[[#This Row],[Time]])&lt;12),"Morning",
     AND(HOUR(session_data[[#This Row],[Time]])&gt;=12,HOUR(session_data[[#This Row],[Time]])&lt;17),"Afternoon",
     AND(HOUR(session_data[[#This Row],[Time]])&gt;=17,HOUR(session_data[[#This Row],[Time]])&lt;21),"Evening",
     TRUE,"Night"
)</f>
        <v>Night</v>
      </c>
      <c r="G517" s="1">
        <f t="shared" si="34"/>
        <v>2023</v>
      </c>
      <c r="H517" s="1" t="str">
        <f t="shared" si="35"/>
        <v>Dec</v>
      </c>
      <c r="I517" s="1" t="str">
        <f t="shared" si="32"/>
        <v>Sat</v>
      </c>
      <c r="J517" s="1" t="s">
        <v>11</v>
      </c>
      <c r="K517" s="1" t="s">
        <v>12</v>
      </c>
      <c r="L517" s="1" t="s">
        <v>94</v>
      </c>
      <c r="M517" s="1" t="s">
        <v>32</v>
      </c>
      <c r="N517" s="1" t="s">
        <v>22</v>
      </c>
      <c r="O517" t="s">
        <v>45</v>
      </c>
    </row>
    <row r="518" spans="1:15" x14ac:dyDescent="0.25">
      <c r="A518" s="1" t="s">
        <v>797</v>
      </c>
      <c r="B518" s="1" t="s">
        <v>795</v>
      </c>
      <c r="C518" s="3">
        <v>44978.246527777781</v>
      </c>
      <c r="D518" s="4">
        <f t="shared" si="33"/>
        <v>44978</v>
      </c>
      <c r="E518" s="6">
        <v>22.119444444440902</v>
      </c>
      <c r="F518" s="6" t="str" cm="1">
        <f t="array" ref="F518">_xlfn.IFS(
     AND(HOUR(session_data[[#This Row],[Time]])&gt;5,HOUR(session_data[[#This Row],[Time]])&lt;12),"Morning",
     AND(HOUR(session_data[[#This Row],[Time]])&gt;=12,HOUR(session_data[[#This Row],[Time]])&lt;17),"Afternoon",
     AND(HOUR(session_data[[#This Row],[Time]])&gt;=17,HOUR(session_data[[#This Row],[Time]])&lt;21),"Evening",
     TRUE,"Night"
)</f>
        <v>Night</v>
      </c>
      <c r="G518" s="1">
        <f t="shared" si="34"/>
        <v>2023</v>
      </c>
      <c r="H518" s="1" t="str">
        <f t="shared" si="35"/>
        <v>Feb</v>
      </c>
      <c r="I518" s="1" t="str">
        <f t="shared" si="32"/>
        <v>Tue</v>
      </c>
      <c r="J518" s="1" t="s">
        <v>11</v>
      </c>
      <c r="K518" s="1" t="s">
        <v>12</v>
      </c>
      <c r="L518" s="1" t="s">
        <v>94</v>
      </c>
      <c r="M518" s="1" t="s">
        <v>32</v>
      </c>
      <c r="N518" s="1" t="s">
        <v>22</v>
      </c>
      <c r="O518" t="s">
        <v>45</v>
      </c>
    </row>
    <row r="519" spans="1:15" x14ac:dyDescent="0.25">
      <c r="A519" s="1" t="s">
        <v>798</v>
      </c>
      <c r="B519" s="1" t="s">
        <v>795</v>
      </c>
      <c r="C519" s="2">
        <v>44961.996527777781</v>
      </c>
      <c r="D519" s="4">
        <f t="shared" si="33"/>
        <v>44961</v>
      </c>
      <c r="E519" s="6">
        <v>22.161111111107601</v>
      </c>
      <c r="F519" s="6" t="str" cm="1">
        <f t="array" ref="F519">_xlfn.IFS(
     AND(HOUR(session_data[[#This Row],[Time]])&gt;5,HOUR(session_data[[#This Row],[Time]])&lt;12),"Morning",
     AND(HOUR(session_data[[#This Row],[Time]])&gt;=12,HOUR(session_data[[#This Row],[Time]])&lt;17),"Afternoon",
     AND(HOUR(session_data[[#This Row],[Time]])&gt;=17,HOUR(session_data[[#This Row],[Time]])&lt;21),"Evening",
     TRUE,"Night"
)</f>
        <v>Night</v>
      </c>
      <c r="G519" s="1">
        <f t="shared" si="34"/>
        <v>2023</v>
      </c>
      <c r="H519" s="1" t="str">
        <f t="shared" si="35"/>
        <v>Feb</v>
      </c>
      <c r="I519" s="1" t="str">
        <f t="shared" si="32"/>
        <v>Sat</v>
      </c>
      <c r="J519" s="1" t="s">
        <v>11</v>
      </c>
      <c r="K519" s="1" t="s">
        <v>12</v>
      </c>
      <c r="L519" s="1" t="s">
        <v>94</v>
      </c>
      <c r="M519" s="1" t="s">
        <v>32</v>
      </c>
      <c r="N519" s="1" t="s">
        <v>22</v>
      </c>
      <c r="O519" t="s">
        <v>45</v>
      </c>
    </row>
    <row r="520" spans="1:15" x14ac:dyDescent="0.25">
      <c r="A520" s="1" t="s">
        <v>799</v>
      </c>
      <c r="B520" s="1" t="s">
        <v>795</v>
      </c>
      <c r="C520" s="2">
        <v>45142.704861111109</v>
      </c>
      <c r="D520" s="4">
        <f t="shared" si="33"/>
        <v>45142</v>
      </c>
      <c r="E520" s="6">
        <v>22.202777777774202</v>
      </c>
      <c r="F520" s="6" t="str" cm="1">
        <f t="array" ref="F520">_xlfn.IFS(
     AND(HOUR(session_data[[#This Row],[Time]])&gt;5,HOUR(session_data[[#This Row],[Time]])&lt;12),"Morning",
     AND(HOUR(session_data[[#This Row],[Time]])&gt;=12,HOUR(session_data[[#This Row],[Time]])&lt;17),"Afternoon",
     AND(HOUR(session_data[[#This Row],[Time]])&gt;=17,HOUR(session_data[[#This Row],[Time]])&lt;21),"Evening",
     TRUE,"Night"
)</f>
        <v>Night</v>
      </c>
      <c r="G520" s="1">
        <f t="shared" si="34"/>
        <v>2023</v>
      </c>
      <c r="H520" s="1" t="str">
        <f t="shared" si="35"/>
        <v>Aug</v>
      </c>
      <c r="I520" s="1" t="str">
        <f t="shared" si="32"/>
        <v>Fri</v>
      </c>
      <c r="J520" s="1" t="s">
        <v>11</v>
      </c>
      <c r="K520" s="1" t="s">
        <v>12</v>
      </c>
      <c r="L520" s="1" t="s">
        <v>94</v>
      </c>
      <c r="M520" s="1" t="s">
        <v>32</v>
      </c>
      <c r="N520" s="1" t="s">
        <v>22</v>
      </c>
      <c r="O520" t="s">
        <v>45</v>
      </c>
    </row>
    <row r="521" spans="1:15" x14ac:dyDescent="0.25">
      <c r="A521" s="1" t="s">
        <v>800</v>
      </c>
      <c r="B521" s="1" t="s">
        <v>801</v>
      </c>
      <c r="C521" s="3">
        <v>45129.755555555559</v>
      </c>
      <c r="D521" s="4">
        <f t="shared" si="33"/>
        <v>45129</v>
      </c>
      <c r="E521" s="6">
        <v>22.244444444440902</v>
      </c>
      <c r="F521" s="6" t="str" cm="1">
        <f t="array" ref="F521">_xlfn.IFS(
     AND(HOUR(session_data[[#This Row],[Time]])&gt;5,HOUR(session_data[[#This Row],[Time]])&lt;12),"Morning",
     AND(HOUR(session_data[[#This Row],[Time]])&gt;=12,HOUR(session_data[[#This Row],[Time]])&lt;17),"Afternoon",
     AND(HOUR(session_data[[#This Row],[Time]])&gt;=17,HOUR(session_data[[#This Row],[Time]])&lt;21),"Evening",
     TRUE,"Night"
)</f>
        <v>Night</v>
      </c>
      <c r="G521" s="1">
        <f t="shared" si="34"/>
        <v>2023</v>
      </c>
      <c r="H521" s="1" t="str">
        <f t="shared" si="35"/>
        <v>Jul</v>
      </c>
      <c r="I521" s="1" t="str">
        <f t="shared" si="32"/>
        <v>Sat</v>
      </c>
      <c r="J521" s="1" t="s">
        <v>66</v>
      </c>
      <c r="K521" s="1" t="s">
        <v>12</v>
      </c>
      <c r="L521" s="1" t="s">
        <v>59</v>
      </c>
      <c r="M521" s="1" t="s">
        <v>19</v>
      </c>
      <c r="N521" s="1" t="s">
        <v>14</v>
      </c>
      <c r="O521" t="s">
        <v>15</v>
      </c>
    </row>
    <row r="522" spans="1:15" x14ac:dyDescent="0.25">
      <c r="A522" s="1" t="s">
        <v>802</v>
      </c>
      <c r="B522" s="1" t="s">
        <v>801</v>
      </c>
      <c r="C522" s="2">
        <v>45085.797222222223</v>
      </c>
      <c r="D522" s="4">
        <f t="shared" si="33"/>
        <v>45085</v>
      </c>
      <c r="E522" s="6">
        <v>22.286111111107601</v>
      </c>
      <c r="F522" s="6" t="str" cm="1">
        <f t="array" ref="F522">_xlfn.IFS(
     AND(HOUR(session_data[[#This Row],[Time]])&gt;5,HOUR(session_data[[#This Row],[Time]])&lt;12),"Morning",
     AND(HOUR(session_data[[#This Row],[Time]])&gt;=12,HOUR(session_data[[#This Row],[Time]])&lt;17),"Afternoon",
     AND(HOUR(session_data[[#This Row],[Time]])&gt;=17,HOUR(session_data[[#This Row],[Time]])&lt;21),"Evening",
     TRUE,"Night"
)</f>
        <v>Morning</v>
      </c>
      <c r="G522" s="1">
        <f t="shared" si="34"/>
        <v>2023</v>
      </c>
      <c r="H522" s="1" t="str">
        <f t="shared" si="35"/>
        <v>Jun</v>
      </c>
      <c r="I522" s="1" t="str">
        <f t="shared" si="32"/>
        <v>Thu</v>
      </c>
      <c r="J522" s="1" t="s">
        <v>66</v>
      </c>
      <c r="K522" s="1" t="s">
        <v>12</v>
      </c>
      <c r="L522" s="1" t="s">
        <v>59</v>
      </c>
      <c r="M522" s="1" t="s">
        <v>19</v>
      </c>
      <c r="N522" s="1" t="s">
        <v>22</v>
      </c>
      <c r="O522" t="s">
        <v>15</v>
      </c>
    </row>
    <row r="523" spans="1:15" x14ac:dyDescent="0.25">
      <c r="A523" s="1" t="s">
        <v>803</v>
      </c>
      <c r="B523" s="1" t="s">
        <v>801</v>
      </c>
      <c r="C523" s="3">
        <v>45165.630555555559</v>
      </c>
      <c r="D523" s="4">
        <f t="shared" si="33"/>
        <v>45165</v>
      </c>
      <c r="E523" s="6">
        <v>22.327777777774202</v>
      </c>
      <c r="F523" s="6" t="str" cm="1">
        <f t="array" ref="F523">_xlfn.IFS(
     AND(HOUR(session_data[[#This Row],[Time]])&gt;5,HOUR(session_data[[#This Row],[Time]])&lt;12),"Morning",
     AND(HOUR(session_data[[#This Row],[Time]])&gt;=12,HOUR(session_data[[#This Row],[Time]])&lt;17),"Afternoon",
     AND(HOUR(session_data[[#This Row],[Time]])&gt;=17,HOUR(session_data[[#This Row],[Time]])&lt;21),"Evening",
     TRUE,"Night"
)</f>
        <v>Morning</v>
      </c>
      <c r="G523" s="1">
        <f t="shared" si="34"/>
        <v>2023</v>
      </c>
      <c r="H523" s="1" t="str">
        <f t="shared" si="35"/>
        <v>Aug</v>
      </c>
      <c r="I523" s="1" t="str">
        <f t="shared" si="32"/>
        <v>Sun</v>
      </c>
      <c r="J523" s="1" t="s">
        <v>66</v>
      </c>
      <c r="K523" s="1" t="s">
        <v>12</v>
      </c>
      <c r="L523" s="1" t="s">
        <v>59</v>
      </c>
      <c r="M523" s="1" t="s">
        <v>19</v>
      </c>
      <c r="N523" s="1" t="s">
        <v>22</v>
      </c>
      <c r="O523" t="s">
        <v>15</v>
      </c>
    </row>
    <row r="524" spans="1:15" x14ac:dyDescent="0.25">
      <c r="A524" s="1" t="s">
        <v>804</v>
      </c>
      <c r="B524" s="1" t="s">
        <v>801</v>
      </c>
      <c r="C524" s="2">
        <v>45178.380555555559</v>
      </c>
      <c r="D524" s="4">
        <f t="shared" si="33"/>
        <v>45178</v>
      </c>
      <c r="E524" s="6">
        <v>22.369444444440902</v>
      </c>
      <c r="F524" s="6" t="str" cm="1">
        <f t="array" ref="F524">_xlfn.IFS(
     AND(HOUR(session_data[[#This Row],[Time]])&gt;5,HOUR(session_data[[#This Row],[Time]])&lt;12),"Morning",
     AND(HOUR(session_data[[#This Row],[Time]])&gt;=12,HOUR(session_data[[#This Row],[Time]])&lt;17),"Afternoon",
     AND(HOUR(session_data[[#This Row],[Time]])&gt;=17,HOUR(session_data[[#This Row],[Time]])&lt;21),"Evening",
     TRUE,"Night"
)</f>
        <v>Morning</v>
      </c>
      <c r="G524" s="1">
        <f t="shared" si="34"/>
        <v>2023</v>
      </c>
      <c r="H524" s="1" t="str">
        <f t="shared" si="35"/>
        <v>Sep</v>
      </c>
      <c r="I524" s="1" t="str">
        <f t="shared" si="32"/>
        <v>Sat</v>
      </c>
      <c r="J524" s="1" t="s">
        <v>66</v>
      </c>
      <c r="K524" s="1" t="s">
        <v>12</v>
      </c>
      <c r="L524" s="1" t="s">
        <v>59</v>
      </c>
      <c r="M524" s="1" t="s">
        <v>19</v>
      </c>
      <c r="N524" s="1" t="s">
        <v>22</v>
      </c>
      <c r="O524" t="s">
        <v>15</v>
      </c>
    </row>
    <row r="525" spans="1:15" x14ac:dyDescent="0.25">
      <c r="A525" s="1" t="s">
        <v>805</v>
      </c>
      <c r="B525" s="1" t="s">
        <v>801</v>
      </c>
      <c r="C525" s="2">
        <v>45270.588888888888</v>
      </c>
      <c r="D525" s="4">
        <f t="shared" si="33"/>
        <v>45270</v>
      </c>
      <c r="E525" s="6">
        <v>22.411111111107601</v>
      </c>
      <c r="F525" s="6" t="str" cm="1">
        <f t="array" ref="F525">_xlfn.IFS(
     AND(HOUR(session_data[[#This Row],[Time]])&gt;5,HOUR(session_data[[#This Row],[Time]])&lt;12),"Morning",
     AND(HOUR(session_data[[#This Row],[Time]])&gt;=12,HOUR(session_data[[#This Row],[Time]])&lt;17),"Afternoon",
     AND(HOUR(session_data[[#This Row],[Time]])&gt;=17,HOUR(session_data[[#This Row],[Time]])&lt;21),"Evening",
     TRUE,"Night"
)</f>
        <v>Morning</v>
      </c>
      <c r="G525" s="1">
        <f t="shared" si="34"/>
        <v>2023</v>
      </c>
      <c r="H525" s="1" t="str">
        <f t="shared" si="35"/>
        <v>Dec</v>
      </c>
      <c r="I525" s="1" t="str">
        <f t="shared" si="32"/>
        <v>Sun</v>
      </c>
      <c r="J525" s="1" t="s">
        <v>66</v>
      </c>
      <c r="K525" s="1" t="s">
        <v>12</v>
      </c>
      <c r="L525" s="1" t="s">
        <v>59</v>
      </c>
      <c r="M525" s="1" t="s">
        <v>19</v>
      </c>
      <c r="N525" s="1" t="s">
        <v>22</v>
      </c>
      <c r="O525" t="s">
        <v>15</v>
      </c>
    </row>
    <row r="526" spans="1:15" x14ac:dyDescent="0.25">
      <c r="A526" s="1" t="s">
        <v>806</v>
      </c>
      <c r="B526" s="1" t="s">
        <v>807</v>
      </c>
      <c r="C526" s="3">
        <v>44942.331250000003</v>
      </c>
      <c r="D526" s="4">
        <f t="shared" si="33"/>
        <v>44942</v>
      </c>
      <c r="E526" s="6">
        <v>22.452777777774202</v>
      </c>
      <c r="F526" s="6" t="str" cm="1">
        <f t="array" ref="F526">_xlfn.IFS(
     AND(HOUR(session_data[[#This Row],[Time]])&gt;5,HOUR(session_data[[#This Row],[Time]])&lt;12),"Morning",
     AND(HOUR(session_data[[#This Row],[Time]])&gt;=12,HOUR(session_data[[#This Row],[Time]])&lt;17),"Afternoon",
     AND(HOUR(session_data[[#This Row],[Time]])&gt;=17,HOUR(session_data[[#This Row],[Time]])&lt;21),"Evening",
     TRUE,"Night"
)</f>
        <v>Morning</v>
      </c>
      <c r="G526" s="1">
        <f t="shared" si="34"/>
        <v>2023</v>
      </c>
      <c r="H526" s="1" t="str">
        <f t="shared" si="35"/>
        <v>Jan</v>
      </c>
      <c r="I526" s="1" t="str">
        <f t="shared" si="32"/>
        <v>Mon</v>
      </c>
      <c r="J526" s="1" t="s">
        <v>28</v>
      </c>
      <c r="K526" s="1" t="s">
        <v>29</v>
      </c>
      <c r="L526" s="1" t="s">
        <v>79</v>
      </c>
      <c r="M526" s="1" t="s">
        <v>40</v>
      </c>
      <c r="N526" s="1" t="s">
        <v>14</v>
      </c>
      <c r="O526" t="s">
        <v>45</v>
      </c>
    </row>
    <row r="527" spans="1:15" x14ac:dyDescent="0.25">
      <c r="A527" s="1" t="s">
        <v>808</v>
      </c>
      <c r="B527" s="1" t="s">
        <v>807</v>
      </c>
      <c r="C527" s="2">
        <v>45262.872916666667</v>
      </c>
      <c r="D527" s="4">
        <f t="shared" si="33"/>
        <v>45262</v>
      </c>
      <c r="E527" s="6">
        <v>22.494444444440902</v>
      </c>
      <c r="F527" s="6" t="str" cm="1">
        <f t="array" ref="F527">_xlfn.IFS(
     AND(HOUR(session_data[[#This Row],[Time]])&gt;5,HOUR(session_data[[#This Row],[Time]])&lt;12),"Morning",
     AND(HOUR(session_data[[#This Row],[Time]])&gt;=12,HOUR(session_data[[#This Row],[Time]])&lt;17),"Afternoon",
     AND(HOUR(session_data[[#This Row],[Time]])&gt;=17,HOUR(session_data[[#This Row],[Time]])&lt;21),"Evening",
     TRUE,"Night"
)</f>
        <v>Morning</v>
      </c>
      <c r="G527" s="1">
        <f t="shared" si="34"/>
        <v>2023</v>
      </c>
      <c r="H527" s="1" t="str">
        <f t="shared" si="35"/>
        <v>Dec</v>
      </c>
      <c r="I527" s="1" t="str">
        <f t="shared" si="32"/>
        <v>Sat</v>
      </c>
      <c r="J527" s="1" t="s">
        <v>28</v>
      </c>
      <c r="K527" s="1" t="s">
        <v>29</v>
      </c>
      <c r="L527" s="1" t="s">
        <v>79</v>
      </c>
      <c r="M527" s="1" t="s">
        <v>40</v>
      </c>
      <c r="N527" s="1" t="s">
        <v>22</v>
      </c>
      <c r="O527" t="s">
        <v>45</v>
      </c>
    </row>
    <row r="528" spans="1:15" x14ac:dyDescent="0.25">
      <c r="A528" s="1" t="s">
        <v>809</v>
      </c>
      <c r="B528" s="1" t="s">
        <v>807</v>
      </c>
      <c r="C528" s="3">
        <v>44978.997916666667</v>
      </c>
      <c r="D528" s="4">
        <f t="shared" si="33"/>
        <v>44978</v>
      </c>
      <c r="E528" s="6">
        <v>22.536111111107601</v>
      </c>
      <c r="F528" s="6" t="str" cm="1">
        <f t="array" ref="F528">_xlfn.IFS(
     AND(HOUR(session_data[[#This Row],[Time]])&gt;5,HOUR(session_data[[#This Row],[Time]])&lt;12),"Morning",
     AND(HOUR(session_data[[#This Row],[Time]])&gt;=12,HOUR(session_data[[#This Row],[Time]])&lt;17),"Afternoon",
     AND(HOUR(session_data[[#This Row],[Time]])&gt;=17,HOUR(session_data[[#This Row],[Time]])&lt;21),"Evening",
     TRUE,"Night"
)</f>
        <v>Afternoon</v>
      </c>
      <c r="G528" s="1">
        <f t="shared" si="34"/>
        <v>2023</v>
      </c>
      <c r="H528" s="1" t="str">
        <f t="shared" si="35"/>
        <v>Feb</v>
      </c>
      <c r="I528" s="1" t="str">
        <f t="shared" si="32"/>
        <v>Tue</v>
      </c>
      <c r="J528" s="1" t="s">
        <v>28</v>
      </c>
      <c r="K528" s="1" t="s">
        <v>29</v>
      </c>
      <c r="L528" s="1" t="s">
        <v>79</v>
      </c>
      <c r="M528" s="1" t="s">
        <v>40</v>
      </c>
      <c r="N528" s="1" t="s">
        <v>22</v>
      </c>
      <c r="O528" t="s">
        <v>45</v>
      </c>
    </row>
    <row r="529" spans="1:15" x14ac:dyDescent="0.25">
      <c r="A529" s="1" t="s">
        <v>810</v>
      </c>
      <c r="B529" s="1" t="s">
        <v>807</v>
      </c>
      <c r="C529" s="3">
        <v>45006.664583333331</v>
      </c>
      <c r="D529" s="4">
        <f t="shared" si="33"/>
        <v>45006</v>
      </c>
      <c r="E529" s="6">
        <v>22.577777777774202</v>
      </c>
      <c r="F529" s="6" t="str" cm="1">
        <f t="array" ref="F529">_xlfn.IFS(
     AND(HOUR(session_data[[#This Row],[Time]])&gt;5,HOUR(session_data[[#This Row],[Time]])&lt;12),"Morning",
     AND(HOUR(session_data[[#This Row],[Time]])&gt;=12,HOUR(session_data[[#This Row],[Time]])&lt;17),"Afternoon",
     AND(HOUR(session_data[[#This Row],[Time]])&gt;=17,HOUR(session_data[[#This Row],[Time]])&lt;21),"Evening",
     TRUE,"Night"
)</f>
        <v>Afternoon</v>
      </c>
      <c r="G529" s="1">
        <f t="shared" si="34"/>
        <v>2023</v>
      </c>
      <c r="H529" s="1" t="str">
        <f t="shared" si="35"/>
        <v>Mar</v>
      </c>
      <c r="I529" s="1" t="str">
        <f t="shared" si="32"/>
        <v>Tue</v>
      </c>
      <c r="J529" s="1" t="s">
        <v>28</v>
      </c>
      <c r="K529" s="1" t="s">
        <v>29</v>
      </c>
      <c r="L529" s="1" t="s">
        <v>79</v>
      </c>
      <c r="M529" s="1" t="s">
        <v>40</v>
      </c>
      <c r="N529" s="1" t="s">
        <v>22</v>
      </c>
      <c r="O529" t="s">
        <v>45</v>
      </c>
    </row>
    <row r="530" spans="1:15" x14ac:dyDescent="0.25">
      <c r="A530" s="1" t="s">
        <v>811</v>
      </c>
      <c r="B530" s="1" t="s">
        <v>812</v>
      </c>
      <c r="C530" s="3">
        <v>44948.414583333331</v>
      </c>
      <c r="D530" s="4">
        <f t="shared" si="33"/>
        <v>44948</v>
      </c>
      <c r="E530" s="6">
        <v>22.619444444440902</v>
      </c>
      <c r="F530" s="6" t="str" cm="1">
        <f t="array" ref="F530">_xlfn.IFS(
     AND(HOUR(session_data[[#This Row],[Time]])&gt;5,HOUR(session_data[[#This Row],[Time]])&lt;12),"Morning",
     AND(HOUR(session_data[[#This Row],[Time]])&gt;=12,HOUR(session_data[[#This Row],[Time]])&lt;17),"Afternoon",
     AND(HOUR(session_data[[#This Row],[Time]])&gt;=17,HOUR(session_data[[#This Row],[Time]])&lt;21),"Evening",
     TRUE,"Night"
)</f>
        <v>Afternoon</v>
      </c>
      <c r="G530" s="1">
        <f t="shared" si="34"/>
        <v>2023</v>
      </c>
      <c r="H530" s="1" t="str">
        <f t="shared" si="35"/>
        <v>Jan</v>
      </c>
      <c r="I530" s="1" t="str">
        <f t="shared" si="32"/>
        <v>Sun</v>
      </c>
      <c r="J530" s="1" t="s">
        <v>66</v>
      </c>
      <c r="K530" s="1" t="s">
        <v>12</v>
      </c>
      <c r="L530" s="1" t="s">
        <v>119</v>
      </c>
      <c r="M530" s="1" t="s">
        <v>40</v>
      </c>
      <c r="N530" s="1" t="s">
        <v>14</v>
      </c>
      <c r="O530" t="s">
        <v>15</v>
      </c>
    </row>
    <row r="531" spans="1:15" x14ac:dyDescent="0.25">
      <c r="A531" s="1" t="s">
        <v>813</v>
      </c>
      <c r="B531" s="1" t="s">
        <v>814</v>
      </c>
      <c r="C531" s="2">
        <v>45082.792361111111</v>
      </c>
      <c r="D531" s="4">
        <f t="shared" si="33"/>
        <v>45082</v>
      </c>
      <c r="E531" s="6">
        <v>22.661111111107601</v>
      </c>
      <c r="F531" s="6" t="str" cm="1">
        <f t="array" ref="F531">_xlfn.IFS(
     AND(HOUR(session_data[[#This Row],[Time]])&gt;5,HOUR(session_data[[#This Row],[Time]])&lt;12),"Morning",
     AND(HOUR(session_data[[#This Row],[Time]])&gt;=12,HOUR(session_data[[#This Row],[Time]])&lt;17),"Afternoon",
     AND(HOUR(session_data[[#This Row],[Time]])&gt;=17,HOUR(session_data[[#This Row],[Time]])&lt;21),"Evening",
     TRUE,"Night"
)</f>
        <v>Afternoon</v>
      </c>
      <c r="G531" s="1">
        <f t="shared" si="34"/>
        <v>2023</v>
      </c>
      <c r="H531" s="1" t="str">
        <f t="shared" si="35"/>
        <v>Jun</v>
      </c>
      <c r="I531" s="1" t="str">
        <f t="shared" si="32"/>
        <v>Mon</v>
      </c>
      <c r="J531" s="1" t="s">
        <v>28</v>
      </c>
      <c r="K531" s="1" t="s">
        <v>29</v>
      </c>
      <c r="L531" s="1" t="s">
        <v>41</v>
      </c>
      <c r="M531" s="1" t="s">
        <v>40</v>
      </c>
      <c r="N531" s="1" t="s">
        <v>14</v>
      </c>
      <c r="O531" t="s">
        <v>45</v>
      </c>
    </row>
    <row r="532" spans="1:15" x14ac:dyDescent="0.25">
      <c r="A532" s="1" t="s">
        <v>815</v>
      </c>
      <c r="B532" s="1" t="s">
        <v>816</v>
      </c>
      <c r="C532" s="2">
        <v>45079.599305555559</v>
      </c>
      <c r="D532" s="4">
        <f t="shared" si="33"/>
        <v>45079</v>
      </c>
      <c r="E532" s="6">
        <v>22.702777777774202</v>
      </c>
      <c r="F532" s="6" t="str" cm="1">
        <f t="array" ref="F532">_xlfn.IFS(
     AND(HOUR(session_data[[#This Row],[Time]])&gt;5,HOUR(session_data[[#This Row],[Time]])&lt;12),"Morning",
     AND(HOUR(session_data[[#This Row],[Time]])&gt;=12,HOUR(session_data[[#This Row],[Time]])&lt;17),"Afternoon",
     AND(HOUR(session_data[[#This Row],[Time]])&gt;=17,HOUR(session_data[[#This Row],[Time]])&lt;21),"Evening",
     TRUE,"Night"
)</f>
        <v>Afternoon</v>
      </c>
      <c r="G532" s="1">
        <f t="shared" si="34"/>
        <v>2023</v>
      </c>
      <c r="H532" s="1" t="str">
        <f t="shared" si="35"/>
        <v>Jun</v>
      </c>
      <c r="I532" s="1" t="str">
        <f t="shared" si="32"/>
        <v>Fri</v>
      </c>
      <c r="J532" s="1" t="s">
        <v>11</v>
      </c>
      <c r="K532" s="1" t="s">
        <v>12</v>
      </c>
      <c r="L532" s="1" t="s">
        <v>119</v>
      </c>
      <c r="M532" s="1" t="s">
        <v>40</v>
      </c>
      <c r="N532" s="1" t="s">
        <v>14</v>
      </c>
      <c r="O532" t="s">
        <v>15</v>
      </c>
    </row>
    <row r="533" spans="1:15" x14ac:dyDescent="0.25">
      <c r="A533" s="1" t="s">
        <v>817</v>
      </c>
      <c r="B533" s="1" t="s">
        <v>816</v>
      </c>
      <c r="C533" s="3">
        <v>44978.807638888888</v>
      </c>
      <c r="D533" s="4">
        <f t="shared" si="33"/>
        <v>44978</v>
      </c>
      <c r="E533" s="6">
        <v>22.744444444440902</v>
      </c>
      <c r="F533" s="6" t="str" cm="1">
        <f t="array" ref="F533">_xlfn.IFS(
     AND(HOUR(session_data[[#This Row],[Time]])&gt;5,HOUR(session_data[[#This Row],[Time]])&lt;12),"Morning",
     AND(HOUR(session_data[[#This Row],[Time]])&gt;=12,HOUR(session_data[[#This Row],[Time]])&lt;17),"Afternoon",
     AND(HOUR(session_data[[#This Row],[Time]])&gt;=17,HOUR(session_data[[#This Row],[Time]])&lt;21),"Evening",
     TRUE,"Night"
)</f>
        <v>Evening</v>
      </c>
      <c r="G533" s="1">
        <f t="shared" si="34"/>
        <v>2023</v>
      </c>
      <c r="H533" s="1" t="str">
        <f t="shared" si="35"/>
        <v>Feb</v>
      </c>
      <c r="I533" s="1" t="str">
        <f t="shared" si="32"/>
        <v>Tue</v>
      </c>
      <c r="J533" s="1" t="s">
        <v>11</v>
      </c>
      <c r="K533" s="1" t="s">
        <v>12</v>
      </c>
      <c r="L533" s="1" t="s">
        <v>119</v>
      </c>
      <c r="M533" s="1" t="s">
        <v>40</v>
      </c>
      <c r="N533" s="1" t="s">
        <v>22</v>
      </c>
      <c r="O533" t="s">
        <v>15</v>
      </c>
    </row>
    <row r="534" spans="1:15" x14ac:dyDescent="0.25">
      <c r="A534" s="1" t="s">
        <v>818</v>
      </c>
      <c r="B534" s="1" t="s">
        <v>816</v>
      </c>
      <c r="C534" s="3">
        <v>45000.307638888888</v>
      </c>
      <c r="D534" s="4">
        <f t="shared" si="33"/>
        <v>45000</v>
      </c>
      <c r="E534" s="6">
        <v>22.786111111107601</v>
      </c>
      <c r="F534" s="6" t="str" cm="1">
        <f t="array" ref="F534">_xlfn.IFS(
     AND(HOUR(session_data[[#This Row],[Time]])&gt;5,HOUR(session_data[[#This Row],[Time]])&lt;12),"Morning",
     AND(HOUR(session_data[[#This Row],[Time]])&gt;=12,HOUR(session_data[[#This Row],[Time]])&lt;17),"Afternoon",
     AND(HOUR(session_data[[#This Row],[Time]])&gt;=17,HOUR(session_data[[#This Row],[Time]])&lt;21),"Evening",
     TRUE,"Night"
)</f>
        <v>Evening</v>
      </c>
      <c r="G534" s="1">
        <f t="shared" si="34"/>
        <v>2023</v>
      </c>
      <c r="H534" s="1" t="str">
        <f t="shared" si="35"/>
        <v>Mar</v>
      </c>
      <c r="I534" s="1" t="str">
        <f t="shared" si="32"/>
        <v>Wed</v>
      </c>
      <c r="J534" s="1" t="s">
        <v>11</v>
      </c>
      <c r="K534" s="1" t="s">
        <v>12</v>
      </c>
      <c r="L534" s="1" t="s">
        <v>119</v>
      </c>
      <c r="M534" s="1" t="s">
        <v>40</v>
      </c>
      <c r="N534" s="1" t="s">
        <v>22</v>
      </c>
      <c r="O534" t="s">
        <v>15</v>
      </c>
    </row>
    <row r="535" spans="1:15" x14ac:dyDescent="0.25">
      <c r="A535" s="1" t="s">
        <v>819</v>
      </c>
      <c r="B535" s="1" t="s">
        <v>816</v>
      </c>
      <c r="C535" s="3">
        <v>45030.015972222223</v>
      </c>
      <c r="D535" s="4">
        <f t="shared" si="33"/>
        <v>45030</v>
      </c>
      <c r="E535" s="6">
        <v>22.827777777774202</v>
      </c>
      <c r="F535" s="6" t="str" cm="1">
        <f t="array" ref="F535">_xlfn.IFS(
     AND(HOUR(session_data[[#This Row],[Time]])&gt;5,HOUR(session_data[[#This Row],[Time]])&lt;12),"Morning",
     AND(HOUR(session_data[[#This Row],[Time]])&gt;=12,HOUR(session_data[[#This Row],[Time]])&lt;17),"Afternoon",
     AND(HOUR(session_data[[#This Row],[Time]])&gt;=17,HOUR(session_data[[#This Row],[Time]])&lt;21),"Evening",
     TRUE,"Night"
)</f>
        <v>Evening</v>
      </c>
      <c r="G535" s="1">
        <f t="shared" si="34"/>
        <v>2023</v>
      </c>
      <c r="H535" s="1" t="str">
        <f t="shared" si="35"/>
        <v>Apr</v>
      </c>
      <c r="I535" s="1" t="str">
        <f t="shared" si="32"/>
        <v>Fri</v>
      </c>
      <c r="J535" s="1" t="s">
        <v>11</v>
      </c>
      <c r="K535" s="1" t="s">
        <v>12</v>
      </c>
      <c r="L535" s="1" t="s">
        <v>119</v>
      </c>
      <c r="M535" s="1" t="s">
        <v>40</v>
      </c>
      <c r="N535" s="1" t="s">
        <v>22</v>
      </c>
      <c r="O535" t="s">
        <v>15</v>
      </c>
    </row>
    <row r="536" spans="1:15" x14ac:dyDescent="0.25">
      <c r="A536" s="1" t="s">
        <v>820</v>
      </c>
      <c r="B536" s="1" t="s">
        <v>821</v>
      </c>
      <c r="C536" s="2">
        <v>44969.149305555555</v>
      </c>
      <c r="D536" s="4">
        <f t="shared" si="33"/>
        <v>44969</v>
      </c>
      <c r="E536" s="6">
        <v>22.869444444440902</v>
      </c>
      <c r="F536" s="6" t="str" cm="1">
        <f t="array" ref="F536">_xlfn.IFS(
     AND(HOUR(session_data[[#This Row],[Time]])&gt;5,HOUR(session_data[[#This Row],[Time]])&lt;12),"Morning",
     AND(HOUR(session_data[[#This Row],[Time]])&gt;=12,HOUR(session_data[[#This Row],[Time]])&lt;17),"Afternoon",
     AND(HOUR(session_data[[#This Row],[Time]])&gt;=17,HOUR(session_data[[#This Row],[Time]])&lt;21),"Evening",
     TRUE,"Night"
)</f>
        <v>Evening</v>
      </c>
      <c r="G536" s="1">
        <f t="shared" si="34"/>
        <v>2023</v>
      </c>
      <c r="H536" s="1" t="str">
        <f t="shared" si="35"/>
        <v>Feb</v>
      </c>
      <c r="I536" s="1" t="str">
        <f t="shared" si="32"/>
        <v>Sun</v>
      </c>
      <c r="J536" s="1" t="s">
        <v>18</v>
      </c>
      <c r="K536" s="1" t="s">
        <v>29</v>
      </c>
      <c r="L536" s="1" t="s">
        <v>13</v>
      </c>
      <c r="M536" s="1" t="s">
        <v>32</v>
      </c>
      <c r="N536" s="1" t="s">
        <v>14</v>
      </c>
      <c r="O536" t="s">
        <v>15</v>
      </c>
    </row>
    <row r="537" spans="1:15" x14ac:dyDescent="0.25">
      <c r="A537" s="1" t="s">
        <v>822</v>
      </c>
      <c r="B537" s="1" t="s">
        <v>823</v>
      </c>
      <c r="C537" s="2">
        <v>45174.572916666664</v>
      </c>
      <c r="D537" s="4">
        <f t="shared" si="33"/>
        <v>45174</v>
      </c>
      <c r="E537" s="6">
        <v>22.911111111107601</v>
      </c>
      <c r="F537" s="6" t="str" cm="1">
        <f t="array" ref="F537">_xlfn.IFS(
     AND(HOUR(session_data[[#This Row],[Time]])&gt;5,HOUR(session_data[[#This Row],[Time]])&lt;12),"Morning",
     AND(HOUR(session_data[[#This Row],[Time]])&gt;=12,HOUR(session_data[[#This Row],[Time]])&lt;17),"Afternoon",
     AND(HOUR(session_data[[#This Row],[Time]])&gt;=17,HOUR(session_data[[#This Row],[Time]])&lt;21),"Evening",
     TRUE,"Night"
)</f>
        <v>Night</v>
      </c>
      <c r="G537" s="1">
        <f t="shared" si="34"/>
        <v>2023</v>
      </c>
      <c r="H537" s="1" t="str">
        <f t="shared" si="35"/>
        <v>Sep</v>
      </c>
      <c r="I537" s="1" t="str">
        <f t="shared" si="32"/>
        <v>Tue</v>
      </c>
      <c r="J537" s="1" t="s">
        <v>11</v>
      </c>
      <c r="K537" s="1" t="s">
        <v>12</v>
      </c>
      <c r="L537" s="1" t="s">
        <v>59</v>
      </c>
      <c r="M537" s="1" t="s">
        <v>19</v>
      </c>
      <c r="N537" s="1" t="s">
        <v>14</v>
      </c>
      <c r="O537" t="s">
        <v>45</v>
      </c>
    </row>
    <row r="538" spans="1:15" x14ac:dyDescent="0.25">
      <c r="A538" s="1" t="s">
        <v>824</v>
      </c>
      <c r="B538" s="1" t="s">
        <v>825</v>
      </c>
      <c r="C538" s="3">
        <v>45097.902777777781</v>
      </c>
      <c r="D538" s="4">
        <f t="shared" si="33"/>
        <v>45097</v>
      </c>
      <c r="E538" s="6">
        <v>22.952777777774202</v>
      </c>
      <c r="F538" s="6" t="str" cm="1">
        <f t="array" ref="F538">_xlfn.IFS(
     AND(HOUR(session_data[[#This Row],[Time]])&gt;5,HOUR(session_data[[#This Row],[Time]])&lt;12),"Morning",
     AND(HOUR(session_data[[#This Row],[Time]])&gt;=12,HOUR(session_data[[#This Row],[Time]])&lt;17),"Afternoon",
     AND(HOUR(session_data[[#This Row],[Time]])&gt;=17,HOUR(session_data[[#This Row],[Time]])&lt;21),"Evening",
     TRUE,"Night"
)</f>
        <v>Night</v>
      </c>
      <c r="G538" s="1">
        <f t="shared" si="34"/>
        <v>2023</v>
      </c>
      <c r="H538" s="1" t="str">
        <f t="shared" si="35"/>
        <v>Jun</v>
      </c>
      <c r="I538" s="1" t="str">
        <f t="shared" si="32"/>
        <v>Tue</v>
      </c>
      <c r="J538" s="1" t="s">
        <v>11</v>
      </c>
      <c r="K538" s="1" t="s">
        <v>29</v>
      </c>
      <c r="L538" s="1" t="s">
        <v>94</v>
      </c>
      <c r="M538" s="1" t="s">
        <v>32</v>
      </c>
      <c r="N538" s="1" t="s">
        <v>14</v>
      </c>
      <c r="O538" t="s">
        <v>15</v>
      </c>
    </row>
    <row r="539" spans="1:15" x14ac:dyDescent="0.25">
      <c r="A539" s="1" t="s">
        <v>826</v>
      </c>
      <c r="B539" s="1" t="s">
        <v>825</v>
      </c>
      <c r="C539" s="3">
        <v>45100.402777777781</v>
      </c>
      <c r="D539" s="4">
        <f t="shared" si="33"/>
        <v>45100</v>
      </c>
      <c r="E539" s="6">
        <v>22.994444444440902</v>
      </c>
      <c r="F539" s="6" t="str" cm="1">
        <f t="array" ref="F539">_xlfn.IFS(
     AND(HOUR(session_data[[#This Row],[Time]])&gt;5,HOUR(session_data[[#This Row],[Time]])&lt;12),"Morning",
     AND(HOUR(session_data[[#This Row],[Time]])&gt;=12,HOUR(session_data[[#This Row],[Time]])&lt;17),"Afternoon",
     AND(HOUR(session_data[[#This Row],[Time]])&gt;=17,HOUR(session_data[[#This Row],[Time]])&lt;21),"Evening",
     TRUE,"Night"
)</f>
        <v>Night</v>
      </c>
      <c r="G539" s="1">
        <f t="shared" si="34"/>
        <v>2023</v>
      </c>
      <c r="H539" s="1" t="str">
        <f t="shared" si="35"/>
        <v>Jun</v>
      </c>
      <c r="I539" s="1" t="str">
        <f t="shared" si="32"/>
        <v>Fri</v>
      </c>
      <c r="J539" s="1" t="s">
        <v>11</v>
      </c>
      <c r="K539" s="1" t="s">
        <v>29</v>
      </c>
      <c r="L539" s="1" t="s">
        <v>94</v>
      </c>
      <c r="M539" s="1" t="s">
        <v>32</v>
      </c>
      <c r="N539" s="1" t="s">
        <v>22</v>
      </c>
      <c r="O539" t="s">
        <v>15</v>
      </c>
    </row>
    <row r="540" spans="1:15" x14ac:dyDescent="0.25">
      <c r="A540" s="1" t="s">
        <v>827</v>
      </c>
      <c r="B540" s="1" t="s">
        <v>828</v>
      </c>
      <c r="C540" s="2">
        <v>44990.386805555558</v>
      </c>
      <c r="D540" s="4">
        <f t="shared" si="33"/>
        <v>44990</v>
      </c>
      <c r="E540" s="6">
        <v>23.036111111107601</v>
      </c>
      <c r="F540" s="6" t="str" cm="1">
        <f t="array" ref="F540">_xlfn.IFS(
     AND(HOUR(session_data[[#This Row],[Time]])&gt;5,HOUR(session_data[[#This Row],[Time]])&lt;12),"Morning",
     AND(HOUR(session_data[[#This Row],[Time]])&gt;=12,HOUR(session_data[[#This Row],[Time]])&lt;17),"Afternoon",
     AND(HOUR(session_data[[#This Row],[Time]])&gt;=17,HOUR(session_data[[#This Row],[Time]])&lt;21),"Evening",
     TRUE,"Night"
)</f>
        <v>Night</v>
      </c>
      <c r="G540" s="1">
        <f t="shared" si="34"/>
        <v>2023</v>
      </c>
      <c r="H540" s="1" t="str">
        <f t="shared" si="35"/>
        <v>Mar</v>
      </c>
      <c r="I540" s="1" t="str">
        <f t="shared" si="32"/>
        <v>Sun</v>
      </c>
      <c r="J540" s="1" t="s">
        <v>11</v>
      </c>
      <c r="K540" s="1" t="s">
        <v>29</v>
      </c>
      <c r="L540" s="1" t="s">
        <v>30</v>
      </c>
      <c r="M540" s="1" t="s">
        <v>32</v>
      </c>
      <c r="N540" s="1" t="s">
        <v>14</v>
      </c>
      <c r="O540" t="s">
        <v>15</v>
      </c>
    </row>
    <row r="541" spans="1:15" x14ac:dyDescent="0.25">
      <c r="A541" s="1" t="s">
        <v>829</v>
      </c>
      <c r="B541" s="1" t="s">
        <v>828</v>
      </c>
      <c r="C541" s="3">
        <v>45067.095138888886</v>
      </c>
      <c r="D541" s="4">
        <f t="shared" si="33"/>
        <v>45067</v>
      </c>
      <c r="E541" s="6">
        <v>23.077777777774202</v>
      </c>
      <c r="F541" s="6" t="str" cm="1">
        <f t="array" ref="F541">_xlfn.IFS(
     AND(HOUR(session_data[[#This Row],[Time]])&gt;5,HOUR(session_data[[#This Row],[Time]])&lt;12),"Morning",
     AND(HOUR(session_data[[#This Row],[Time]])&gt;=12,HOUR(session_data[[#This Row],[Time]])&lt;17),"Afternoon",
     AND(HOUR(session_data[[#This Row],[Time]])&gt;=17,HOUR(session_data[[#This Row],[Time]])&lt;21),"Evening",
     TRUE,"Night"
)</f>
        <v>Night</v>
      </c>
      <c r="G541" s="1">
        <f t="shared" si="34"/>
        <v>2023</v>
      </c>
      <c r="H541" s="1" t="str">
        <f t="shared" si="35"/>
        <v>May</v>
      </c>
      <c r="I541" s="1" t="str">
        <f t="shared" si="32"/>
        <v>Sun</v>
      </c>
      <c r="J541" s="1" t="s">
        <v>11</v>
      </c>
      <c r="K541" s="1" t="s">
        <v>29</v>
      </c>
      <c r="L541" s="1" t="s">
        <v>30</v>
      </c>
      <c r="M541" s="1" t="s">
        <v>32</v>
      </c>
      <c r="N541" s="1" t="s">
        <v>22</v>
      </c>
      <c r="O541" t="s">
        <v>15</v>
      </c>
    </row>
    <row r="542" spans="1:15" x14ac:dyDescent="0.25">
      <c r="A542" s="1" t="s">
        <v>830</v>
      </c>
      <c r="B542" s="1" t="s">
        <v>828</v>
      </c>
      <c r="C542" s="2">
        <v>45236.178472222222</v>
      </c>
      <c r="D542" s="4">
        <f t="shared" si="33"/>
        <v>45236</v>
      </c>
      <c r="E542" s="6">
        <v>23.119444444440902</v>
      </c>
      <c r="F542" s="6" t="str" cm="1">
        <f t="array" ref="F542">_xlfn.IFS(
     AND(HOUR(session_data[[#This Row],[Time]])&gt;5,HOUR(session_data[[#This Row],[Time]])&lt;12),"Morning",
     AND(HOUR(session_data[[#This Row],[Time]])&gt;=12,HOUR(session_data[[#This Row],[Time]])&lt;17),"Afternoon",
     AND(HOUR(session_data[[#This Row],[Time]])&gt;=17,HOUR(session_data[[#This Row],[Time]])&lt;21),"Evening",
     TRUE,"Night"
)</f>
        <v>Night</v>
      </c>
      <c r="G542" s="1">
        <f t="shared" si="34"/>
        <v>2023</v>
      </c>
      <c r="H542" s="1" t="str">
        <f t="shared" si="35"/>
        <v>Nov</v>
      </c>
      <c r="I542" s="1" t="str">
        <f t="shared" si="32"/>
        <v>Mon</v>
      </c>
      <c r="J542" s="1" t="s">
        <v>11</v>
      </c>
      <c r="K542" s="1" t="s">
        <v>29</v>
      </c>
      <c r="L542" s="1" t="s">
        <v>30</v>
      </c>
      <c r="M542" s="1" t="s">
        <v>32</v>
      </c>
      <c r="N542" s="1" t="s">
        <v>22</v>
      </c>
      <c r="O542" t="s">
        <v>15</v>
      </c>
    </row>
    <row r="543" spans="1:15" x14ac:dyDescent="0.25">
      <c r="A543" s="1" t="s">
        <v>831</v>
      </c>
      <c r="B543" s="1" t="s">
        <v>828</v>
      </c>
      <c r="C543" s="2">
        <v>44992.928472222222</v>
      </c>
      <c r="D543" s="4">
        <f t="shared" si="33"/>
        <v>44992</v>
      </c>
      <c r="E543" s="6">
        <v>23.161111111107601</v>
      </c>
      <c r="F543" s="6" t="str" cm="1">
        <f t="array" ref="F543">_xlfn.IFS(
     AND(HOUR(session_data[[#This Row],[Time]])&gt;5,HOUR(session_data[[#This Row],[Time]])&lt;12),"Morning",
     AND(HOUR(session_data[[#This Row],[Time]])&gt;=12,HOUR(session_data[[#This Row],[Time]])&lt;17),"Afternoon",
     AND(HOUR(session_data[[#This Row],[Time]])&gt;=17,HOUR(session_data[[#This Row],[Time]])&lt;21),"Evening",
     TRUE,"Night"
)</f>
        <v>Night</v>
      </c>
      <c r="G543" s="1">
        <f t="shared" si="34"/>
        <v>2023</v>
      </c>
      <c r="H543" s="1" t="str">
        <f t="shared" si="35"/>
        <v>Mar</v>
      </c>
      <c r="I543" s="1" t="str">
        <f t="shared" si="32"/>
        <v>Tue</v>
      </c>
      <c r="J543" s="1" t="s">
        <v>11</v>
      </c>
      <c r="K543" s="1" t="s">
        <v>29</v>
      </c>
      <c r="L543" s="1" t="s">
        <v>30</v>
      </c>
      <c r="M543" s="1" t="s">
        <v>32</v>
      </c>
      <c r="N543" s="1" t="s">
        <v>22</v>
      </c>
      <c r="O543" t="s">
        <v>15</v>
      </c>
    </row>
    <row r="544" spans="1:15" x14ac:dyDescent="0.25">
      <c r="A544" s="1" t="s">
        <v>832</v>
      </c>
      <c r="B544" s="1" t="s">
        <v>833</v>
      </c>
      <c r="C544" s="3">
        <v>45039.543749999997</v>
      </c>
      <c r="D544" s="4">
        <f t="shared" si="33"/>
        <v>45039</v>
      </c>
      <c r="E544" s="6">
        <v>23.202777777774202</v>
      </c>
      <c r="F544" s="6" t="str" cm="1">
        <f t="array" ref="F544">_xlfn.IFS(
     AND(HOUR(session_data[[#This Row],[Time]])&gt;5,HOUR(session_data[[#This Row],[Time]])&lt;12),"Morning",
     AND(HOUR(session_data[[#This Row],[Time]])&gt;=12,HOUR(session_data[[#This Row],[Time]])&lt;17),"Afternoon",
     AND(HOUR(session_data[[#This Row],[Time]])&gt;=17,HOUR(session_data[[#This Row],[Time]])&lt;21),"Evening",
     TRUE,"Night"
)</f>
        <v>Night</v>
      </c>
      <c r="G544" s="1">
        <f t="shared" si="34"/>
        <v>2023</v>
      </c>
      <c r="H544" s="1" t="str">
        <f t="shared" si="35"/>
        <v>Apr</v>
      </c>
      <c r="I544" s="1" t="str">
        <f t="shared" si="32"/>
        <v>Sun</v>
      </c>
      <c r="J544" s="1" t="s">
        <v>11</v>
      </c>
      <c r="K544" s="1" t="s">
        <v>36</v>
      </c>
      <c r="L544" s="1" t="s">
        <v>119</v>
      </c>
      <c r="M544" s="1" t="s">
        <v>40</v>
      </c>
      <c r="N544" s="1" t="s">
        <v>14</v>
      </c>
      <c r="O544" t="s">
        <v>45</v>
      </c>
    </row>
    <row r="545" spans="1:15" x14ac:dyDescent="0.25">
      <c r="A545" s="1" t="s">
        <v>834</v>
      </c>
      <c r="B545" s="1" t="s">
        <v>833</v>
      </c>
      <c r="C545" s="3">
        <v>45061.252083333333</v>
      </c>
      <c r="D545" s="4">
        <f t="shared" si="33"/>
        <v>45061</v>
      </c>
      <c r="E545" s="6">
        <v>23.244444444440902</v>
      </c>
      <c r="F545" s="6" t="str" cm="1">
        <f t="array" ref="F545">_xlfn.IFS(
     AND(HOUR(session_data[[#This Row],[Time]])&gt;5,HOUR(session_data[[#This Row],[Time]])&lt;12),"Morning",
     AND(HOUR(session_data[[#This Row],[Time]])&gt;=12,HOUR(session_data[[#This Row],[Time]])&lt;17),"Afternoon",
     AND(HOUR(session_data[[#This Row],[Time]])&gt;=17,HOUR(session_data[[#This Row],[Time]])&lt;21),"Evening",
     TRUE,"Night"
)</f>
        <v>Night</v>
      </c>
      <c r="G545" s="1">
        <f t="shared" si="34"/>
        <v>2023</v>
      </c>
      <c r="H545" s="1" t="str">
        <f t="shared" si="35"/>
        <v>May</v>
      </c>
      <c r="I545" s="1" t="str">
        <f t="shared" si="32"/>
        <v>Mon</v>
      </c>
      <c r="J545" s="1" t="s">
        <v>11</v>
      </c>
      <c r="K545" s="1" t="s">
        <v>36</v>
      </c>
      <c r="L545" s="1" t="s">
        <v>119</v>
      </c>
      <c r="M545" s="1" t="s">
        <v>40</v>
      </c>
      <c r="N545" s="1" t="s">
        <v>22</v>
      </c>
      <c r="O545" t="s">
        <v>45</v>
      </c>
    </row>
    <row r="546" spans="1:15" x14ac:dyDescent="0.25">
      <c r="A546" s="1" t="s">
        <v>835</v>
      </c>
      <c r="B546" s="1" t="s">
        <v>833</v>
      </c>
      <c r="C546" s="3">
        <v>45070.460416666669</v>
      </c>
      <c r="D546" s="4">
        <f t="shared" si="33"/>
        <v>45070</v>
      </c>
      <c r="E546" s="6">
        <v>23.286111111107601</v>
      </c>
      <c r="F546" s="6" t="str" cm="1">
        <f t="array" ref="F546">_xlfn.IFS(
     AND(HOUR(session_data[[#This Row],[Time]])&gt;5,HOUR(session_data[[#This Row],[Time]])&lt;12),"Morning",
     AND(HOUR(session_data[[#This Row],[Time]])&gt;=12,HOUR(session_data[[#This Row],[Time]])&lt;17),"Afternoon",
     AND(HOUR(session_data[[#This Row],[Time]])&gt;=17,HOUR(session_data[[#This Row],[Time]])&lt;21),"Evening",
     TRUE,"Night"
)</f>
        <v>Morning</v>
      </c>
      <c r="G546" s="1">
        <f t="shared" si="34"/>
        <v>2023</v>
      </c>
      <c r="H546" s="1" t="str">
        <f t="shared" si="35"/>
        <v>May</v>
      </c>
      <c r="I546" s="1" t="str">
        <f t="shared" si="32"/>
        <v>Wed</v>
      </c>
      <c r="J546" s="1" t="s">
        <v>11</v>
      </c>
      <c r="K546" s="1" t="s">
        <v>36</v>
      </c>
      <c r="L546" s="1" t="s">
        <v>119</v>
      </c>
      <c r="M546" s="1" t="s">
        <v>40</v>
      </c>
      <c r="N546" s="1" t="s">
        <v>22</v>
      </c>
      <c r="O546" t="s">
        <v>45</v>
      </c>
    </row>
    <row r="547" spans="1:15" x14ac:dyDescent="0.25">
      <c r="A547" s="1" t="s">
        <v>836</v>
      </c>
      <c r="B547" s="1" t="s">
        <v>837</v>
      </c>
      <c r="C547" s="3">
        <v>45076.209027777775</v>
      </c>
      <c r="D547" s="4">
        <f t="shared" si="33"/>
        <v>45076</v>
      </c>
      <c r="E547" s="6">
        <v>23.327777777774202</v>
      </c>
      <c r="F547" s="6" t="str" cm="1">
        <f t="array" ref="F547">_xlfn.IFS(
     AND(HOUR(session_data[[#This Row],[Time]])&gt;5,HOUR(session_data[[#This Row],[Time]])&lt;12),"Morning",
     AND(HOUR(session_data[[#This Row],[Time]])&gt;=12,HOUR(session_data[[#This Row],[Time]])&lt;17),"Afternoon",
     AND(HOUR(session_data[[#This Row],[Time]])&gt;=17,HOUR(session_data[[#This Row],[Time]])&lt;21),"Evening",
     TRUE,"Night"
)</f>
        <v>Morning</v>
      </c>
      <c r="G547" s="1">
        <f t="shared" si="34"/>
        <v>2023</v>
      </c>
      <c r="H547" s="1" t="str">
        <f t="shared" si="35"/>
        <v>May</v>
      </c>
      <c r="I547" s="1" t="str">
        <f t="shared" si="32"/>
        <v>Tue</v>
      </c>
      <c r="J547" s="1" t="s">
        <v>28</v>
      </c>
      <c r="K547" s="1" t="s">
        <v>12</v>
      </c>
      <c r="L547" s="1" t="s">
        <v>50</v>
      </c>
      <c r="M547" s="1" t="s">
        <v>19</v>
      </c>
      <c r="N547" s="1" t="s">
        <v>14</v>
      </c>
      <c r="O547" t="s">
        <v>45</v>
      </c>
    </row>
    <row r="548" spans="1:15" x14ac:dyDescent="0.25">
      <c r="A548" s="1" t="s">
        <v>838</v>
      </c>
      <c r="B548" s="1" t="s">
        <v>837</v>
      </c>
      <c r="C548" s="3">
        <v>45097.792361111111</v>
      </c>
      <c r="D548" s="4">
        <f t="shared" si="33"/>
        <v>45097</v>
      </c>
      <c r="E548" s="6">
        <v>23.369444444440902</v>
      </c>
      <c r="F548" s="6" t="str" cm="1">
        <f t="array" ref="F548">_xlfn.IFS(
     AND(HOUR(session_data[[#This Row],[Time]])&gt;5,HOUR(session_data[[#This Row],[Time]])&lt;12),"Morning",
     AND(HOUR(session_data[[#This Row],[Time]])&gt;=12,HOUR(session_data[[#This Row],[Time]])&lt;17),"Afternoon",
     AND(HOUR(session_data[[#This Row],[Time]])&gt;=17,HOUR(session_data[[#This Row],[Time]])&lt;21),"Evening",
     TRUE,"Night"
)</f>
        <v>Morning</v>
      </c>
      <c r="G548" s="1">
        <f t="shared" si="34"/>
        <v>2023</v>
      </c>
      <c r="H548" s="1" t="str">
        <f t="shared" si="35"/>
        <v>Jun</v>
      </c>
      <c r="I548" s="1" t="str">
        <f t="shared" si="32"/>
        <v>Tue</v>
      </c>
      <c r="J548" s="1" t="s">
        <v>28</v>
      </c>
      <c r="K548" s="1" t="s">
        <v>12</v>
      </c>
      <c r="L548" s="1" t="s">
        <v>50</v>
      </c>
      <c r="M548" s="1" t="s">
        <v>19</v>
      </c>
      <c r="N548" s="1" t="s">
        <v>22</v>
      </c>
      <c r="O548" t="s">
        <v>45</v>
      </c>
    </row>
    <row r="549" spans="1:15" x14ac:dyDescent="0.25">
      <c r="A549" s="1" t="s">
        <v>839</v>
      </c>
      <c r="B549" s="1" t="s">
        <v>840</v>
      </c>
      <c r="C549" s="3">
        <v>45030.734722222223</v>
      </c>
      <c r="D549" s="4">
        <f t="shared" si="33"/>
        <v>45030</v>
      </c>
      <c r="E549" s="6">
        <v>23.411111111107601</v>
      </c>
      <c r="F549" s="6" t="str" cm="1">
        <f t="array" ref="F549">_xlfn.IFS(
     AND(HOUR(session_data[[#This Row],[Time]])&gt;5,HOUR(session_data[[#This Row],[Time]])&lt;12),"Morning",
     AND(HOUR(session_data[[#This Row],[Time]])&gt;=12,HOUR(session_data[[#This Row],[Time]])&lt;17),"Afternoon",
     AND(HOUR(session_data[[#This Row],[Time]])&gt;=17,HOUR(session_data[[#This Row],[Time]])&lt;21),"Evening",
     TRUE,"Night"
)</f>
        <v>Morning</v>
      </c>
      <c r="G549" s="1">
        <f t="shared" si="34"/>
        <v>2023</v>
      </c>
      <c r="H549" s="1" t="str">
        <f t="shared" si="35"/>
        <v>Apr</v>
      </c>
      <c r="I549" s="1" t="str">
        <f t="shared" si="32"/>
        <v>Fri</v>
      </c>
      <c r="J549" s="1" t="s">
        <v>66</v>
      </c>
      <c r="K549" s="1" t="s">
        <v>29</v>
      </c>
      <c r="L549" s="1" t="s">
        <v>30</v>
      </c>
      <c r="M549" s="1" t="s">
        <v>32</v>
      </c>
      <c r="N549" s="1" t="s">
        <v>14</v>
      </c>
      <c r="O549" t="s">
        <v>45</v>
      </c>
    </row>
    <row r="550" spans="1:15" x14ac:dyDescent="0.25">
      <c r="A550" s="1" t="s">
        <v>841</v>
      </c>
      <c r="B550" s="1" t="s">
        <v>842</v>
      </c>
      <c r="C550" s="2">
        <v>45084.659722222219</v>
      </c>
      <c r="D550" s="4">
        <f t="shared" si="33"/>
        <v>45084</v>
      </c>
      <c r="E550" s="6">
        <v>23.452777777774202</v>
      </c>
      <c r="F550" s="6" t="str" cm="1">
        <f t="array" ref="F550">_xlfn.IFS(
     AND(HOUR(session_data[[#This Row],[Time]])&gt;5,HOUR(session_data[[#This Row],[Time]])&lt;12),"Morning",
     AND(HOUR(session_data[[#This Row],[Time]])&gt;=12,HOUR(session_data[[#This Row],[Time]])&lt;17),"Afternoon",
     AND(HOUR(session_data[[#This Row],[Time]])&gt;=17,HOUR(session_data[[#This Row],[Time]])&lt;21),"Evening",
     TRUE,"Night"
)</f>
        <v>Morning</v>
      </c>
      <c r="G550" s="1">
        <f t="shared" si="34"/>
        <v>2023</v>
      </c>
      <c r="H550" s="1" t="str">
        <f t="shared" si="35"/>
        <v>Jun</v>
      </c>
      <c r="I550" s="1" t="str">
        <f t="shared" si="32"/>
        <v>Wed</v>
      </c>
      <c r="J550" s="1" t="s">
        <v>44</v>
      </c>
      <c r="K550" s="1" t="s">
        <v>29</v>
      </c>
      <c r="L550" s="1" t="s">
        <v>50</v>
      </c>
      <c r="M550" s="1" t="s">
        <v>19</v>
      </c>
      <c r="N550" s="1" t="s">
        <v>14</v>
      </c>
      <c r="O550" t="s">
        <v>15</v>
      </c>
    </row>
    <row r="551" spans="1:15" x14ac:dyDescent="0.25">
      <c r="A551" s="1" t="s">
        <v>843</v>
      </c>
      <c r="B551" s="1" t="s">
        <v>842</v>
      </c>
      <c r="C551" s="3">
        <v>45125.159722222219</v>
      </c>
      <c r="D551" s="4">
        <f t="shared" si="33"/>
        <v>45125</v>
      </c>
      <c r="E551" s="6">
        <v>23.494444444440902</v>
      </c>
      <c r="F551" s="6" t="str" cm="1">
        <f t="array" ref="F551">_xlfn.IFS(
     AND(HOUR(session_data[[#This Row],[Time]])&gt;5,HOUR(session_data[[#This Row],[Time]])&lt;12),"Morning",
     AND(HOUR(session_data[[#This Row],[Time]])&gt;=12,HOUR(session_data[[#This Row],[Time]])&lt;17),"Afternoon",
     AND(HOUR(session_data[[#This Row],[Time]])&gt;=17,HOUR(session_data[[#This Row],[Time]])&lt;21),"Evening",
     TRUE,"Night"
)</f>
        <v>Morning</v>
      </c>
      <c r="G551" s="1">
        <f t="shared" si="34"/>
        <v>2023</v>
      </c>
      <c r="H551" s="1" t="str">
        <f t="shared" si="35"/>
        <v>Jul</v>
      </c>
      <c r="I551" s="1" t="str">
        <f t="shared" si="32"/>
        <v>Tue</v>
      </c>
      <c r="J551" s="1" t="s">
        <v>44</v>
      </c>
      <c r="K551" s="1" t="s">
        <v>29</v>
      </c>
      <c r="L551" s="1" t="s">
        <v>50</v>
      </c>
      <c r="M551" s="1" t="s">
        <v>19</v>
      </c>
      <c r="N551" s="1" t="s">
        <v>22</v>
      </c>
      <c r="O551" t="s">
        <v>15</v>
      </c>
    </row>
    <row r="552" spans="1:15" x14ac:dyDescent="0.25">
      <c r="A552" s="1" t="s">
        <v>844</v>
      </c>
      <c r="B552" s="1" t="s">
        <v>845</v>
      </c>
      <c r="C552" s="3">
        <v>44945.336111111108</v>
      </c>
      <c r="D552" s="4">
        <f t="shared" si="33"/>
        <v>44945</v>
      </c>
      <c r="E552" s="6">
        <v>23.536111111107601</v>
      </c>
      <c r="F552" s="6" t="str" cm="1">
        <f t="array" ref="F552">_xlfn.IFS(
     AND(HOUR(session_data[[#This Row],[Time]])&gt;5,HOUR(session_data[[#This Row],[Time]])&lt;12),"Morning",
     AND(HOUR(session_data[[#This Row],[Time]])&gt;=12,HOUR(session_data[[#This Row],[Time]])&lt;17),"Afternoon",
     AND(HOUR(session_data[[#This Row],[Time]])&gt;=17,HOUR(session_data[[#This Row],[Time]])&lt;21),"Evening",
     TRUE,"Night"
)</f>
        <v>Afternoon</v>
      </c>
      <c r="G552" s="1">
        <f t="shared" si="34"/>
        <v>2023</v>
      </c>
      <c r="H552" s="1" t="str">
        <f t="shared" si="35"/>
        <v>Jan</v>
      </c>
      <c r="I552" s="1" t="str">
        <f t="shared" si="32"/>
        <v>Thu</v>
      </c>
      <c r="J552" s="1" t="s">
        <v>44</v>
      </c>
      <c r="K552" s="1" t="s">
        <v>29</v>
      </c>
      <c r="L552" s="1" t="s">
        <v>41</v>
      </c>
      <c r="M552" s="1" t="s">
        <v>40</v>
      </c>
      <c r="N552" s="1" t="s">
        <v>14</v>
      </c>
      <c r="O552" t="s">
        <v>15</v>
      </c>
    </row>
    <row r="553" spans="1:15" x14ac:dyDescent="0.25">
      <c r="A553" s="1" t="s">
        <v>846</v>
      </c>
      <c r="B553" s="1" t="s">
        <v>845</v>
      </c>
      <c r="C553" s="2">
        <v>44987.961111111108</v>
      </c>
      <c r="D553" s="4">
        <f t="shared" si="33"/>
        <v>44987</v>
      </c>
      <c r="E553" s="6">
        <v>23.577777777774202</v>
      </c>
      <c r="F553" s="6" t="str" cm="1">
        <f t="array" ref="F553">_xlfn.IFS(
     AND(HOUR(session_data[[#This Row],[Time]])&gt;5,HOUR(session_data[[#This Row],[Time]])&lt;12),"Morning",
     AND(HOUR(session_data[[#This Row],[Time]])&gt;=12,HOUR(session_data[[#This Row],[Time]])&lt;17),"Afternoon",
     AND(HOUR(session_data[[#This Row],[Time]])&gt;=17,HOUR(session_data[[#This Row],[Time]])&lt;21),"Evening",
     TRUE,"Night"
)</f>
        <v>Afternoon</v>
      </c>
      <c r="G553" s="1">
        <f t="shared" si="34"/>
        <v>2023</v>
      </c>
      <c r="H553" s="1" t="str">
        <f t="shared" si="35"/>
        <v>Mar</v>
      </c>
      <c r="I553" s="1" t="str">
        <f t="shared" si="32"/>
        <v>Thu</v>
      </c>
      <c r="J553" s="1" t="s">
        <v>44</v>
      </c>
      <c r="K553" s="1" t="s">
        <v>29</v>
      </c>
      <c r="L553" s="1" t="s">
        <v>41</v>
      </c>
      <c r="M553" s="1" t="s">
        <v>40</v>
      </c>
      <c r="N553" s="1" t="s">
        <v>22</v>
      </c>
      <c r="O553" t="s">
        <v>15</v>
      </c>
    </row>
    <row r="554" spans="1:15" x14ac:dyDescent="0.25">
      <c r="A554" s="1" t="s">
        <v>847</v>
      </c>
      <c r="B554" s="1" t="s">
        <v>845</v>
      </c>
      <c r="C554" s="3">
        <v>44981.37777777778</v>
      </c>
      <c r="D554" s="4">
        <f t="shared" si="33"/>
        <v>44981</v>
      </c>
      <c r="E554" s="6">
        <v>23.619444444440902</v>
      </c>
      <c r="F554" s="6" t="str" cm="1">
        <f t="array" ref="F554">_xlfn.IFS(
     AND(HOUR(session_data[[#This Row],[Time]])&gt;5,HOUR(session_data[[#This Row],[Time]])&lt;12),"Morning",
     AND(HOUR(session_data[[#This Row],[Time]])&gt;=12,HOUR(session_data[[#This Row],[Time]])&lt;17),"Afternoon",
     AND(HOUR(session_data[[#This Row],[Time]])&gt;=17,HOUR(session_data[[#This Row],[Time]])&lt;21),"Evening",
     TRUE,"Night"
)</f>
        <v>Afternoon</v>
      </c>
      <c r="G554" s="1">
        <f t="shared" si="34"/>
        <v>2023</v>
      </c>
      <c r="H554" s="1" t="str">
        <f t="shared" si="35"/>
        <v>Feb</v>
      </c>
      <c r="I554" s="1" t="str">
        <f t="shared" si="32"/>
        <v>Fri</v>
      </c>
      <c r="J554" s="1" t="s">
        <v>44</v>
      </c>
      <c r="K554" s="1" t="s">
        <v>29</v>
      </c>
      <c r="L554" s="1" t="s">
        <v>41</v>
      </c>
      <c r="M554" s="1" t="s">
        <v>40</v>
      </c>
      <c r="N554" s="1" t="s">
        <v>22</v>
      </c>
      <c r="O554" t="s">
        <v>15</v>
      </c>
    </row>
    <row r="555" spans="1:15" x14ac:dyDescent="0.25">
      <c r="A555" s="1" t="s">
        <v>848</v>
      </c>
      <c r="B555" s="1" t="s">
        <v>845</v>
      </c>
      <c r="C555" s="3">
        <v>45009.086111111108</v>
      </c>
      <c r="D555" s="4">
        <f t="shared" si="33"/>
        <v>45009</v>
      </c>
      <c r="E555" s="6">
        <v>23.661111111107601</v>
      </c>
      <c r="F555" s="6" t="str" cm="1">
        <f t="array" ref="F555">_xlfn.IFS(
     AND(HOUR(session_data[[#This Row],[Time]])&gt;5,HOUR(session_data[[#This Row],[Time]])&lt;12),"Morning",
     AND(HOUR(session_data[[#This Row],[Time]])&gt;=12,HOUR(session_data[[#This Row],[Time]])&lt;17),"Afternoon",
     AND(HOUR(session_data[[#This Row],[Time]])&gt;=17,HOUR(session_data[[#This Row],[Time]])&lt;21),"Evening",
     TRUE,"Night"
)</f>
        <v>Afternoon</v>
      </c>
      <c r="G555" s="1">
        <f t="shared" si="34"/>
        <v>2023</v>
      </c>
      <c r="H555" s="1" t="str">
        <f t="shared" si="35"/>
        <v>Mar</v>
      </c>
      <c r="I555" s="1" t="str">
        <f t="shared" si="32"/>
        <v>Fri</v>
      </c>
      <c r="J555" s="1" t="s">
        <v>44</v>
      </c>
      <c r="K555" s="1" t="s">
        <v>29</v>
      </c>
      <c r="L555" s="1" t="s">
        <v>41</v>
      </c>
      <c r="M555" s="1" t="s">
        <v>40</v>
      </c>
      <c r="N555" s="1" t="s">
        <v>22</v>
      </c>
      <c r="O555" t="s">
        <v>15</v>
      </c>
    </row>
    <row r="556" spans="1:15" x14ac:dyDescent="0.25">
      <c r="A556" s="1" t="s">
        <v>849</v>
      </c>
      <c r="B556" s="1" t="s">
        <v>845</v>
      </c>
      <c r="C556" s="3">
        <v>45030.75277777778</v>
      </c>
      <c r="D556" s="4">
        <f t="shared" si="33"/>
        <v>45030</v>
      </c>
      <c r="E556" s="6">
        <v>23.702777777774202</v>
      </c>
      <c r="F556" s="6" t="str" cm="1">
        <f t="array" ref="F556">_xlfn.IFS(
     AND(HOUR(session_data[[#This Row],[Time]])&gt;5,HOUR(session_data[[#This Row],[Time]])&lt;12),"Morning",
     AND(HOUR(session_data[[#This Row],[Time]])&gt;=12,HOUR(session_data[[#This Row],[Time]])&lt;17),"Afternoon",
     AND(HOUR(session_data[[#This Row],[Time]])&gt;=17,HOUR(session_data[[#This Row],[Time]])&lt;21),"Evening",
     TRUE,"Night"
)</f>
        <v>Afternoon</v>
      </c>
      <c r="G556" s="1">
        <f t="shared" si="34"/>
        <v>2023</v>
      </c>
      <c r="H556" s="1" t="str">
        <f t="shared" si="35"/>
        <v>Apr</v>
      </c>
      <c r="I556" s="1" t="str">
        <f t="shared" si="32"/>
        <v>Fri</v>
      </c>
      <c r="J556" s="1" t="s">
        <v>44</v>
      </c>
      <c r="K556" s="1" t="s">
        <v>29</v>
      </c>
      <c r="L556" s="1" t="s">
        <v>41</v>
      </c>
      <c r="M556" s="1" t="s">
        <v>40</v>
      </c>
      <c r="N556" s="1" t="s">
        <v>22</v>
      </c>
      <c r="O556" t="s">
        <v>15</v>
      </c>
    </row>
    <row r="557" spans="1:15" x14ac:dyDescent="0.25">
      <c r="A557" s="1" t="s">
        <v>850</v>
      </c>
      <c r="B557" s="1" t="s">
        <v>851</v>
      </c>
      <c r="C557" s="3">
        <v>44942.753472222219</v>
      </c>
      <c r="D557" s="4">
        <f t="shared" si="33"/>
        <v>44942</v>
      </c>
      <c r="E557" s="6">
        <v>23.744444444440902</v>
      </c>
      <c r="F557" s="6" t="str" cm="1">
        <f t="array" ref="F557">_xlfn.IFS(
     AND(HOUR(session_data[[#This Row],[Time]])&gt;5,HOUR(session_data[[#This Row],[Time]])&lt;12),"Morning",
     AND(HOUR(session_data[[#This Row],[Time]])&gt;=12,HOUR(session_data[[#This Row],[Time]])&lt;17),"Afternoon",
     AND(HOUR(session_data[[#This Row],[Time]])&gt;=17,HOUR(session_data[[#This Row],[Time]])&lt;21),"Evening",
     TRUE,"Night"
)</f>
        <v>Evening</v>
      </c>
      <c r="G557" s="1">
        <f t="shared" si="34"/>
        <v>2023</v>
      </c>
      <c r="H557" s="1" t="str">
        <f t="shared" si="35"/>
        <v>Jan</v>
      </c>
      <c r="I557" s="1" t="str">
        <f t="shared" si="32"/>
        <v>Mon</v>
      </c>
      <c r="J557" s="1" t="s">
        <v>11</v>
      </c>
      <c r="K557" s="1" t="s">
        <v>29</v>
      </c>
      <c r="L557" s="1" t="s">
        <v>41</v>
      </c>
      <c r="M557" s="1" t="s">
        <v>40</v>
      </c>
      <c r="N557" s="1" t="s">
        <v>14</v>
      </c>
      <c r="O557" t="s">
        <v>15</v>
      </c>
    </row>
    <row r="558" spans="1:15" x14ac:dyDescent="0.25">
      <c r="A558" s="1" t="s">
        <v>852</v>
      </c>
      <c r="B558" s="1" t="s">
        <v>853</v>
      </c>
      <c r="C558" s="3">
        <v>44939.67291666667</v>
      </c>
      <c r="D558" s="4">
        <f t="shared" si="33"/>
        <v>44939</v>
      </c>
      <c r="E558" s="6">
        <v>23.786111111107601</v>
      </c>
      <c r="F558" s="6" t="str" cm="1">
        <f t="array" ref="F558">_xlfn.IFS(
     AND(HOUR(session_data[[#This Row],[Time]])&gt;5,HOUR(session_data[[#This Row],[Time]])&lt;12),"Morning",
     AND(HOUR(session_data[[#This Row],[Time]])&gt;=12,HOUR(session_data[[#This Row],[Time]])&lt;17),"Afternoon",
     AND(HOUR(session_data[[#This Row],[Time]])&gt;=17,HOUR(session_data[[#This Row],[Time]])&lt;21),"Evening",
     TRUE,"Night"
)</f>
        <v>Evening</v>
      </c>
      <c r="G558" s="1">
        <f t="shared" si="34"/>
        <v>2023</v>
      </c>
      <c r="H558" s="1" t="str">
        <f t="shared" si="35"/>
        <v>Jan</v>
      </c>
      <c r="I558" s="1" t="str">
        <f t="shared" si="32"/>
        <v>Fri</v>
      </c>
      <c r="J558" s="1" t="s">
        <v>44</v>
      </c>
      <c r="K558" s="1" t="s">
        <v>12</v>
      </c>
      <c r="L558" s="1" t="s">
        <v>94</v>
      </c>
      <c r="M558" s="1" t="s">
        <v>32</v>
      </c>
      <c r="N558" s="1" t="s">
        <v>14</v>
      </c>
      <c r="O558" t="s">
        <v>45</v>
      </c>
    </row>
    <row r="559" spans="1:15" x14ac:dyDescent="0.25">
      <c r="A559" s="1" t="s">
        <v>854</v>
      </c>
      <c r="B559" s="1" t="s">
        <v>853</v>
      </c>
      <c r="C559" s="2">
        <v>45171.67291666667</v>
      </c>
      <c r="D559" s="4">
        <f t="shared" si="33"/>
        <v>45171</v>
      </c>
      <c r="E559" s="6">
        <v>23.827777777774202</v>
      </c>
      <c r="F559" s="6" t="str" cm="1">
        <f t="array" ref="F559">_xlfn.IFS(
     AND(HOUR(session_data[[#This Row],[Time]])&gt;5,HOUR(session_data[[#This Row],[Time]])&lt;12),"Morning",
     AND(HOUR(session_data[[#This Row],[Time]])&gt;=12,HOUR(session_data[[#This Row],[Time]])&lt;17),"Afternoon",
     AND(HOUR(session_data[[#This Row],[Time]])&gt;=17,HOUR(session_data[[#This Row],[Time]])&lt;21),"Evening",
     TRUE,"Night"
)</f>
        <v>Evening</v>
      </c>
      <c r="G559" s="1">
        <f t="shared" si="34"/>
        <v>2023</v>
      </c>
      <c r="H559" s="1" t="str">
        <f t="shared" si="35"/>
        <v>Sep</v>
      </c>
      <c r="I559" s="1" t="str">
        <f t="shared" si="32"/>
        <v>Sat</v>
      </c>
      <c r="J559" s="1" t="s">
        <v>44</v>
      </c>
      <c r="K559" s="1" t="s">
        <v>12</v>
      </c>
      <c r="L559" s="1" t="s">
        <v>94</v>
      </c>
      <c r="M559" s="1" t="s">
        <v>32</v>
      </c>
      <c r="N559" s="1" t="s">
        <v>22</v>
      </c>
      <c r="O559" t="s">
        <v>45</v>
      </c>
    </row>
    <row r="560" spans="1:15" x14ac:dyDescent="0.25">
      <c r="A560" s="1" t="s">
        <v>855</v>
      </c>
      <c r="B560" s="1" t="s">
        <v>856</v>
      </c>
      <c r="C560" s="3">
        <v>44954.29583333333</v>
      </c>
      <c r="D560" s="4">
        <f t="shared" si="33"/>
        <v>44954</v>
      </c>
      <c r="E560" s="6">
        <v>23.869444444440902</v>
      </c>
      <c r="F560" s="6" t="str" cm="1">
        <f t="array" ref="F560">_xlfn.IFS(
     AND(HOUR(session_data[[#This Row],[Time]])&gt;5,HOUR(session_data[[#This Row],[Time]])&lt;12),"Morning",
     AND(HOUR(session_data[[#This Row],[Time]])&gt;=12,HOUR(session_data[[#This Row],[Time]])&lt;17),"Afternoon",
     AND(HOUR(session_data[[#This Row],[Time]])&gt;=17,HOUR(session_data[[#This Row],[Time]])&lt;21),"Evening",
     TRUE,"Night"
)</f>
        <v>Evening</v>
      </c>
      <c r="G560" s="1">
        <f t="shared" si="34"/>
        <v>2023</v>
      </c>
      <c r="H560" s="1" t="str">
        <f t="shared" si="35"/>
        <v>Jan</v>
      </c>
      <c r="I560" s="1" t="str">
        <f t="shared" si="32"/>
        <v>Sat</v>
      </c>
      <c r="J560" s="1" t="s">
        <v>11</v>
      </c>
      <c r="K560" s="1" t="s">
        <v>29</v>
      </c>
      <c r="L560" s="1" t="s">
        <v>50</v>
      </c>
      <c r="M560" s="1" t="s">
        <v>19</v>
      </c>
      <c r="N560" s="1" t="s">
        <v>14</v>
      </c>
      <c r="O560" t="s">
        <v>15</v>
      </c>
    </row>
    <row r="561" spans="1:15" x14ac:dyDescent="0.25">
      <c r="A561" s="1" t="s">
        <v>857</v>
      </c>
      <c r="B561" s="1" t="s">
        <v>856</v>
      </c>
      <c r="C561" s="3">
        <v>44981.79583333333</v>
      </c>
      <c r="D561" s="4">
        <f t="shared" si="33"/>
        <v>44981</v>
      </c>
      <c r="E561" s="6">
        <v>23.911111111107601</v>
      </c>
      <c r="F561" s="6" t="str" cm="1">
        <f t="array" ref="F561">_xlfn.IFS(
     AND(HOUR(session_data[[#This Row],[Time]])&gt;5,HOUR(session_data[[#This Row],[Time]])&lt;12),"Morning",
     AND(HOUR(session_data[[#This Row],[Time]])&gt;=12,HOUR(session_data[[#This Row],[Time]])&lt;17),"Afternoon",
     AND(HOUR(session_data[[#This Row],[Time]])&gt;=17,HOUR(session_data[[#This Row],[Time]])&lt;21),"Evening",
     TRUE,"Night"
)</f>
        <v>Night</v>
      </c>
      <c r="G561" s="1">
        <f t="shared" si="34"/>
        <v>2023</v>
      </c>
      <c r="H561" s="1" t="str">
        <f t="shared" si="35"/>
        <v>Feb</v>
      </c>
      <c r="I561" s="1" t="str">
        <f t="shared" si="32"/>
        <v>Fri</v>
      </c>
      <c r="J561" s="1" t="s">
        <v>11</v>
      </c>
      <c r="K561" s="1" t="s">
        <v>29</v>
      </c>
      <c r="L561" s="1" t="s">
        <v>50</v>
      </c>
      <c r="M561" s="1" t="s">
        <v>19</v>
      </c>
      <c r="N561" s="1" t="s">
        <v>22</v>
      </c>
      <c r="O561" t="s">
        <v>15</v>
      </c>
    </row>
    <row r="562" spans="1:15" x14ac:dyDescent="0.25">
      <c r="A562" s="1" t="s">
        <v>858</v>
      </c>
      <c r="B562" s="1" t="s">
        <v>856</v>
      </c>
      <c r="C562" s="2">
        <v>45263.754166666666</v>
      </c>
      <c r="D562" s="4">
        <f t="shared" si="33"/>
        <v>45263</v>
      </c>
      <c r="E562" s="6">
        <v>23.952777777774202</v>
      </c>
      <c r="F562" s="6" t="str" cm="1">
        <f t="array" ref="F562">_xlfn.IFS(
     AND(HOUR(session_data[[#This Row],[Time]])&gt;5,HOUR(session_data[[#This Row],[Time]])&lt;12),"Morning",
     AND(HOUR(session_data[[#This Row],[Time]])&gt;=12,HOUR(session_data[[#This Row],[Time]])&lt;17),"Afternoon",
     AND(HOUR(session_data[[#This Row],[Time]])&gt;=17,HOUR(session_data[[#This Row],[Time]])&lt;21),"Evening",
     TRUE,"Night"
)</f>
        <v>Night</v>
      </c>
      <c r="G562" s="1">
        <f t="shared" si="34"/>
        <v>2023</v>
      </c>
      <c r="H562" s="1" t="str">
        <f t="shared" si="35"/>
        <v>Dec</v>
      </c>
      <c r="I562" s="1" t="str">
        <f t="shared" si="32"/>
        <v>Sun</v>
      </c>
      <c r="J562" s="1" t="s">
        <v>11</v>
      </c>
      <c r="K562" s="1" t="s">
        <v>29</v>
      </c>
      <c r="L562" s="1" t="s">
        <v>50</v>
      </c>
      <c r="M562" s="1" t="s">
        <v>19</v>
      </c>
      <c r="N562" s="1" t="s">
        <v>22</v>
      </c>
      <c r="O562" t="s">
        <v>15</v>
      </c>
    </row>
    <row r="563" spans="1:15" x14ac:dyDescent="0.25">
      <c r="A563" s="1" t="s">
        <v>859</v>
      </c>
      <c r="B563" s="1" t="s">
        <v>856</v>
      </c>
      <c r="C563" s="3">
        <v>45012.42083333333</v>
      </c>
      <c r="D563" s="4">
        <f t="shared" si="33"/>
        <v>45012</v>
      </c>
      <c r="E563" s="6">
        <v>23.994444444440902</v>
      </c>
      <c r="F563" s="6" t="str" cm="1">
        <f t="array" ref="F563">_xlfn.IFS(
     AND(HOUR(session_data[[#This Row],[Time]])&gt;5,HOUR(session_data[[#This Row],[Time]])&lt;12),"Morning",
     AND(HOUR(session_data[[#This Row],[Time]])&gt;=12,HOUR(session_data[[#This Row],[Time]])&lt;17),"Afternoon",
     AND(HOUR(session_data[[#This Row],[Time]])&gt;=17,HOUR(session_data[[#This Row],[Time]])&lt;21),"Evening",
     TRUE,"Night"
)</f>
        <v>Night</v>
      </c>
      <c r="G563" s="1">
        <f t="shared" si="34"/>
        <v>2023</v>
      </c>
      <c r="H563" s="1" t="str">
        <f t="shared" si="35"/>
        <v>Mar</v>
      </c>
      <c r="I563" s="1" t="str">
        <f t="shared" si="32"/>
        <v>Mon</v>
      </c>
      <c r="J563" s="1" t="s">
        <v>11</v>
      </c>
      <c r="K563" s="1" t="s">
        <v>29</v>
      </c>
      <c r="L563" s="1" t="s">
        <v>50</v>
      </c>
      <c r="M563" s="1" t="s">
        <v>19</v>
      </c>
      <c r="N563" s="1" t="s">
        <v>22</v>
      </c>
      <c r="O563" t="s">
        <v>15</v>
      </c>
    </row>
    <row r="564" spans="1:15" x14ac:dyDescent="0.25">
      <c r="A564" s="1" t="s">
        <v>860</v>
      </c>
      <c r="B564" s="1" t="s">
        <v>861</v>
      </c>
      <c r="C564" s="3">
        <v>45623.022222222222</v>
      </c>
      <c r="D564" s="4">
        <f t="shared" si="33"/>
        <v>45623</v>
      </c>
      <c r="E564" s="6">
        <v>24.036111111107601</v>
      </c>
      <c r="F564" s="6" t="str" cm="1">
        <f t="array" ref="F564">_xlfn.IFS(
     AND(HOUR(session_data[[#This Row],[Time]])&gt;5,HOUR(session_data[[#This Row],[Time]])&lt;12),"Morning",
     AND(HOUR(session_data[[#This Row],[Time]])&gt;=12,HOUR(session_data[[#This Row],[Time]])&lt;17),"Afternoon",
     AND(HOUR(session_data[[#This Row],[Time]])&gt;=17,HOUR(session_data[[#This Row],[Time]])&lt;21),"Evening",
     TRUE,"Night"
)</f>
        <v>Night</v>
      </c>
      <c r="G564" s="1">
        <f t="shared" si="34"/>
        <v>2024</v>
      </c>
      <c r="H564" s="1" t="str">
        <f t="shared" si="35"/>
        <v>Nov</v>
      </c>
      <c r="I564" s="1" t="str">
        <f t="shared" si="32"/>
        <v>Wed</v>
      </c>
      <c r="J564" s="1" t="s">
        <v>28</v>
      </c>
      <c r="K564" s="1" t="s">
        <v>12</v>
      </c>
      <c r="L564" s="1" t="s">
        <v>119</v>
      </c>
      <c r="M564" s="1" t="s">
        <v>40</v>
      </c>
      <c r="N564" s="1" t="s">
        <v>14</v>
      </c>
      <c r="O564" t="s">
        <v>45</v>
      </c>
    </row>
    <row r="565" spans="1:15" x14ac:dyDescent="0.25">
      <c r="A565" s="1" t="s">
        <v>862</v>
      </c>
      <c r="B565" s="1" t="s">
        <v>861</v>
      </c>
      <c r="C565" s="3">
        <v>45647.105555555558</v>
      </c>
      <c r="D565" s="4">
        <f t="shared" si="33"/>
        <v>45647</v>
      </c>
      <c r="E565" s="6">
        <v>24.077777777774202</v>
      </c>
      <c r="F565" s="6" t="str" cm="1">
        <f t="array" ref="F565">_xlfn.IFS(
     AND(HOUR(session_data[[#This Row],[Time]])&gt;5,HOUR(session_data[[#This Row],[Time]])&lt;12),"Morning",
     AND(HOUR(session_data[[#This Row],[Time]])&gt;=12,HOUR(session_data[[#This Row],[Time]])&lt;17),"Afternoon",
     AND(HOUR(session_data[[#This Row],[Time]])&gt;=17,HOUR(session_data[[#This Row],[Time]])&lt;21),"Evening",
     TRUE,"Night"
)</f>
        <v>Night</v>
      </c>
      <c r="G565" s="1">
        <f t="shared" si="34"/>
        <v>2024</v>
      </c>
      <c r="H565" s="1" t="str">
        <f t="shared" si="35"/>
        <v>Dec</v>
      </c>
      <c r="I565" s="1" t="str">
        <f t="shared" si="32"/>
        <v>Sat</v>
      </c>
      <c r="J565" s="1" t="s">
        <v>28</v>
      </c>
      <c r="K565" s="1" t="s">
        <v>12</v>
      </c>
      <c r="L565" s="1" t="s">
        <v>119</v>
      </c>
      <c r="M565" s="1" t="s">
        <v>40</v>
      </c>
      <c r="N565" s="1" t="s">
        <v>22</v>
      </c>
      <c r="O565" t="s">
        <v>45</v>
      </c>
    </row>
    <row r="566" spans="1:15" x14ac:dyDescent="0.25">
      <c r="A566" s="1" t="s">
        <v>863</v>
      </c>
      <c r="B566" s="1" t="s">
        <v>861</v>
      </c>
      <c r="C566" s="3">
        <v>45657.980555555558</v>
      </c>
      <c r="D566" s="4">
        <f t="shared" si="33"/>
        <v>45657</v>
      </c>
      <c r="E566" s="6">
        <v>24.119444444440902</v>
      </c>
      <c r="F566" s="6" t="str" cm="1">
        <f t="array" ref="F566">_xlfn.IFS(
     AND(HOUR(session_data[[#This Row],[Time]])&gt;5,HOUR(session_data[[#This Row],[Time]])&lt;12),"Morning",
     AND(HOUR(session_data[[#This Row],[Time]])&gt;=12,HOUR(session_data[[#This Row],[Time]])&lt;17),"Afternoon",
     AND(HOUR(session_data[[#This Row],[Time]])&gt;=17,HOUR(session_data[[#This Row],[Time]])&lt;21),"Evening",
     TRUE,"Night"
)</f>
        <v>Night</v>
      </c>
      <c r="G566" s="1">
        <f t="shared" si="34"/>
        <v>2024</v>
      </c>
      <c r="H566" s="1" t="str">
        <f t="shared" si="35"/>
        <v>Dec</v>
      </c>
      <c r="I566" s="1" t="str">
        <f t="shared" si="32"/>
        <v>Tue</v>
      </c>
      <c r="J566" s="1" t="s">
        <v>28</v>
      </c>
      <c r="K566" s="1" t="s">
        <v>12</v>
      </c>
      <c r="L566" s="1" t="s">
        <v>119</v>
      </c>
      <c r="M566" s="1" t="s">
        <v>40</v>
      </c>
      <c r="N566" s="1" t="s">
        <v>22</v>
      </c>
      <c r="O566" t="s">
        <v>45</v>
      </c>
    </row>
    <row r="567" spans="1:15" x14ac:dyDescent="0.25">
      <c r="A567" s="1" t="s">
        <v>864</v>
      </c>
      <c r="B567" s="1" t="s">
        <v>865</v>
      </c>
      <c r="C567" s="2">
        <v>45262.115972222222</v>
      </c>
      <c r="D567" s="4">
        <f t="shared" si="33"/>
        <v>45262</v>
      </c>
      <c r="E567" s="6">
        <v>24.161111111107601</v>
      </c>
      <c r="F567" s="6" t="str" cm="1">
        <f t="array" ref="F567">_xlfn.IFS(
     AND(HOUR(session_data[[#This Row],[Time]])&gt;5,HOUR(session_data[[#This Row],[Time]])&lt;12),"Morning",
     AND(HOUR(session_data[[#This Row],[Time]])&gt;=12,HOUR(session_data[[#This Row],[Time]])&lt;17),"Afternoon",
     AND(HOUR(session_data[[#This Row],[Time]])&gt;=17,HOUR(session_data[[#This Row],[Time]])&lt;21),"Evening",
     TRUE,"Night"
)</f>
        <v>Night</v>
      </c>
      <c r="G567" s="1">
        <f t="shared" si="34"/>
        <v>2023</v>
      </c>
      <c r="H567" s="1" t="str">
        <f t="shared" si="35"/>
        <v>Dec</v>
      </c>
      <c r="I567" s="1" t="str">
        <f t="shared" si="32"/>
        <v>Sat</v>
      </c>
      <c r="J567" s="1" t="s">
        <v>18</v>
      </c>
      <c r="K567" s="1" t="s">
        <v>36</v>
      </c>
      <c r="L567" s="1" t="s">
        <v>41</v>
      </c>
      <c r="M567" s="1" t="s">
        <v>40</v>
      </c>
      <c r="N567" s="1" t="s">
        <v>14</v>
      </c>
      <c r="O567" t="s">
        <v>15</v>
      </c>
    </row>
    <row r="568" spans="1:15" x14ac:dyDescent="0.25">
      <c r="A568" s="1" t="s">
        <v>866</v>
      </c>
      <c r="B568" s="1" t="s">
        <v>865</v>
      </c>
      <c r="C568" s="2">
        <v>45263.615972222222</v>
      </c>
      <c r="D568" s="4">
        <f t="shared" si="33"/>
        <v>45263</v>
      </c>
      <c r="E568" s="6">
        <v>24.202777777774202</v>
      </c>
      <c r="F568" s="6" t="str" cm="1">
        <f t="array" ref="F568">_xlfn.IFS(
     AND(HOUR(session_data[[#This Row],[Time]])&gt;5,HOUR(session_data[[#This Row],[Time]])&lt;12),"Morning",
     AND(HOUR(session_data[[#This Row],[Time]])&gt;=12,HOUR(session_data[[#This Row],[Time]])&lt;17),"Afternoon",
     AND(HOUR(session_data[[#This Row],[Time]])&gt;=17,HOUR(session_data[[#This Row],[Time]])&lt;21),"Evening",
     TRUE,"Night"
)</f>
        <v>Night</v>
      </c>
      <c r="G568" s="1">
        <f t="shared" si="34"/>
        <v>2023</v>
      </c>
      <c r="H568" s="1" t="str">
        <f t="shared" si="35"/>
        <v>Dec</v>
      </c>
      <c r="I568" s="1" t="str">
        <f t="shared" si="32"/>
        <v>Sun</v>
      </c>
      <c r="J568" s="1" t="s">
        <v>18</v>
      </c>
      <c r="K568" s="1" t="s">
        <v>36</v>
      </c>
      <c r="L568" s="1" t="s">
        <v>41</v>
      </c>
      <c r="M568" s="1" t="s">
        <v>40</v>
      </c>
      <c r="N568" s="1" t="s">
        <v>22</v>
      </c>
      <c r="O568" t="s">
        <v>15</v>
      </c>
    </row>
    <row r="569" spans="1:15" x14ac:dyDescent="0.25">
      <c r="A569" s="1" t="s">
        <v>867</v>
      </c>
      <c r="B569" s="1" t="s">
        <v>865</v>
      </c>
      <c r="C569" s="3">
        <v>45012.699305555558</v>
      </c>
      <c r="D569" s="4">
        <f t="shared" si="33"/>
        <v>45012</v>
      </c>
      <c r="E569" s="6">
        <v>24.244444444440902</v>
      </c>
      <c r="F569" s="6" t="str" cm="1">
        <f t="array" ref="F569">_xlfn.IFS(
     AND(HOUR(session_data[[#This Row],[Time]])&gt;5,HOUR(session_data[[#This Row],[Time]])&lt;12),"Morning",
     AND(HOUR(session_data[[#This Row],[Time]])&gt;=12,HOUR(session_data[[#This Row],[Time]])&lt;17),"Afternoon",
     AND(HOUR(session_data[[#This Row],[Time]])&gt;=17,HOUR(session_data[[#This Row],[Time]])&lt;21),"Evening",
     TRUE,"Night"
)</f>
        <v>Night</v>
      </c>
      <c r="G569" s="1">
        <f t="shared" si="34"/>
        <v>2023</v>
      </c>
      <c r="H569" s="1" t="str">
        <f t="shared" si="35"/>
        <v>Mar</v>
      </c>
      <c r="I569" s="1" t="str">
        <f t="shared" si="32"/>
        <v>Mon</v>
      </c>
      <c r="J569" s="1" t="s">
        <v>18</v>
      </c>
      <c r="K569" s="1" t="s">
        <v>36</v>
      </c>
      <c r="L569" s="1" t="s">
        <v>41</v>
      </c>
      <c r="M569" s="1" t="s">
        <v>40</v>
      </c>
      <c r="N569" s="1" t="s">
        <v>22</v>
      </c>
      <c r="O569" t="s">
        <v>15</v>
      </c>
    </row>
    <row r="570" spans="1:15" x14ac:dyDescent="0.25">
      <c r="A570" s="1" t="s">
        <v>868</v>
      </c>
      <c r="B570" s="1" t="s">
        <v>869</v>
      </c>
      <c r="C570" s="2">
        <v>45234.328472222223</v>
      </c>
      <c r="D570" s="4">
        <f t="shared" si="33"/>
        <v>45234</v>
      </c>
      <c r="E570" s="6">
        <v>24.286111111107601</v>
      </c>
      <c r="F570" s="6" t="str" cm="1">
        <f t="array" ref="F570">_xlfn.IFS(
     AND(HOUR(session_data[[#This Row],[Time]])&gt;5,HOUR(session_data[[#This Row],[Time]])&lt;12),"Morning",
     AND(HOUR(session_data[[#This Row],[Time]])&gt;=12,HOUR(session_data[[#This Row],[Time]])&lt;17),"Afternoon",
     AND(HOUR(session_data[[#This Row],[Time]])&gt;=17,HOUR(session_data[[#This Row],[Time]])&lt;21),"Evening",
     TRUE,"Night"
)</f>
        <v>Morning</v>
      </c>
      <c r="G570" s="1">
        <f t="shared" si="34"/>
        <v>2023</v>
      </c>
      <c r="H570" s="1" t="str">
        <f t="shared" si="35"/>
        <v>Nov</v>
      </c>
      <c r="I570" s="1" t="str">
        <f t="shared" si="32"/>
        <v>Sat</v>
      </c>
      <c r="J570" s="1" t="s">
        <v>18</v>
      </c>
      <c r="K570" s="1" t="s">
        <v>12</v>
      </c>
      <c r="L570" s="1" t="s">
        <v>20</v>
      </c>
      <c r="M570" s="1" t="s">
        <v>19</v>
      </c>
      <c r="N570" s="1" t="s">
        <v>14</v>
      </c>
      <c r="O570" t="s">
        <v>15</v>
      </c>
    </row>
    <row r="571" spans="1:15" x14ac:dyDescent="0.25">
      <c r="A571" s="1" t="s">
        <v>870</v>
      </c>
      <c r="B571" s="1" t="s">
        <v>869</v>
      </c>
      <c r="C571" s="2">
        <v>44990.745138888888</v>
      </c>
      <c r="D571" s="4">
        <f t="shared" si="33"/>
        <v>44990</v>
      </c>
      <c r="E571" s="6">
        <v>24.327777777774202</v>
      </c>
      <c r="F571" s="6" t="str" cm="1">
        <f t="array" ref="F571">_xlfn.IFS(
     AND(HOUR(session_data[[#This Row],[Time]])&gt;5,HOUR(session_data[[#This Row],[Time]])&lt;12),"Morning",
     AND(HOUR(session_data[[#This Row],[Time]])&gt;=12,HOUR(session_data[[#This Row],[Time]])&lt;17),"Afternoon",
     AND(HOUR(session_data[[#This Row],[Time]])&gt;=17,HOUR(session_data[[#This Row],[Time]])&lt;21),"Evening",
     TRUE,"Night"
)</f>
        <v>Morning</v>
      </c>
      <c r="G571" s="1">
        <f t="shared" si="34"/>
        <v>2023</v>
      </c>
      <c r="H571" s="1" t="str">
        <f t="shared" si="35"/>
        <v>Mar</v>
      </c>
      <c r="I571" s="1" t="str">
        <f t="shared" si="32"/>
        <v>Sun</v>
      </c>
      <c r="J571" s="1" t="s">
        <v>18</v>
      </c>
      <c r="K571" s="1" t="s">
        <v>12</v>
      </c>
      <c r="L571" s="1" t="s">
        <v>20</v>
      </c>
      <c r="M571" s="1" t="s">
        <v>19</v>
      </c>
      <c r="N571" s="1" t="s">
        <v>22</v>
      </c>
      <c r="O571" t="s">
        <v>15</v>
      </c>
    </row>
    <row r="572" spans="1:15" x14ac:dyDescent="0.25">
      <c r="A572" s="1" t="s">
        <v>871</v>
      </c>
      <c r="B572" s="1" t="s">
        <v>869</v>
      </c>
      <c r="C572" s="3">
        <v>45064.620138888888</v>
      </c>
      <c r="D572" s="4">
        <f t="shared" si="33"/>
        <v>45064</v>
      </c>
      <c r="E572" s="6">
        <v>24.369444444440902</v>
      </c>
      <c r="F572" s="6" t="str" cm="1">
        <f t="array" ref="F572">_xlfn.IFS(
     AND(HOUR(session_data[[#This Row],[Time]])&gt;5,HOUR(session_data[[#This Row],[Time]])&lt;12),"Morning",
     AND(HOUR(session_data[[#This Row],[Time]])&gt;=12,HOUR(session_data[[#This Row],[Time]])&lt;17),"Afternoon",
     AND(HOUR(session_data[[#This Row],[Time]])&gt;=17,HOUR(session_data[[#This Row],[Time]])&lt;21),"Evening",
     TRUE,"Night"
)</f>
        <v>Morning</v>
      </c>
      <c r="G572" s="1">
        <f t="shared" si="34"/>
        <v>2023</v>
      </c>
      <c r="H572" s="1" t="str">
        <f t="shared" si="35"/>
        <v>May</v>
      </c>
      <c r="I572" s="1" t="str">
        <f t="shared" si="32"/>
        <v>Thu</v>
      </c>
      <c r="J572" s="1" t="s">
        <v>18</v>
      </c>
      <c r="K572" s="1" t="s">
        <v>12</v>
      </c>
      <c r="L572" s="1" t="s">
        <v>20</v>
      </c>
      <c r="M572" s="1" t="s">
        <v>19</v>
      </c>
      <c r="N572" s="1" t="s">
        <v>22</v>
      </c>
      <c r="O572" t="s">
        <v>15</v>
      </c>
    </row>
    <row r="573" spans="1:15" x14ac:dyDescent="0.25">
      <c r="A573" s="1" t="s">
        <v>872</v>
      </c>
      <c r="B573" s="1" t="s">
        <v>873</v>
      </c>
      <c r="C573" s="2">
        <v>44988.711111111108</v>
      </c>
      <c r="D573" s="4">
        <f t="shared" si="33"/>
        <v>44988</v>
      </c>
      <c r="E573" s="6">
        <v>24.411111111107601</v>
      </c>
      <c r="F573" s="6" t="str" cm="1">
        <f t="array" ref="F573">_xlfn.IFS(
     AND(HOUR(session_data[[#This Row],[Time]])&gt;5,HOUR(session_data[[#This Row],[Time]])&lt;12),"Morning",
     AND(HOUR(session_data[[#This Row],[Time]])&gt;=12,HOUR(session_data[[#This Row],[Time]])&lt;17),"Afternoon",
     AND(HOUR(session_data[[#This Row],[Time]])&gt;=17,HOUR(session_data[[#This Row],[Time]])&lt;21),"Evening",
     TRUE,"Night"
)</f>
        <v>Morning</v>
      </c>
      <c r="G573" s="1">
        <f t="shared" si="34"/>
        <v>2023</v>
      </c>
      <c r="H573" s="1" t="str">
        <f t="shared" si="35"/>
        <v>Mar</v>
      </c>
      <c r="I573" s="1" t="str">
        <f t="shared" si="32"/>
        <v>Fri</v>
      </c>
      <c r="J573" s="1" t="s">
        <v>11</v>
      </c>
      <c r="K573" s="1" t="s">
        <v>12</v>
      </c>
      <c r="L573" s="1" t="s">
        <v>41</v>
      </c>
      <c r="M573" s="1" t="s">
        <v>40</v>
      </c>
      <c r="N573" s="1" t="s">
        <v>14</v>
      </c>
      <c r="O573" t="s">
        <v>45</v>
      </c>
    </row>
    <row r="574" spans="1:15" x14ac:dyDescent="0.25">
      <c r="A574" s="1" t="s">
        <v>874</v>
      </c>
      <c r="B574" s="1" t="s">
        <v>875</v>
      </c>
      <c r="C574" s="3">
        <v>45222.973611111112</v>
      </c>
      <c r="D574" s="4">
        <f t="shared" si="33"/>
        <v>45222</v>
      </c>
      <c r="E574" s="6">
        <v>24.452777777774202</v>
      </c>
      <c r="F574" s="6" t="str" cm="1">
        <f t="array" ref="F574">_xlfn.IFS(
     AND(HOUR(session_data[[#This Row],[Time]])&gt;5,HOUR(session_data[[#This Row],[Time]])&lt;12),"Morning",
     AND(HOUR(session_data[[#This Row],[Time]])&gt;=12,HOUR(session_data[[#This Row],[Time]])&lt;17),"Afternoon",
     AND(HOUR(session_data[[#This Row],[Time]])&gt;=17,HOUR(session_data[[#This Row],[Time]])&lt;21),"Evening",
     TRUE,"Night"
)</f>
        <v>Morning</v>
      </c>
      <c r="G574" s="1">
        <f t="shared" si="34"/>
        <v>2023</v>
      </c>
      <c r="H574" s="1" t="str">
        <f t="shared" si="35"/>
        <v>Oct</v>
      </c>
      <c r="I574" s="1" t="str">
        <f t="shared" si="32"/>
        <v>Mon</v>
      </c>
      <c r="J574" s="1" t="s">
        <v>11</v>
      </c>
      <c r="K574" s="1" t="s">
        <v>29</v>
      </c>
      <c r="L574" s="1" t="s">
        <v>13</v>
      </c>
      <c r="M574" s="1" t="s">
        <v>32</v>
      </c>
      <c r="N574" s="1" t="s">
        <v>14</v>
      </c>
      <c r="O574" t="s">
        <v>45</v>
      </c>
    </row>
    <row r="575" spans="1:15" x14ac:dyDescent="0.25">
      <c r="A575" s="1" t="s">
        <v>876</v>
      </c>
      <c r="B575" s="1" t="s">
        <v>877</v>
      </c>
      <c r="C575" s="2">
        <v>45079.71875</v>
      </c>
      <c r="D575" s="4">
        <f t="shared" si="33"/>
        <v>45079</v>
      </c>
      <c r="E575" s="6">
        <v>24.494444444440902</v>
      </c>
      <c r="F575" s="6" t="str" cm="1">
        <f t="array" ref="F575">_xlfn.IFS(
     AND(HOUR(session_data[[#This Row],[Time]])&gt;5,HOUR(session_data[[#This Row],[Time]])&lt;12),"Morning",
     AND(HOUR(session_data[[#This Row],[Time]])&gt;=12,HOUR(session_data[[#This Row],[Time]])&lt;17),"Afternoon",
     AND(HOUR(session_data[[#This Row],[Time]])&gt;=17,HOUR(session_data[[#This Row],[Time]])&lt;21),"Evening",
     TRUE,"Night"
)</f>
        <v>Morning</v>
      </c>
      <c r="G575" s="1">
        <f t="shared" si="34"/>
        <v>2023</v>
      </c>
      <c r="H575" s="1" t="str">
        <f t="shared" si="35"/>
        <v>Jun</v>
      </c>
      <c r="I575" s="1" t="str">
        <f t="shared" si="32"/>
        <v>Fri</v>
      </c>
      <c r="J575" s="1" t="s">
        <v>18</v>
      </c>
      <c r="K575" s="1" t="s">
        <v>29</v>
      </c>
      <c r="L575" s="1" t="s">
        <v>13</v>
      </c>
      <c r="M575" s="1" t="s">
        <v>32</v>
      </c>
      <c r="N575" s="1" t="s">
        <v>14</v>
      </c>
      <c r="O575" t="s">
        <v>45</v>
      </c>
    </row>
    <row r="576" spans="1:15" x14ac:dyDescent="0.25">
      <c r="A576" s="1" t="s">
        <v>878</v>
      </c>
      <c r="B576" s="1" t="s">
        <v>877</v>
      </c>
      <c r="C576" s="3">
        <v>44981.885416666664</v>
      </c>
      <c r="D576" s="4">
        <f t="shared" si="33"/>
        <v>44981</v>
      </c>
      <c r="E576" s="6">
        <v>24.536111111107601</v>
      </c>
      <c r="F576" s="6" t="str" cm="1">
        <f t="array" ref="F576">_xlfn.IFS(
     AND(HOUR(session_data[[#This Row],[Time]])&gt;5,HOUR(session_data[[#This Row],[Time]])&lt;12),"Morning",
     AND(HOUR(session_data[[#This Row],[Time]])&gt;=12,HOUR(session_data[[#This Row],[Time]])&lt;17),"Afternoon",
     AND(HOUR(session_data[[#This Row],[Time]])&gt;=17,HOUR(session_data[[#This Row],[Time]])&lt;21),"Evening",
     TRUE,"Night"
)</f>
        <v>Afternoon</v>
      </c>
      <c r="G576" s="1">
        <f t="shared" si="34"/>
        <v>2023</v>
      </c>
      <c r="H576" s="1" t="str">
        <f t="shared" si="35"/>
        <v>Feb</v>
      </c>
      <c r="I576" s="1" t="str">
        <f t="shared" si="32"/>
        <v>Fri</v>
      </c>
      <c r="J576" s="1" t="s">
        <v>18</v>
      </c>
      <c r="K576" s="1" t="s">
        <v>29</v>
      </c>
      <c r="L576" s="1" t="s">
        <v>13</v>
      </c>
      <c r="M576" s="1" t="s">
        <v>32</v>
      </c>
      <c r="N576" s="1" t="s">
        <v>22</v>
      </c>
      <c r="O576" t="s">
        <v>45</v>
      </c>
    </row>
    <row r="577" spans="1:15" x14ac:dyDescent="0.25">
      <c r="A577" s="1" t="s">
        <v>879</v>
      </c>
      <c r="B577" s="1" t="s">
        <v>877</v>
      </c>
      <c r="C577" s="3">
        <v>45012.760416666664</v>
      </c>
      <c r="D577" s="4">
        <f t="shared" si="33"/>
        <v>45012</v>
      </c>
      <c r="E577" s="6">
        <v>24.577777777774202</v>
      </c>
      <c r="F577" s="6" t="str" cm="1">
        <f t="array" ref="F577">_xlfn.IFS(
     AND(HOUR(session_data[[#This Row],[Time]])&gt;5,HOUR(session_data[[#This Row],[Time]])&lt;12),"Morning",
     AND(HOUR(session_data[[#This Row],[Time]])&gt;=12,HOUR(session_data[[#This Row],[Time]])&lt;17),"Afternoon",
     AND(HOUR(session_data[[#This Row],[Time]])&gt;=17,HOUR(session_data[[#This Row],[Time]])&lt;21),"Evening",
     TRUE,"Night"
)</f>
        <v>Afternoon</v>
      </c>
      <c r="G577" s="1">
        <f t="shared" si="34"/>
        <v>2023</v>
      </c>
      <c r="H577" s="1" t="str">
        <f t="shared" si="35"/>
        <v>Mar</v>
      </c>
      <c r="I577" s="1" t="str">
        <f t="shared" si="32"/>
        <v>Mon</v>
      </c>
      <c r="J577" s="1" t="s">
        <v>18</v>
      </c>
      <c r="K577" s="1" t="s">
        <v>29</v>
      </c>
      <c r="L577" s="1" t="s">
        <v>13</v>
      </c>
      <c r="M577" s="1" t="s">
        <v>32</v>
      </c>
      <c r="N577" s="1" t="s">
        <v>22</v>
      </c>
      <c r="O577" t="s">
        <v>45</v>
      </c>
    </row>
    <row r="578" spans="1:15" x14ac:dyDescent="0.25">
      <c r="A578" s="1" t="s">
        <v>880</v>
      </c>
      <c r="B578" s="1" t="s">
        <v>881</v>
      </c>
      <c r="C578" s="3">
        <v>45103.280555555553</v>
      </c>
      <c r="D578" s="4">
        <f t="shared" si="33"/>
        <v>45103</v>
      </c>
      <c r="E578" s="6">
        <v>24.619444444440902</v>
      </c>
      <c r="F578" s="6" t="str" cm="1">
        <f t="array" ref="F578">_xlfn.IFS(
     AND(HOUR(session_data[[#This Row],[Time]])&gt;5,HOUR(session_data[[#This Row],[Time]])&lt;12),"Morning",
     AND(HOUR(session_data[[#This Row],[Time]])&gt;=12,HOUR(session_data[[#This Row],[Time]])&lt;17),"Afternoon",
     AND(HOUR(session_data[[#This Row],[Time]])&gt;=17,HOUR(session_data[[#This Row],[Time]])&lt;21),"Evening",
     TRUE,"Night"
)</f>
        <v>Afternoon</v>
      </c>
      <c r="G578" s="1">
        <f t="shared" si="34"/>
        <v>2023</v>
      </c>
      <c r="H578" s="1" t="str">
        <f t="shared" si="35"/>
        <v>Jun</v>
      </c>
      <c r="I578" s="1" t="str">
        <f t="shared" ref="I578:I641" si="36">TEXT(D578,"DDD")</f>
        <v>Mon</v>
      </c>
      <c r="J578" s="1" t="s">
        <v>44</v>
      </c>
      <c r="K578" s="1" t="s">
        <v>29</v>
      </c>
      <c r="L578" s="1" t="s">
        <v>30</v>
      </c>
      <c r="M578" s="1" t="s">
        <v>32</v>
      </c>
      <c r="N578" s="1" t="s">
        <v>14</v>
      </c>
      <c r="O578" t="s">
        <v>15</v>
      </c>
    </row>
    <row r="579" spans="1:15" x14ac:dyDescent="0.25">
      <c r="A579" s="1" t="s">
        <v>882</v>
      </c>
      <c r="B579" s="1" t="s">
        <v>881</v>
      </c>
      <c r="C579" s="3">
        <v>45125.780555555553</v>
      </c>
      <c r="D579" s="4">
        <f t="shared" ref="D579:D642" si="37">INT(C579)</f>
        <v>45125</v>
      </c>
      <c r="E579" s="6">
        <v>24.661111111107601</v>
      </c>
      <c r="F579" s="6" t="str" cm="1">
        <f t="array" ref="F579">_xlfn.IFS(
     AND(HOUR(session_data[[#This Row],[Time]])&gt;5,HOUR(session_data[[#This Row],[Time]])&lt;12),"Morning",
     AND(HOUR(session_data[[#This Row],[Time]])&gt;=12,HOUR(session_data[[#This Row],[Time]])&lt;17),"Afternoon",
     AND(HOUR(session_data[[#This Row],[Time]])&gt;=17,HOUR(session_data[[#This Row],[Time]])&lt;21),"Evening",
     TRUE,"Night"
)</f>
        <v>Afternoon</v>
      </c>
      <c r="G579" s="1">
        <f t="shared" ref="G579:G642" si="38">YEAR(D579)</f>
        <v>2023</v>
      </c>
      <c r="H579" s="1" t="str">
        <f t="shared" ref="H579:H642" si="39">TEXT(D579,"MMM")</f>
        <v>Jul</v>
      </c>
      <c r="I579" s="1" t="str">
        <f t="shared" si="36"/>
        <v>Tue</v>
      </c>
      <c r="J579" s="1" t="s">
        <v>44</v>
      </c>
      <c r="K579" s="1" t="s">
        <v>29</v>
      </c>
      <c r="L579" s="1" t="s">
        <v>30</v>
      </c>
      <c r="M579" s="1" t="s">
        <v>32</v>
      </c>
      <c r="N579" s="1" t="s">
        <v>22</v>
      </c>
      <c r="O579" t="s">
        <v>15</v>
      </c>
    </row>
    <row r="580" spans="1:15" x14ac:dyDescent="0.25">
      <c r="A580" s="1" t="s">
        <v>883</v>
      </c>
      <c r="B580" s="1" t="s">
        <v>881</v>
      </c>
      <c r="C580" s="2">
        <v>45054.488888888889</v>
      </c>
      <c r="D580" s="4">
        <f t="shared" si="37"/>
        <v>45054</v>
      </c>
      <c r="E580" s="6">
        <v>24.702777777774202</v>
      </c>
      <c r="F580" s="6" t="str" cm="1">
        <f t="array" ref="F580">_xlfn.IFS(
     AND(HOUR(session_data[[#This Row],[Time]])&gt;5,HOUR(session_data[[#This Row],[Time]])&lt;12),"Morning",
     AND(HOUR(session_data[[#This Row],[Time]])&gt;=12,HOUR(session_data[[#This Row],[Time]])&lt;17),"Afternoon",
     AND(HOUR(session_data[[#This Row],[Time]])&gt;=17,HOUR(session_data[[#This Row],[Time]])&lt;21),"Evening",
     TRUE,"Night"
)</f>
        <v>Afternoon</v>
      </c>
      <c r="G580" s="1">
        <f t="shared" si="38"/>
        <v>2023</v>
      </c>
      <c r="H580" s="1" t="str">
        <f t="shared" si="39"/>
        <v>May</v>
      </c>
      <c r="I580" s="1" t="str">
        <f t="shared" si="36"/>
        <v>Mon</v>
      </c>
      <c r="J580" s="1" t="s">
        <v>44</v>
      </c>
      <c r="K580" s="1" t="s">
        <v>29</v>
      </c>
      <c r="L580" s="1" t="s">
        <v>30</v>
      </c>
      <c r="M580" s="1" t="s">
        <v>32</v>
      </c>
      <c r="N580" s="1" t="s">
        <v>22</v>
      </c>
      <c r="O580" t="s">
        <v>15</v>
      </c>
    </row>
    <row r="581" spans="1:15" x14ac:dyDescent="0.25">
      <c r="A581" s="1" t="s">
        <v>884</v>
      </c>
      <c r="B581" s="1" t="s">
        <v>885</v>
      </c>
      <c r="C581" s="2">
        <v>45263.986805555556</v>
      </c>
      <c r="D581" s="4">
        <f t="shared" si="37"/>
        <v>45263</v>
      </c>
      <c r="E581" s="6">
        <v>24.744444444440902</v>
      </c>
      <c r="F581" s="6" t="str" cm="1">
        <f t="array" ref="F581">_xlfn.IFS(
     AND(HOUR(session_data[[#This Row],[Time]])&gt;5,HOUR(session_data[[#This Row],[Time]])&lt;12),"Morning",
     AND(HOUR(session_data[[#This Row],[Time]])&gt;=12,HOUR(session_data[[#This Row],[Time]])&lt;17),"Afternoon",
     AND(HOUR(session_data[[#This Row],[Time]])&gt;=17,HOUR(session_data[[#This Row],[Time]])&lt;21),"Evening",
     TRUE,"Night"
)</f>
        <v>Evening</v>
      </c>
      <c r="G581" s="1">
        <f t="shared" si="38"/>
        <v>2023</v>
      </c>
      <c r="H581" s="1" t="str">
        <f t="shared" si="39"/>
        <v>Dec</v>
      </c>
      <c r="I581" s="1" t="str">
        <f t="shared" si="36"/>
        <v>Sun</v>
      </c>
      <c r="J581" s="1" t="s">
        <v>28</v>
      </c>
      <c r="K581" s="1" t="s">
        <v>12</v>
      </c>
      <c r="L581" s="1" t="s">
        <v>59</v>
      </c>
      <c r="M581" s="1" t="s">
        <v>19</v>
      </c>
      <c r="N581" s="1" t="s">
        <v>14</v>
      </c>
      <c r="O581" t="s">
        <v>15</v>
      </c>
    </row>
    <row r="582" spans="1:15" x14ac:dyDescent="0.25">
      <c r="A582" s="1" t="s">
        <v>886</v>
      </c>
      <c r="B582" s="1" t="s">
        <v>885</v>
      </c>
      <c r="C582" s="3">
        <v>45009.361805555556</v>
      </c>
      <c r="D582" s="4">
        <f t="shared" si="37"/>
        <v>45009</v>
      </c>
      <c r="E582" s="6">
        <v>24.786111111107601</v>
      </c>
      <c r="F582" s="6" t="str" cm="1">
        <f t="array" ref="F582">_xlfn.IFS(
     AND(HOUR(session_data[[#This Row],[Time]])&gt;5,HOUR(session_data[[#This Row],[Time]])&lt;12),"Morning",
     AND(HOUR(session_data[[#This Row],[Time]])&gt;=12,HOUR(session_data[[#This Row],[Time]])&lt;17),"Afternoon",
     AND(HOUR(session_data[[#This Row],[Time]])&gt;=17,HOUR(session_data[[#This Row],[Time]])&lt;21),"Evening",
     TRUE,"Night"
)</f>
        <v>Evening</v>
      </c>
      <c r="G582" s="1">
        <f t="shared" si="38"/>
        <v>2023</v>
      </c>
      <c r="H582" s="1" t="str">
        <f t="shared" si="39"/>
        <v>Mar</v>
      </c>
      <c r="I582" s="1" t="str">
        <f t="shared" si="36"/>
        <v>Fri</v>
      </c>
      <c r="J582" s="1" t="s">
        <v>28</v>
      </c>
      <c r="K582" s="1" t="s">
        <v>12</v>
      </c>
      <c r="L582" s="1" t="s">
        <v>59</v>
      </c>
      <c r="M582" s="1" t="s">
        <v>19</v>
      </c>
      <c r="N582" s="1" t="s">
        <v>22</v>
      </c>
      <c r="O582" t="s">
        <v>15</v>
      </c>
    </row>
    <row r="583" spans="1:15" x14ac:dyDescent="0.25">
      <c r="A583" s="1" t="s">
        <v>887</v>
      </c>
      <c r="B583" s="1" t="s">
        <v>885</v>
      </c>
      <c r="C583" s="3">
        <v>45036.820138888892</v>
      </c>
      <c r="D583" s="4">
        <f t="shared" si="37"/>
        <v>45036</v>
      </c>
      <c r="E583" s="6">
        <v>24.827777777774202</v>
      </c>
      <c r="F583" s="6" t="str" cm="1">
        <f t="array" ref="F583">_xlfn.IFS(
     AND(HOUR(session_data[[#This Row],[Time]])&gt;5,HOUR(session_data[[#This Row],[Time]])&lt;12),"Morning",
     AND(HOUR(session_data[[#This Row],[Time]])&gt;=12,HOUR(session_data[[#This Row],[Time]])&lt;17),"Afternoon",
     AND(HOUR(session_data[[#This Row],[Time]])&gt;=17,HOUR(session_data[[#This Row],[Time]])&lt;21),"Evening",
     TRUE,"Night"
)</f>
        <v>Evening</v>
      </c>
      <c r="G583" s="1">
        <f t="shared" si="38"/>
        <v>2023</v>
      </c>
      <c r="H583" s="1" t="str">
        <f t="shared" si="39"/>
        <v>Apr</v>
      </c>
      <c r="I583" s="1" t="str">
        <f t="shared" si="36"/>
        <v>Thu</v>
      </c>
      <c r="J583" s="1" t="s">
        <v>28</v>
      </c>
      <c r="K583" s="1" t="s">
        <v>12</v>
      </c>
      <c r="L583" s="1" t="s">
        <v>59</v>
      </c>
      <c r="M583" s="1" t="s">
        <v>19</v>
      </c>
      <c r="N583" s="1" t="s">
        <v>22</v>
      </c>
      <c r="O583" t="s">
        <v>15</v>
      </c>
    </row>
    <row r="584" spans="1:15" x14ac:dyDescent="0.25">
      <c r="A584" s="1" t="s">
        <v>888</v>
      </c>
      <c r="B584" s="1" t="s">
        <v>885</v>
      </c>
      <c r="C584" s="2">
        <v>45082.861805555556</v>
      </c>
      <c r="D584" s="4">
        <f t="shared" si="37"/>
        <v>45082</v>
      </c>
      <c r="E584" s="6">
        <v>24.869444444440902</v>
      </c>
      <c r="F584" s="6" t="str" cm="1">
        <f t="array" ref="F584">_xlfn.IFS(
     AND(HOUR(session_data[[#This Row],[Time]])&gt;5,HOUR(session_data[[#This Row],[Time]])&lt;12),"Morning",
     AND(HOUR(session_data[[#This Row],[Time]])&gt;=12,HOUR(session_data[[#This Row],[Time]])&lt;17),"Afternoon",
     AND(HOUR(session_data[[#This Row],[Time]])&gt;=17,HOUR(session_data[[#This Row],[Time]])&lt;21),"Evening",
     TRUE,"Night"
)</f>
        <v>Evening</v>
      </c>
      <c r="G584" s="1">
        <f t="shared" si="38"/>
        <v>2023</v>
      </c>
      <c r="H584" s="1" t="str">
        <f t="shared" si="39"/>
        <v>Jun</v>
      </c>
      <c r="I584" s="1" t="str">
        <f t="shared" si="36"/>
        <v>Mon</v>
      </c>
      <c r="J584" s="1" t="s">
        <v>28</v>
      </c>
      <c r="K584" s="1" t="s">
        <v>12</v>
      </c>
      <c r="L584" s="1" t="s">
        <v>59</v>
      </c>
      <c r="M584" s="1" t="s">
        <v>19</v>
      </c>
      <c r="N584" s="1" t="s">
        <v>22</v>
      </c>
      <c r="O584" t="s">
        <v>15</v>
      </c>
    </row>
    <row r="585" spans="1:15" x14ac:dyDescent="0.25">
      <c r="A585" s="1" t="s">
        <v>889</v>
      </c>
      <c r="B585" s="1" t="s">
        <v>890</v>
      </c>
      <c r="C585" s="2">
        <v>45079.5</v>
      </c>
      <c r="D585" s="4">
        <f t="shared" si="37"/>
        <v>45079</v>
      </c>
      <c r="E585" s="6">
        <v>24.911111111107601</v>
      </c>
      <c r="F585" s="6" t="str" cm="1">
        <f t="array" ref="F585">_xlfn.IFS(
     AND(HOUR(session_data[[#This Row],[Time]])&gt;5,HOUR(session_data[[#This Row],[Time]])&lt;12),"Morning",
     AND(HOUR(session_data[[#This Row],[Time]])&gt;=12,HOUR(session_data[[#This Row],[Time]])&lt;17),"Afternoon",
     AND(HOUR(session_data[[#This Row],[Time]])&gt;=17,HOUR(session_data[[#This Row],[Time]])&lt;21),"Evening",
     TRUE,"Night"
)</f>
        <v>Night</v>
      </c>
      <c r="G585" s="1">
        <f t="shared" si="38"/>
        <v>2023</v>
      </c>
      <c r="H585" s="1" t="str">
        <f t="shared" si="39"/>
        <v>Jun</v>
      </c>
      <c r="I585" s="1" t="str">
        <f t="shared" si="36"/>
        <v>Fri</v>
      </c>
      <c r="J585" s="1" t="s">
        <v>11</v>
      </c>
      <c r="K585" s="1" t="s">
        <v>12</v>
      </c>
      <c r="L585" s="1" t="s">
        <v>119</v>
      </c>
      <c r="M585" s="1" t="s">
        <v>40</v>
      </c>
      <c r="N585" s="1" t="s">
        <v>14</v>
      </c>
      <c r="O585" t="s">
        <v>15</v>
      </c>
    </row>
    <row r="586" spans="1:15" x14ac:dyDescent="0.25">
      <c r="A586" s="1" t="s">
        <v>891</v>
      </c>
      <c r="B586" s="1" t="s">
        <v>890</v>
      </c>
      <c r="C586" s="2">
        <v>45080.291666666664</v>
      </c>
      <c r="D586" s="4">
        <f t="shared" si="37"/>
        <v>45080</v>
      </c>
      <c r="E586" s="6">
        <v>24.952777777774202</v>
      </c>
      <c r="F586" s="6" t="str" cm="1">
        <f t="array" ref="F586">_xlfn.IFS(
     AND(HOUR(session_data[[#This Row],[Time]])&gt;5,HOUR(session_data[[#This Row],[Time]])&lt;12),"Morning",
     AND(HOUR(session_data[[#This Row],[Time]])&gt;=12,HOUR(session_data[[#This Row],[Time]])&lt;17),"Afternoon",
     AND(HOUR(session_data[[#This Row],[Time]])&gt;=17,HOUR(session_data[[#This Row],[Time]])&lt;21),"Evening",
     TRUE,"Night"
)</f>
        <v>Night</v>
      </c>
      <c r="G586" s="1">
        <f t="shared" si="38"/>
        <v>2023</v>
      </c>
      <c r="H586" s="1" t="str">
        <f t="shared" si="39"/>
        <v>Jun</v>
      </c>
      <c r="I586" s="1" t="str">
        <f t="shared" si="36"/>
        <v>Sat</v>
      </c>
      <c r="J586" s="1" t="s">
        <v>11</v>
      </c>
      <c r="K586" s="1" t="s">
        <v>12</v>
      </c>
      <c r="L586" s="1" t="s">
        <v>119</v>
      </c>
      <c r="M586" s="1" t="s">
        <v>40</v>
      </c>
      <c r="N586" s="1" t="s">
        <v>22</v>
      </c>
      <c r="O586" t="s">
        <v>15</v>
      </c>
    </row>
    <row r="587" spans="1:15" x14ac:dyDescent="0.25">
      <c r="A587" s="1" t="s">
        <v>892</v>
      </c>
      <c r="B587" s="1" t="s">
        <v>890</v>
      </c>
      <c r="C587" s="3">
        <v>45003.208333333336</v>
      </c>
      <c r="D587" s="4">
        <f t="shared" si="37"/>
        <v>45003</v>
      </c>
      <c r="E587" s="6">
        <v>24.994444444440902</v>
      </c>
      <c r="F587" s="6" t="str" cm="1">
        <f t="array" ref="F587">_xlfn.IFS(
     AND(HOUR(session_data[[#This Row],[Time]])&gt;5,HOUR(session_data[[#This Row],[Time]])&lt;12),"Morning",
     AND(HOUR(session_data[[#This Row],[Time]])&gt;=12,HOUR(session_data[[#This Row],[Time]])&lt;17),"Afternoon",
     AND(HOUR(session_data[[#This Row],[Time]])&gt;=17,HOUR(session_data[[#This Row],[Time]])&lt;21),"Evening",
     TRUE,"Night"
)</f>
        <v>Night</v>
      </c>
      <c r="G587" s="1">
        <f t="shared" si="38"/>
        <v>2023</v>
      </c>
      <c r="H587" s="1" t="str">
        <f t="shared" si="39"/>
        <v>Mar</v>
      </c>
      <c r="I587" s="1" t="str">
        <f t="shared" si="36"/>
        <v>Sat</v>
      </c>
      <c r="J587" s="1" t="s">
        <v>11</v>
      </c>
      <c r="K587" s="1" t="s">
        <v>12</v>
      </c>
      <c r="L587" s="1" t="s">
        <v>119</v>
      </c>
      <c r="M587" s="1" t="s">
        <v>40</v>
      </c>
      <c r="N587" s="1" t="s">
        <v>22</v>
      </c>
      <c r="O587" t="s">
        <v>15</v>
      </c>
    </row>
    <row r="588" spans="1:15" x14ac:dyDescent="0.25">
      <c r="A588" s="1" t="s">
        <v>893</v>
      </c>
      <c r="B588" s="1" t="s">
        <v>890</v>
      </c>
      <c r="C588" s="2">
        <v>45050.666666666664</v>
      </c>
      <c r="D588" s="4">
        <f t="shared" si="37"/>
        <v>45050</v>
      </c>
      <c r="E588" s="6">
        <v>25.036111111107601</v>
      </c>
      <c r="F588" s="6" t="str" cm="1">
        <f t="array" ref="F588">_xlfn.IFS(
     AND(HOUR(session_data[[#This Row],[Time]])&gt;5,HOUR(session_data[[#This Row],[Time]])&lt;12),"Morning",
     AND(HOUR(session_data[[#This Row],[Time]])&gt;=12,HOUR(session_data[[#This Row],[Time]])&lt;17),"Afternoon",
     AND(HOUR(session_data[[#This Row],[Time]])&gt;=17,HOUR(session_data[[#This Row],[Time]])&lt;21),"Evening",
     TRUE,"Night"
)</f>
        <v>Night</v>
      </c>
      <c r="G588" s="1">
        <f t="shared" si="38"/>
        <v>2023</v>
      </c>
      <c r="H588" s="1" t="str">
        <f t="shared" si="39"/>
        <v>May</v>
      </c>
      <c r="I588" s="1" t="str">
        <f t="shared" si="36"/>
        <v>Thu</v>
      </c>
      <c r="J588" s="1" t="s">
        <v>11</v>
      </c>
      <c r="K588" s="1" t="s">
        <v>12</v>
      </c>
      <c r="L588" s="1" t="s">
        <v>119</v>
      </c>
      <c r="M588" s="1" t="s">
        <v>40</v>
      </c>
      <c r="N588" s="1" t="s">
        <v>22</v>
      </c>
      <c r="O588" t="s">
        <v>15</v>
      </c>
    </row>
    <row r="589" spans="1:15" x14ac:dyDescent="0.25">
      <c r="A589" s="1" t="s">
        <v>894</v>
      </c>
      <c r="B589" s="1" t="s">
        <v>895</v>
      </c>
      <c r="C589" s="3">
        <v>45036.11041666667</v>
      </c>
      <c r="D589" s="4">
        <f t="shared" si="37"/>
        <v>45036</v>
      </c>
      <c r="E589" s="6">
        <v>25.077777777774202</v>
      </c>
      <c r="F589" s="6" t="str" cm="1">
        <f t="array" ref="F589">_xlfn.IFS(
     AND(HOUR(session_data[[#This Row],[Time]])&gt;5,HOUR(session_data[[#This Row],[Time]])&lt;12),"Morning",
     AND(HOUR(session_data[[#This Row],[Time]])&gt;=12,HOUR(session_data[[#This Row],[Time]])&lt;17),"Afternoon",
     AND(HOUR(session_data[[#This Row],[Time]])&gt;=17,HOUR(session_data[[#This Row],[Time]])&lt;21),"Evening",
     TRUE,"Night"
)</f>
        <v>Night</v>
      </c>
      <c r="G589" s="1">
        <f t="shared" si="38"/>
        <v>2023</v>
      </c>
      <c r="H589" s="1" t="str">
        <f t="shared" si="39"/>
        <v>Apr</v>
      </c>
      <c r="I589" s="1" t="str">
        <f t="shared" si="36"/>
        <v>Thu</v>
      </c>
      <c r="J589" s="1" t="s">
        <v>11</v>
      </c>
      <c r="K589" s="1" t="s">
        <v>12</v>
      </c>
      <c r="L589" s="1" t="s">
        <v>13</v>
      </c>
      <c r="M589" s="1" t="s">
        <v>32</v>
      </c>
      <c r="N589" s="1" t="s">
        <v>14</v>
      </c>
      <c r="O589" t="s">
        <v>15</v>
      </c>
    </row>
    <row r="590" spans="1:15" x14ac:dyDescent="0.25">
      <c r="A590" s="1" t="s">
        <v>896</v>
      </c>
      <c r="B590" s="1" t="s">
        <v>895</v>
      </c>
      <c r="C590" s="2">
        <v>45174.943749999999</v>
      </c>
      <c r="D590" s="4">
        <f t="shared" si="37"/>
        <v>45174</v>
      </c>
      <c r="E590" s="6">
        <v>25.119444444440902</v>
      </c>
      <c r="F590" s="6" t="str" cm="1">
        <f t="array" ref="F590">_xlfn.IFS(
     AND(HOUR(session_data[[#This Row],[Time]])&gt;5,HOUR(session_data[[#This Row],[Time]])&lt;12),"Morning",
     AND(HOUR(session_data[[#This Row],[Time]])&gt;=12,HOUR(session_data[[#This Row],[Time]])&lt;17),"Afternoon",
     AND(HOUR(session_data[[#This Row],[Time]])&gt;=17,HOUR(session_data[[#This Row],[Time]])&lt;21),"Evening",
     TRUE,"Night"
)</f>
        <v>Night</v>
      </c>
      <c r="G590" s="1">
        <f t="shared" si="38"/>
        <v>2023</v>
      </c>
      <c r="H590" s="1" t="str">
        <f t="shared" si="39"/>
        <v>Sep</v>
      </c>
      <c r="I590" s="1" t="str">
        <f t="shared" si="36"/>
        <v>Tue</v>
      </c>
      <c r="J590" s="1" t="s">
        <v>11</v>
      </c>
      <c r="K590" s="1" t="s">
        <v>12</v>
      </c>
      <c r="L590" s="1" t="s">
        <v>13</v>
      </c>
      <c r="M590" s="1" t="s">
        <v>32</v>
      </c>
      <c r="N590" s="1" t="s">
        <v>22</v>
      </c>
      <c r="O590" t="s">
        <v>15</v>
      </c>
    </row>
    <row r="591" spans="1:15" x14ac:dyDescent="0.25">
      <c r="A591" s="1" t="s">
        <v>897</v>
      </c>
      <c r="B591" s="1" t="s">
        <v>898</v>
      </c>
      <c r="C591" s="2">
        <v>45171.343055555553</v>
      </c>
      <c r="D591" s="4">
        <f t="shared" si="37"/>
        <v>45171</v>
      </c>
      <c r="E591" s="6">
        <v>25.161111111107601</v>
      </c>
      <c r="F591" s="6" t="str" cm="1">
        <f t="array" ref="F591">_xlfn.IFS(
     AND(HOUR(session_data[[#This Row],[Time]])&gt;5,HOUR(session_data[[#This Row],[Time]])&lt;12),"Morning",
     AND(HOUR(session_data[[#This Row],[Time]])&gt;=12,HOUR(session_data[[#This Row],[Time]])&lt;17),"Afternoon",
     AND(HOUR(session_data[[#This Row],[Time]])&gt;=17,HOUR(session_data[[#This Row],[Time]])&lt;21),"Evening",
     TRUE,"Night"
)</f>
        <v>Night</v>
      </c>
      <c r="G591" s="1">
        <f t="shared" si="38"/>
        <v>2023</v>
      </c>
      <c r="H591" s="1" t="str">
        <f t="shared" si="39"/>
        <v>Sep</v>
      </c>
      <c r="I591" s="1" t="str">
        <f t="shared" si="36"/>
        <v>Sat</v>
      </c>
      <c r="J591" s="1" t="s">
        <v>44</v>
      </c>
      <c r="K591" s="1" t="s">
        <v>29</v>
      </c>
      <c r="L591" s="1" t="s">
        <v>79</v>
      </c>
      <c r="M591" s="1" t="s">
        <v>40</v>
      </c>
      <c r="N591" s="1" t="s">
        <v>14</v>
      </c>
      <c r="O591" t="s">
        <v>15</v>
      </c>
    </row>
    <row r="592" spans="1:15" x14ac:dyDescent="0.25">
      <c r="A592" s="1" t="s">
        <v>899</v>
      </c>
      <c r="B592" s="1" t="s">
        <v>898</v>
      </c>
      <c r="C592" s="2">
        <v>45172.301388888889</v>
      </c>
      <c r="D592" s="4">
        <f t="shared" si="37"/>
        <v>45172</v>
      </c>
      <c r="E592" s="6">
        <v>25.202777777774202</v>
      </c>
      <c r="F592" s="6" t="str" cm="1">
        <f t="array" ref="F592">_xlfn.IFS(
     AND(HOUR(session_data[[#This Row],[Time]])&gt;5,HOUR(session_data[[#This Row],[Time]])&lt;12),"Morning",
     AND(HOUR(session_data[[#This Row],[Time]])&gt;=12,HOUR(session_data[[#This Row],[Time]])&lt;17),"Afternoon",
     AND(HOUR(session_data[[#This Row],[Time]])&gt;=17,HOUR(session_data[[#This Row],[Time]])&lt;21),"Evening",
     TRUE,"Night"
)</f>
        <v>Night</v>
      </c>
      <c r="G592" s="1">
        <f t="shared" si="38"/>
        <v>2023</v>
      </c>
      <c r="H592" s="1" t="str">
        <f t="shared" si="39"/>
        <v>Sep</v>
      </c>
      <c r="I592" s="1" t="str">
        <f t="shared" si="36"/>
        <v>Sun</v>
      </c>
      <c r="J592" s="1" t="s">
        <v>44</v>
      </c>
      <c r="K592" s="1" t="s">
        <v>29</v>
      </c>
      <c r="L592" s="1" t="s">
        <v>79</v>
      </c>
      <c r="M592" s="1" t="s">
        <v>40</v>
      </c>
      <c r="N592" s="1" t="s">
        <v>22</v>
      </c>
      <c r="O592" t="s">
        <v>15</v>
      </c>
    </row>
    <row r="593" spans="1:15" x14ac:dyDescent="0.25">
      <c r="A593" s="1" t="s">
        <v>900</v>
      </c>
      <c r="B593" s="1" t="s">
        <v>901</v>
      </c>
      <c r="C593" s="2">
        <v>44988.433333333334</v>
      </c>
      <c r="D593" s="4">
        <f t="shared" si="37"/>
        <v>44988</v>
      </c>
      <c r="E593" s="6">
        <v>25.244444444440902</v>
      </c>
      <c r="F593" s="6" t="str" cm="1">
        <f t="array" ref="F593">_xlfn.IFS(
     AND(HOUR(session_data[[#This Row],[Time]])&gt;5,HOUR(session_data[[#This Row],[Time]])&lt;12),"Morning",
     AND(HOUR(session_data[[#This Row],[Time]])&gt;=12,HOUR(session_data[[#This Row],[Time]])&lt;17),"Afternoon",
     AND(HOUR(session_data[[#This Row],[Time]])&gt;=17,HOUR(session_data[[#This Row],[Time]])&lt;21),"Evening",
     TRUE,"Night"
)</f>
        <v>Night</v>
      </c>
      <c r="G593" s="1">
        <f t="shared" si="38"/>
        <v>2023</v>
      </c>
      <c r="H593" s="1" t="str">
        <f t="shared" si="39"/>
        <v>Mar</v>
      </c>
      <c r="I593" s="1" t="str">
        <f t="shared" si="36"/>
        <v>Fri</v>
      </c>
      <c r="J593" s="1" t="s">
        <v>28</v>
      </c>
      <c r="K593" s="1" t="s">
        <v>12</v>
      </c>
      <c r="L593" s="1" t="s">
        <v>50</v>
      </c>
      <c r="M593" s="1" t="s">
        <v>19</v>
      </c>
      <c r="N593" s="1" t="s">
        <v>14</v>
      </c>
      <c r="O593" t="s">
        <v>15</v>
      </c>
    </row>
    <row r="594" spans="1:15" x14ac:dyDescent="0.25">
      <c r="A594" s="1" t="s">
        <v>902</v>
      </c>
      <c r="B594" s="1" t="s">
        <v>901</v>
      </c>
      <c r="C594" s="3">
        <v>45030.35</v>
      </c>
      <c r="D594" s="4">
        <f t="shared" si="37"/>
        <v>45030</v>
      </c>
      <c r="E594" s="6">
        <v>25.286111111107601</v>
      </c>
      <c r="F594" s="6" t="str" cm="1">
        <f t="array" ref="F594">_xlfn.IFS(
     AND(HOUR(session_data[[#This Row],[Time]])&gt;5,HOUR(session_data[[#This Row],[Time]])&lt;12),"Morning",
     AND(HOUR(session_data[[#This Row],[Time]])&gt;=12,HOUR(session_data[[#This Row],[Time]])&lt;17),"Afternoon",
     AND(HOUR(session_data[[#This Row],[Time]])&gt;=17,HOUR(session_data[[#This Row],[Time]])&lt;21),"Evening",
     TRUE,"Night"
)</f>
        <v>Morning</v>
      </c>
      <c r="G594" s="1">
        <f t="shared" si="38"/>
        <v>2023</v>
      </c>
      <c r="H594" s="1" t="str">
        <f t="shared" si="39"/>
        <v>Apr</v>
      </c>
      <c r="I594" s="1" t="str">
        <f t="shared" si="36"/>
        <v>Fri</v>
      </c>
      <c r="J594" s="1" t="s">
        <v>28</v>
      </c>
      <c r="K594" s="1" t="s">
        <v>12</v>
      </c>
      <c r="L594" s="1" t="s">
        <v>50</v>
      </c>
      <c r="M594" s="1" t="s">
        <v>19</v>
      </c>
      <c r="N594" s="1" t="s">
        <v>22</v>
      </c>
      <c r="O594" t="s">
        <v>15</v>
      </c>
    </row>
    <row r="595" spans="1:15" x14ac:dyDescent="0.25">
      <c r="A595" s="1" t="s">
        <v>903</v>
      </c>
      <c r="B595" s="1" t="s">
        <v>901</v>
      </c>
      <c r="C595" s="3">
        <v>45033.933333333334</v>
      </c>
      <c r="D595" s="4">
        <f t="shared" si="37"/>
        <v>45033</v>
      </c>
      <c r="E595" s="6">
        <v>25.327777777774202</v>
      </c>
      <c r="F595" s="6" t="str" cm="1">
        <f t="array" ref="F595">_xlfn.IFS(
     AND(HOUR(session_data[[#This Row],[Time]])&gt;5,HOUR(session_data[[#This Row],[Time]])&lt;12),"Morning",
     AND(HOUR(session_data[[#This Row],[Time]])&gt;=12,HOUR(session_data[[#This Row],[Time]])&lt;17),"Afternoon",
     AND(HOUR(session_data[[#This Row],[Time]])&gt;=17,HOUR(session_data[[#This Row],[Time]])&lt;21),"Evening",
     TRUE,"Night"
)</f>
        <v>Morning</v>
      </c>
      <c r="G595" s="1">
        <f t="shared" si="38"/>
        <v>2023</v>
      </c>
      <c r="H595" s="1" t="str">
        <f t="shared" si="39"/>
        <v>Apr</v>
      </c>
      <c r="I595" s="1" t="str">
        <f t="shared" si="36"/>
        <v>Mon</v>
      </c>
      <c r="J595" s="1" t="s">
        <v>28</v>
      </c>
      <c r="K595" s="1" t="s">
        <v>12</v>
      </c>
      <c r="L595" s="1" t="s">
        <v>50</v>
      </c>
      <c r="M595" s="1" t="s">
        <v>19</v>
      </c>
      <c r="N595" s="1" t="s">
        <v>22</v>
      </c>
      <c r="O595" t="s">
        <v>15</v>
      </c>
    </row>
    <row r="596" spans="1:15" x14ac:dyDescent="0.25">
      <c r="A596" s="1" t="s">
        <v>904</v>
      </c>
      <c r="B596" s="1" t="s">
        <v>905</v>
      </c>
      <c r="C596" s="3">
        <v>45125.869444444441</v>
      </c>
      <c r="D596" s="4">
        <f t="shared" si="37"/>
        <v>45125</v>
      </c>
      <c r="E596" s="6">
        <v>25.369444444440902</v>
      </c>
      <c r="F596" s="6" t="str" cm="1">
        <f t="array" ref="F596">_xlfn.IFS(
     AND(HOUR(session_data[[#This Row],[Time]])&gt;5,HOUR(session_data[[#This Row],[Time]])&lt;12),"Morning",
     AND(HOUR(session_data[[#This Row],[Time]])&gt;=12,HOUR(session_data[[#This Row],[Time]])&lt;17),"Afternoon",
     AND(HOUR(session_data[[#This Row],[Time]])&gt;=17,HOUR(session_data[[#This Row],[Time]])&lt;21),"Evening",
     TRUE,"Night"
)</f>
        <v>Morning</v>
      </c>
      <c r="G596" s="1">
        <f t="shared" si="38"/>
        <v>2023</v>
      </c>
      <c r="H596" s="1" t="str">
        <f t="shared" si="39"/>
        <v>Jul</v>
      </c>
      <c r="I596" s="1" t="str">
        <f t="shared" si="36"/>
        <v>Tue</v>
      </c>
      <c r="J596" s="1" t="s">
        <v>44</v>
      </c>
      <c r="K596" s="1" t="s">
        <v>36</v>
      </c>
      <c r="L596" s="1" t="s">
        <v>20</v>
      </c>
      <c r="M596" s="1" t="s">
        <v>19</v>
      </c>
      <c r="N596" s="1" t="s">
        <v>14</v>
      </c>
      <c r="O596" t="s">
        <v>45</v>
      </c>
    </row>
    <row r="597" spans="1:15" x14ac:dyDescent="0.25">
      <c r="A597" s="1" t="s">
        <v>906</v>
      </c>
      <c r="B597" s="1" t="s">
        <v>905</v>
      </c>
      <c r="C597" s="2">
        <v>44965.494444444441</v>
      </c>
      <c r="D597" s="4">
        <f t="shared" si="37"/>
        <v>44965</v>
      </c>
      <c r="E597" s="6">
        <v>25.411111111107601</v>
      </c>
      <c r="F597" s="6" t="str" cm="1">
        <f t="array" ref="F597">_xlfn.IFS(
     AND(HOUR(session_data[[#This Row],[Time]])&gt;5,HOUR(session_data[[#This Row],[Time]])&lt;12),"Morning",
     AND(HOUR(session_data[[#This Row],[Time]])&gt;=12,HOUR(session_data[[#This Row],[Time]])&lt;17),"Afternoon",
     AND(HOUR(session_data[[#This Row],[Time]])&gt;=17,HOUR(session_data[[#This Row],[Time]])&lt;21),"Evening",
     TRUE,"Night"
)</f>
        <v>Morning</v>
      </c>
      <c r="G597" s="1">
        <f t="shared" si="38"/>
        <v>2023</v>
      </c>
      <c r="H597" s="1" t="str">
        <f t="shared" si="39"/>
        <v>Feb</v>
      </c>
      <c r="I597" s="1" t="str">
        <f t="shared" si="36"/>
        <v>Wed</v>
      </c>
      <c r="J597" s="1" t="s">
        <v>44</v>
      </c>
      <c r="K597" s="1" t="s">
        <v>36</v>
      </c>
      <c r="L597" s="1" t="s">
        <v>20</v>
      </c>
      <c r="M597" s="1" t="s">
        <v>19</v>
      </c>
      <c r="N597" s="1" t="s">
        <v>22</v>
      </c>
      <c r="O597" t="s">
        <v>45</v>
      </c>
    </row>
    <row r="598" spans="1:15" x14ac:dyDescent="0.25">
      <c r="A598" s="1" t="s">
        <v>907</v>
      </c>
      <c r="B598" s="1" t="s">
        <v>908</v>
      </c>
      <c r="C598" s="2">
        <v>45263.433333333334</v>
      </c>
      <c r="D598" s="4">
        <f t="shared" si="37"/>
        <v>45263</v>
      </c>
      <c r="E598" s="6">
        <v>25.452777777774202</v>
      </c>
      <c r="F598" s="6" t="str" cm="1">
        <f t="array" ref="F598">_xlfn.IFS(
     AND(HOUR(session_data[[#This Row],[Time]])&gt;5,HOUR(session_data[[#This Row],[Time]])&lt;12),"Morning",
     AND(HOUR(session_data[[#This Row],[Time]])&gt;=12,HOUR(session_data[[#This Row],[Time]])&lt;17),"Afternoon",
     AND(HOUR(session_data[[#This Row],[Time]])&gt;=17,HOUR(session_data[[#This Row],[Time]])&lt;21),"Evening",
     TRUE,"Night"
)</f>
        <v>Morning</v>
      </c>
      <c r="G598" s="1">
        <f t="shared" si="38"/>
        <v>2023</v>
      </c>
      <c r="H598" s="1" t="str">
        <f t="shared" si="39"/>
        <v>Dec</v>
      </c>
      <c r="I598" s="1" t="str">
        <f t="shared" si="36"/>
        <v>Sun</v>
      </c>
      <c r="J598" s="1" t="s">
        <v>44</v>
      </c>
      <c r="K598" s="1" t="s">
        <v>29</v>
      </c>
      <c r="L598" s="1" t="s">
        <v>20</v>
      </c>
      <c r="M598" s="1" t="s">
        <v>19</v>
      </c>
      <c r="N598" s="1" t="s">
        <v>14</v>
      </c>
      <c r="O598" t="s">
        <v>45</v>
      </c>
    </row>
    <row r="599" spans="1:15" x14ac:dyDescent="0.25">
      <c r="A599" s="1" t="s">
        <v>909</v>
      </c>
      <c r="B599" s="1" t="s">
        <v>908</v>
      </c>
      <c r="C599" s="3">
        <v>45015.474999999999</v>
      </c>
      <c r="D599" s="4">
        <f t="shared" si="37"/>
        <v>45015</v>
      </c>
      <c r="E599" s="6">
        <v>25.494444444440902</v>
      </c>
      <c r="F599" s="6" t="str" cm="1">
        <f t="array" ref="F599">_xlfn.IFS(
     AND(HOUR(session_data[[#This Row],[Time]])&gt;5,HOUR(session_data[[#This Row],[Time]])&lt;12),"Morning",
     AND(HOUR(session_data[[#This Row],[Time]])&gt;=12,HOUR(session_data[[#This Row],[Time]])&lt;17),"Afternoon",
     AND(HOUR(session_data[[#This Row],[Time]])&gt;=17,HOUR(session_data[[#This Row],[Time]])&lt;21),"Evening",
     TRUE,"Night"
)</f>
        <v>Morning</v>
      </c>
      <c r="G599" s="1">
        <f t="shared" si="38"/>
        <v>2023</v>
      </c>
      <c r="H599" s="1" t="str">
        <f t="shared" si="39"/>
        <v>Mar</v>
      </c>
      <c r="I599" s="1" t="str">
        <f t="shared" si="36"/>
        <v>Thu</v>
      </c>
      <c r="J599" s="1" t="s">
        <v>44</v>
      </c>
      <c r="K599" s="1" t="s">
        <v>29</v>
      </c>
      <c r="L599" s="1" t="s">
        <v>20</v>
      </c>
      <c r="M599" s="1" t="s">
        <v>19</v>
      </c>
      <c r="N599" s="1" t="s">
        <v>22</v>
      </c>
      <c r="O599" t="s">
        <v>45</v>
      </c>
    </row>
    <row r="600" spans="1:15" x14ac:dyDescent="0.25">
      <c r="A600" s="1" t="s">
        <v>910</v>
      </c>
      <c r="B600" s="1" t="s">
        <v>908</v>
      </c>
      <c r="C600" s="3">
        <v>45030.224999999999</v>
      </c>
      <c r="D600" s="4">
        <f t="shared" si="37"/>
        <v>45030</v>
      </c>
      <c r="E600" s="6">
        <v>25.536111111107601</v>
      </c>
      <c r="F600" s="6" t="str" cm="1">
        <f t="array" ref="F600">_xlfn.IFS(
     AND(HOUR(session_data[[#This Row],[Time]])&gt;5,HOUR(session_data[[#This Row],[Time]])&lt;12),"Morning",
     AND(HOUR(session_data[[#This Row],[Time]])&gt;=12,HOUR(session_data[[#This Row],[Time]])&lt;17),"Afternoon",
     AND(HOUR(session_data[[#This Row],[Time]])&gt;=17,HOUR(session_data[[#This Row],[Time]])&lt;21),"Evening",
     TRUE,"Night"
)</f>
        <v>Afternoon</v>
      </c>
      <c r="G600" s="1">
        <f t="shared" si="38"/>
        <v>2023</v>
      </c>
      <c r="H600" s="1" t="str">
        <f t="shared" si="39"/>
        <v>Apr</v>
      </c>
      <c r="I600" s="1" t="str">
        <f t="shared" si="36"/>
        <v>Fri</v>
      </c>
      <c r="J600" s="1" t="s">
        <v>44</v>
      </c>
      <c r="K600" s="1" t="s">
        <v>29</v>
      </c>
      <c r="L600" s="1" t="s">
        <v>20</v>
      </c>
      <c r="M600" s="1" t="s">
        <v>19</v>
      </c>
      <c r="N600" s="1" t="s">
        <v>22</v>
      </c>
      <c r="O600" t="s">
        <v>45</v>
      </c>
    </row>
    <row r="601" spans="1:15" x14ac:dyDescent="0.25">
      <c r="A601" s="1" t="s">
        <v>911</v>
      </c>
      <c r="B601" s="1" t="s">
        <v>912</v>
      </c>
      <c r="C601" s="3">
        <v>45033.622916666667</v>
      </c>
      <c r="D601" s="4">
        <f t="shared" si="37"/>
        <v>45033</v>
      </c>
      <c r="E601" s="6">
        <v>25.577777777774202</v>
      </c>
      <c r="F601" s="6" t="str" cm="1">
        <f t="array" ref="F601">_xlfn.IFS(
     AND(HOUR(session_data[[#This Row],[Time]])&gt;5,HOUR(session_data[[#This Row],[Time]])&lt;12),"Morning",
     AND(HOUR(session_data[[#This Row],[Time]])&gt;=12,HOUR(session_data[[#This Row],[Time]])&lt;17),"Afternoon",
     AND(HOUR(session_data[[#This Row],[Time]])&gt;=17,HOUR(session_data[[#This Row],[Time]])&lt;21),"Evening",
     TRUE,"Night"
)</f>
        <v>Afternoon</v>
      </c>
      <c r="G601" s="1">
        <f t="shared" si="38"/>
        <v>2023</v>
      </c>
      <c r="H601" s="1" t="str">
        <f t="shared" si="39"/>
        <v>Apr</v>
      </c>
      <c r="I601" s="1" t="str">
        <f t="shared" si="36"/>
        <v>Mon</v>
      </c>
      <c r="J601" s="1" t="s">
        <v>44</v>
      </c>
      <c r="K601" s="1" t="s">
        <v>12</v>
      </c>
      <c r="L601" s="1" t="s">
        <v>30</v>
      </c>
      <c r="M601" s="1" t="s">
        <v>32</v>
      </c>
      <c r="N601" s="1" t="s">
        <v>14</v>
      </c>
      <c r="O601" t="s">
        <v>45</v>
      </c>
    </row>
    <row r="602" spans="1:15" x14ac:dyDescent="0.25">
      <c r="A602" s="1" t="s">
        <v>913</v>
      </c>
      <c r="B602" s="1" t="s">
        <v>912</v>
      </c>
      <c r="C602" s="2">
        <v>45082.164583333331</v>
      </c>
      <c r="D602" s="4">
        <f t="shared" si="37"/>
        <v>45082</v>
      </c>
      <c r="E602" s="6">
        <v>25.619444444440902</v>
      </c>
      <c r="F602" s="6" t="str" cm="1">
        <f t="array" ref="F602">_xlfn.IFS(
     AND(HOUR(session_data[[#This Row],[Time]])&gt;5,HOUR(session_data[[#This Row],[Time]])&lt;12),"Morning",
     AND(HOUR(session_data[[#This Row],[Time]])&gt;=12,HOUR(session_data[[#This Row],[Time]])&lt;17),"Afternoon",
     AND(HOUR(session_data[[#This Row],[Time]])&gt;=17,HOUR(session_data[[#This Row],[Time]])&lt;21),"Evening",
     TRUE,"Night"
)</f>
        <v>Afternoon</v>
      </c>
      <c r="G602" s="1">
        <f t="shared" si="38"/>
        <v>2023</v>
      </c>
      <c r="H602" s="1" t="str">
        <f t="shared" si="39"/>
        <v>Jun</v>
      </c>
      <c r="I602" s="1" t="str">
        <f t="shared" si="36"/>
        <v>Mon</v>
      </c>
      <c r="J602" s="1" t="s">
        <v>44</v>
      </c>
      <c r="K602" s="1" t="s">
        <v>12</v>
      </c>
      <c r="L602" s="1" t="s">
        <v>30</v>
      </c>
      <c r="M602" s="1" t="s">
        <v>32</v>
      </c>
      <c r="N602" s="1" t="s">
        <v>22</v>
      </c>
      <c r="O602" t="s">
        <v>45</v>
      </c>
    </row>
    <row r="603" spans="1:15" x14ac:dyDescent="0.25">
      <c r="A603" s="1" t="s">
        <v>914</v>
      </c>
      <c r="B603" s="1" t="s">
        <v>912</v>
      </c>
      <c r="C603" s="3">
        <v>45070.539583333331</v>
      </c>
      <c r="D603" s="4">
        <f t="shared" si="37"/>
        <v>45070</v>
      </c>
      <c r="E603" s="6">
        <v>25.661111111107601</v>
      </c>
      <c r="F603" s="6" t="str" cm="1">
        <f t="array" ref="F603">_xlfn.IFS(
     AND(HOUR(session_data[[#This Row],[Time]])&gt;5,HOUR(session_data[[#This Row],[Time]])&lt;12),"Morning",
     AND(HOUR(session_data[[#This Row],[Time]])&gt;=12,HOUR(session_data[[#This Row],[Time]])&lt;17),"Afternoon",
     AND(HOUR(session_data[[#This Row],[Time]])&gt;=17,HOUR(session_data[[#This Row],[Time]])&lt;21),"Evening",
     TRUE,"Night"
)</f>
        <v>Afternoon</v>
      </c>
      <c r="G603" s="1">
        <f t="shared" si="38"/>
        <v>2023</v>
      </c>
      <c r="H603" s="1" t="str">
        <f t="shared" si="39"/>
        <v>May</v>
      </c>
      <c r="I603" s="1" t="str">
        <f t="shared" si="36"/>
        <v>Wed</v>
      </c>
      <c r="J603" s="1" t="s">
        <v>44</v>
      </c>
      <c r="K603" s="1" t="s">
        <v>12</v>
      </c>
      <c r="L603" s="1" t="s">
        <v>30</v>
      </c>
      <c r="M603" s="1" t="s">
        <v>32</v>
      </c>
      <c r="N603" s="1" t="s">
        <v>22</v>
      </c>
      <c r="O603" t="s">
        <v>45</v>
      </c>
    </row>
    <row r="604" spans="1:15" x14ac:dyDescent="0.25">
      <c r="A604" s="1" t="s">
        <v>915</v>
      </c>
      <c r="B604" s="1" t="s">
        <v>916</v>
      </c>
      <c r="C604" s="2">
        <v>45240.709722222222</v>
      </c>
      <c r="D604" s="4">
        <f t="shared" si="37"/>
        <v>45240</v>
      </c>
      <c r="E604" s="6">
        <v>25.702777777774202</v>
      </c>
      <c r="F604" s="6" t="str" cm="1">
        <f t="array" ref="F604">_xlfn.IFS(
     AND(HOUR(session_data[[#This Row],[Time]])&gt;5,HOUR(session_data[[#This Row],[Time]])&lt;12),"Morning",
     AND(HOUR(session_data[[#This Row],[Time]])&gt;=12,HOUR(session_data[[#This Row],[Time]])&lt;17),"Afternoon",
     AND(HOUR(session_data[[#This Row],[Time]])&gt;=17,HOUR(session_data[[#This Row],[Time]])&lt;21),"Evening",
     TRUE,"Night"
)</f>
        <v>Afternoon</v>
      </c>
      <c r="G604" s="1">
        <f t="shared" si="38"/>
        <v>2023</v>
      </c>
      <c r="H604" s="1" t="str">
        <f t="shared" si="39"/>
        <v>Nov</v>
      </c>
      <c r="I604" s="1" t="str">
        <f t="shared" si="36"/>
        <v>Fri</v>
      </c>
      <c r="J604" s="1" t="s">
        <v>11</v>
      </c>
      <c r="K604" s="1" t="s">
        <v>12</v>
      </c>
      <c r="L604" s="1" t="s">
        <v>13</v>
      </c>
      <c r="M604" s="1" t="s">
        <v>32</v>
      </c>
      <c r="N604" s="1" t="s">
        <v>14</v>
      </c>
      <c r="O604" t="s">
        <v>45</v>
      </c>
    </row>
    <row r="605" spans="1:15" x14ac:dyDescent="0.25">
      <c r="A605" s="1" t="s">
        <v>917</v>
      </c>
      <c r="B605" s="1" t="s">
        <v>916</v>
      </c>
      <c r="C605" s="2">
        <v>45149.168055555558</v>
      </c>
      <c r="D605" s="4">
        <f t="shared" si="37"/>
        <v>45149</v>
      </c>
      <c r="E605" s="6">
        <v>25.744444444440902</v>
      </c>
      <c r="F605" s="6" t="str" cm="1">
        <f t="array" ref="F605">_xlfn.IFS(
     AND(HOUR(session_data[[#This Row],[Time]])&gt;5,HOUR(session_data[[#This Row],[Time]])&lt;12),"Morning",
     AND(HOUR(session_data[[#This Row],[Time]])&gt;=12,HOUR(session_data[[#This Row],[Time]])&lt;17),"Afternoon",
     AND(HOUR(session_data[[#This Row],[Time]])&gt;=17,HOUR(session_data[[#This Row],[Time]])&lt;21),"Evening",
     TRUE,"Night"
)</f>
        <v>Evening</v>
      </c>
      <c r="G605" s="1">
        <f t="shared" si="38"/>
        <v>2023</v>
      </c>
      <c r="H605" s="1" t="str">
        <f t="shared" si="39"/>
        <v>Aug</v>
      </c>
      <c r="I605" s="1" t="str">
        <f t="shared" si="36"/>
        <v>Fri</v>
      </c>
      <c r="J605" s="1" t="s">
        <v>11</v>
      </c>
      <c r="K605" s="1" t="s">
        <v>12</v>
      </c>
      <c r="L605" s="1" t="s">
        <v>13</v>
      </c>
      <c r="M605" s="1" t="s">
        <v>32</v>
      </c>
      <c r="N605" s="1" t="s">
        <v>22</v>
      </c>
      <c r="O605" t="s">
        <v>45</v>
      </c>
    </row>
    <row r="606" spans="1:15" x14ac:dyDescent="0.25">
      <c r="A606" s="1" t="s">
        <v>918</v>
      </c>
      <c r="B606" s="1" t="s">
        <v>916</v>
      </c>
      <c r="C606" s="2">
        <v>44969.626388888886</v>
      </c>
      <c r="D606" s="4">
        <f t="shared" si="37"/>
        <v>44969</v>
      </c>
      <c r="E606" s="6">
        <v>25.786111111107601</v>
      </c>
      <c r="F606" s="6" t="str" cm="1">
        <f t="array" ref="F606">_xlfn.IFS(
     AND(HOUR(session_data[[#This Row],[Time]])&gt;5,HOUR(session_data[[#This Row],[Time]])&lt;12),"Morning",
     AND(HOUR(session_data[[#This Row],[Time]])&gt;=12,HOUR(session_data[[#This Row],[Time]])&lt;17),"Afternoon",
     AND(HOUR(session_data[[#This Row],[Time]])&gt;=17,HOUR(session_data[[#This Row],[Time]])&lt;21),"Evening",
     TRUE,"Night"
)</f>
        <v>Evening</v>
      </c>
      <c r="G606" s="1">
        <f t="shared" si="38"/>
        <v>2023</v>
      </c>
      <c r="H606" s="1" t="str">
        <f t="shared" si="39"/>
        <v>Feb</v>
      </c>
      <c r="I606" s="1" t="str">
        <f t="shared" si="36"/>
        <v>Sun</v>
      </c>
      <c r="J606" s="1" t="s">
        <v>11</v>
      </c>
      <c r="K606" s="1" t="s">
        <v>12</v>
      </c>
      <c r="L606" s="1" t="s">
        <v>13</v>
      </c>
      <c r="M606" s="1" t="s">
        <v>32</v>
      </c>
      <c r="N606" s="1" t="s">
        <v>22</v>
      </c>
      <c r="O606" t="s">
        <v>45</v>
      </c>
    </row>
    <row r="607" spans="1:15" x14ac:dyDescent="0.25">
      <c r="A607" s="1" t="s">
        <v>919</v>
      </c>
      <c r="B607" s="1" t="s">
        <v>916</v>
      </c>
      <c r="C607" s="3">
        <v>45280.584722222222</v>
      </c>
      <c r="D607" s="4">
        <f t="shared" si="37"/>
        <v>45280</v>
      </c>
      <c r="E607" s="6">
        <v>25.827777777774202</v>
      </c>
      <c r="F607" s="6" t="str" cm="1">
        <f t="array" ref="F607">_xlfn.IFS(
     AND(HOUR(session_data[[#This Row],[Time]])&gt;5,HOUR(session_data[[#This Row],[Time]])&lt;12),"Morning",
     AND(HOUR(session_data[[#This Row],[Time]])&gt;=12,HOUR(session_data[[#This Row],[Time]])&lt;17),"Afternoon",
     AND(HOUR(session_data[[#This Row],[Time]])&gt;=17,HOUR(session_data[[#This Row],[Time]])&lt;21),"Evening",
     TRUE,"Night"
)</f>
        <v>Evening</v>
      </c>
      <c r="G607" s="1">
        <f t="shared" si="38"/>
        <v>2023</v>
      </c>
      <c r="H607" s="1" t="str">
        <f t="shared" si="39"/>
        <v>Dec</v>
      </c>
      <c r="I607" s="1" t="str">
        <f t="shared" si="36"/>
        <v>Wed</v>
      </c>
      <c r="J607" s="1" t="s">
        <v>11</v>
      </c>
      <c r="K607" s="1" t="s">
        <v>12</v>
      </c>
      <c r="L607" s="1" t="s">
        <v>13</v>
      </c>
      <c r="M607" s="1" t="s">
        <v>32</v>
      </c>
      <c r="N607" s="1" t="s">
        <v>22</v>
      </c>
      <c r="O607" t="s">
        <v>45</v>
      </c>
    </row>
    <row r="608" spans="1:15" x14ac:dyDescent="0.25">
      <c r="A608" s="1" t="s">
        <v>920</v>
      </c>
      <c r="B608" s="1" t="s">
        <v>921</v>
      </c>
      <c r="C608" s="3">
        <v>44940.953472222223</v>
      </c>
      <c r="D608" s="4">
        <f t="shared" si="37"/>
        <v>44940</v>
      </c>
      <c r="E608" s="6">
        <v>25.869444444440902</v>
      </c>
      <c r="F608" s="6" t="str" cm="1">
        <f t="array" ref="F608">_xlfn.IFS(
     AND(HOUR(session_data[[#This Row],[Time]])&gt;5,HOUR(session_data[[#This Row],[Time]])&lt;12),"Morning",
     AND(HOUR(session_data[[#This Row],[Time]])&gt;=12,HOUR(session_data[[#This Row],[Time]])&lt;17),"Afternoon",
     AND(HOUR(session_data[[#This Row],[Time]])&gt;=17,HOUR(session_data[[#This Row],[Time]])&lt;21),"Evening",
     TRUE,"Night"
)</f>
        <v>Evening</v>
      </c>
      <c r="G608" s="1">
        <f t="shared" si="38"/>
        <v>2023</v>
      </c>
      <c r="H608" s="1" t="str">
        <f t="shared" si="39"/>
        <v>Jan</v>
      </c>
      <c r="I608" s="1" t="str">
        <f t="shared" si="36"/>
        <v>Sat</v>
      </c>
      <c r="J608" s="1" t="s">
        <v>18</v>
      </c>
      <c r="K608" s="1" t="s">
        <v>29</v>
      </c>
      <c r="L608" s="1" t="s">
        <v>50</v>
      </c>
      <c r="M608" s="1" t="s">
        <v>19</v>
      </c>
      <c r="N608" s="1" t="s">
        <v>14</v>
      </c>
      <c r="O608" t="s">
        <v>45</v>
      </c>
    </row>
    <row r="609" spans="1:15" x14ac:dyDescent="0.25">
      <c r="A609" s="1" t="s">
        <v>922</v>
      </c>
      <c r="B609" s="1" t="s">
        <v>923</v>
      </c>
      <c r="C609" s="3">
        <v>45167.306250000001</v>
      </c>
      <c r="D609" s="4">
        <f t="shared" si="37"/>
        <v>45167</v>
      </c>
      <c r="E609" s="6">
        <v>25.911111111107601</v>
      </c>
      <c r="F609" s="6" t="str" cm="1">
        <f t="array" ref="F609">_xlfn.IFS(
     AND(HOUR(session_data[[#This Row],[Time]])&gt;5,HOUR(session_data[[#This Row],[Time]])&lt;12),"Morning",
     AND(HOUR(session_data[[#This Row],[Time]])&gt;=12,HOUR(session_data[[#This Row],[Time]])&lt;17),"Afternoon",
     AND(HOUR(session_data[[#This Row],[Time]])&gt;=17,HOUR(session_data[[#This Row],[Time]])&lt;21),"Evening",
     TRUE,"Night"
)</f>
        <v>Night</v>
      </c>
      <c r="G609" s="1">
        <f t="shared" si="38"/>
        <v>2023</v>
      </c>
      <c r="H609" s="1" t="str">
        <f t="shared" si="39"/>
        <v>Aug</v>
      </c>
      <c r="I609" s="1" t="str">
        <f t="shared" si="36"/>
        <v>Tue</v>
      </c>
      <c r="J609" s="1" t="s">
        <v>28</v>
      </c>
      <c r="K609" s="1" t="s">
        <v>29</v>
      </c>
      <c r="L609" s="1" t="s">
        <v>13</v>
      </c>
      <c r="M609" s="1" t="s">
        <v>32</v>
      </c>
      <c r="N609" s="1" t="s">
        <v>14</v>
      </c>
      <c r="O609" t="s">
        <v>45</v>
      </c>
    </row>
    <row r="610" spans="1:15" x14ac:dyDescent="0.25">
      <c r="A610" s="1" t="s">
        <v>924</v>
      </c>
      <c r="B610" s="1" t="s">
        <v>925</v>
      </c>
      <c r="C610" s="3">
        <v>45036.32916666667</v>
      </c>
      <c r="D610" s="4">
        <f t="shared" si="37"/>
        <v>45036</v>
      </c>
      <c r="E610" s="6">
        <v>25.952777777774202</v>
      </c>
      <c r="F610" s="6" t="str" cm="1">
        <f t="array" ref="F610">_xlfn.IFS(
     AND(HOUR(session_data[[#This Row],[Time]])&gt;5,HOUR(session_data[[#This Row],[Time]])&lt;12),"Morning",
     AND(HOUR(session_data[[#This Row],[Time]])&gt;=12,HOUR(session_data[[#This Row],[Time]])&lt;17),"Afternoon",
     AND(HOUR(session_data[[#This Row],[Time]])&gt;=17,HOUR(session_data[[#This Row],[Time]])&lt;21),"Evening",
     TRUE,"Night"
)</f>
        <v>Night</v>
      </c>
      <c r="G610" s="1">
        <f t="shared" si="38"/>
        <v>2023</v>
      </c>
      <c r="H610" s="1" t="str">
        <f t="shared" si="39"/>
        <v>Apr</v>
      </c>
      <c r="I610" s="1" t="str">
        <f t="shared" si="36"/>
        <v>Thu</v>
      </c>
      <c r="J610" s="1" t="s">
        <v>28</v>
      </c>
      <c r="K610" s="1" t="s">
        <v>29</v>
      </c>
      <c r="L610" s="1" t="s">
        <v>20</v>
      </c>
      <c r="M610" s="1" t="s">
        <v>19</v>
      </c>
      <c r="N610" s="1" t="s">
        <v>14</v>
      </c>
      <c r="O610" t="s">
        <v>15</v>
      </c>
    </row>
    <row r="611" spans="1:15" x14ac:dyDescent="0.25">
      <c r="A611" s="1" t="s">
        <v>926</v>
      </c>
      <c r="B611" s="1" t="s">
        <v>927</v>
      </c>
      <c r="C611" s="3">
        <v>45003.255555555559</v>
      </c>
      <c r="D611" s="4">
        <f t="shared" si="37"/>
        <v>45003</v>
      </c>
      <c r="E611" s="6">
        <v>25.994444444440902</v>
      </c>
      <c r="F611" s="6" t="str" cm="1">
        <f t="array" ref="F611">_xlfn.IFS(
     AND(HOUR(session_data[[#This Row],[Time]])&gt;5,HOUR(session_data[[#This Row],[Time]])&lt;12),"Morning",
     AND(HOUR(session_data[[#This Row],[Time]])&gt;=12,HOUR(session_data[[#This Row],[Time]])&lt;17),"Afternoon",
     AND(HOUR(session_data[[#This Row],[Time]])&gt;=17,HOUR(session_data[[#This Row],[Time]])&lt;21),"Evening",
     TRUE,"Night"
)</f>
        <v>Night</v>
      </c>
      <c r="G611" s="1">
        <f t="shared" si="38"/>
        <v>2023</v>
      </c>
      <c r="H611" s="1" t="str">
        <f t="shared" si="39"/>
        <v>Mar</v>
      </c>
      <c r="I611" s="1" t="str">
        <f t="shared" si="36"/>
        <v>Sat</v>
      </c>
      <c r="J611" s="1" t="s">
        <v>28</v>
      </c>
      <c r="K611" s="1" t="s">
        <v>12</v>
      </c>
      <c r="L611" s="1" t="s">
        <v>59</v>
      </c>
      <c r="M611" s="1" t="s">
        <v>19</v>
      </c>
      <c r="N611" s="1" t="s">
        <v>14</v>
      </c>
      <c r="O611" t="s">
        <v>15</v>
      </c>
    </row>
    <row r="612" spans="1:15" x14ac:dyDescent="0.25">
      <c r="A612" s="1" t="s">
        <v>928</v>
      </c>
      <c r="B612" s="1" t="s">
        <v>927</v>
      </c>
      <c r="C612" s="2">
        <v>44961.255555555559</v>
      </c>
      <c r="D612" s="4">
        <f t="shared" si="37"/>
        <v>44961</v>
      </c>
      <c r="E612" s="6">
        <v>26.036111111107601</v>
      </c>
      <c r="F612" s="6" t="str" cm="1">
        <f t="array" ref="F612">_xlfn.IFS(
     AND(HOUR(session_data[[#This Row],[Time]])&gt;5,HOUR(session_data[[#This Row],[Time]])&lt;12),"Morning",
     AND(HOUR(session_data[[#This Row],[Time]])&gt;=12,HOUR(session_data[[#This Row],[Time]])&lt;17),"Afternoon",
     AND(HOUR(session_data[[#This Row],[Time]])&gt;=17,HOUR(session_data[[#This Row],[Time]])&lt;21),"Evening",
     TRUE,"Night"
)</f>
        <v>Night</v>
      </c>
      <c r="G612" s="1">
        <f t="shared" si="38"/>
        <v>2023</v>
      </c>
      <c r="H612" s="1" t="str">
        <f t="shared" si="39"/>
        <v>Feb</v>
      </c>
      <c r="I612" s="1" t="str">
        <f t="shared" si="36"/>
        <v>Sat</v>
      </c>
      <c r="J612" s="1" t="s">
        <v>28</v>
      </c>
      <c r="K612" s="1" t="s">
        <v>12</v>
      </c>
      <c r="L612" s="1" t="s">
        <v>59</v>
      </c>
      <c r="M612" s="1" t="s">
        <v>19</v>
      </c>
      <c r="N612" s="1" t="s">
        <v>22</v>
      </c>
      <c r="O612" t="s">
        <v>15</v>
      </c>
    </row>
    <row r="613" spans="1:15" x14ac:dyDescent="0.25">
      <c r="A613" s="1" t="s">
        <v>929</v>
      </c>
      <c r="B613" s="1" t="s">
        <v>930</v>
      </c>
      <c r="C613" s="2">
        <v>45236.204861111109</v>
      </c>
      <c r="D613" s="4">
        <f t="shared" si="37"/>
        <v>45236</v>
      </c>
      <c r="E613" s="6">
        <v>26.077777777774202</v>
      </c>
      <c r="F613" s="6" t="str" cm="1">
        <f t="array" ref="F613">_xlfn.IFS(
     AND(HOUR(session_data[[#This Row],[Time]])&gt;5,HOUR(session_data[[#This Row],[Time]])&lt;12),"Morning",
     AND(HOUR(session_data[[#This Row],[Time]])&gt;=12,HOUR(session_data[[#This Row],[Time]])&lt;17),"Afternoon",
     AND(HOUR(session_data[[#This Row],[Time]])&gt;=17,HOUR(session_data[[#This Row],[Time]])&lt;21),"Evening",
     TRUE,"Night"
)</f>
        <v>Night</v>
      </c>
      <c r="G613" s="1">
        <f t="shared" si="38"/>
        <v>2023</v>
      </c>
      <c r="H613" s="1" t="str">
        <f t="shared" si="39"/>
        <v>Nov</v>
      </c>
      <c r="I613" s="1" t="str">
        <f t="shared" si="36"/>
        <v>Mon</v>
      </c>
      <c r="J613" s="1" t="s">
        <v>11</v>
      </c>
      <c r="K613" s="1" t="s">
        <v>12</v>
      </c>
      <c r="L613" s="1" t="s">
        <v>119</v>
      </c>
      <c r="M613" s="1" t="s">
        <v>40</v>
      </c>
      <c r="N613" s="1" t="s">
        <v>14</v>
      </c>
      <c r="O613" t="s">
        <v>15</v>
      </c>
    </row>
    <row r="614" spans="1:15" x14ac:dyDescent="0.25">
      <c r="A614" s="1" t="s">
        <v>931</v>
      </c>
      <c r="B614" s="1" t="s">
        <v>932</v>
      </c>
      <c r="C614" s="2">
        <v>45142.793749999997</v>
      </c>
      <c r="D614" s="4">
        <f t="shared" si="37"/>
        <v>45142</v>
      </c>
      <c r="E614" s="6">
        <v>26.119444444440902</v>
      </c>
      <c r="F614" s="6" t="str" cm="1">
        <f t="array" ref="F614">_xlfn.IFS(
     AND(HOUR(session_data[[#This Row],[Time]])&gt;5,HOUR(session_data[[#This Row],[Time]])&lt;12),"Morning",
     AND(HOUR(session_data[[#This Row],[Time]])&gt;=12,HOUR(session_data[[#This Row],[Time]])&lt;17),"Afternoon",
     AND(HOUR(session_data[[#This Row],[Time]])&gt;=17,HOUR(session_data[[#This Row],[Time]])&lt;21),"Evening",
     TRUE,"Night"
)</f>
        <v>Night</v>
      </c>
      <c r="G614" s="1">
        <f t="shared" si="38"/>
        <v>2023</v>
      </c>
      <c r="H614" s="1" t="str">
        <f t="shared" si="39"/>
        <v>Aug</v>
      </c>
      <c r="I614" s="1" t="str">
        <f t="shared" si="36"/>
        <v>Fri</v>
      </c>
      <c r="J614" s="1" t="s">
        <v>11</v>
      </c>
      <c r="K614" s="1" t="s">
        <v>29</v>
      </c>
      <c r="L614" s="1" t="s">
        <v>94</v>
      </c>
      <c r="M614" s="1" t="s">
        <v>32</v>
      </c>
      <c r="N614" s="1" t="s">
        <v>14</v>
      </c>
      <c r="O614" t="s">
        <v>45</v>
      </c>
    </row>
    <row r="615" spans="1:15" x14ac:dyDescent="0.25">
      <c r="A615" s="1" t="s">
        <v>933</v>
      </c>
      <c r="B615" s="1" t="s">
        <v>932</v>
      </c>
      <c r="C615" s="3">
        <v>45042.002083333333</v>
      </c>
      <c r="D615" s="4">
        <f t="shared" si="37"/>
        <v>45042</v>
      </c>
      <c r="E615" s="6">
        <v>26.161111111107601</v>
      </c>
      <c r="F615" s="6" t="str" cm="1">
        <f t="array" ref="F615">_xlfn.IFS(
     AND(HOUR(session_data[[#This Row],[Time]])&gt;5,HOUR(session_data[[#This Row],[Time]])&lt;12),"Morning",
     AND(HOUR(session_data[[#This Row],[Time]])&gt;=12,HOUR(session_data[[#This Row],[Time]])&lt;17),"Afternoon",
     AND(HOUR(session_data[[#This Row],[Time]])&gt;=17,HOUR(session_data[[#This Row],[Time]])&lt;21),"Evening",
     TRUE,"Night"
)</f>
        <v>Night</v>
      </c>
      <c r="G615" s="1">
        <f t="shared" si="38"/>
        <v>2023</v>
      </c>
      <c r="H615" s="1" t="str">
        <f t="shared" si="39"/>
        <v>Apr</v>
      </c>
      <c r="I615" s="1" t="str">
        <f t="shared" si="36"/>
        <v>Wed</v>
      </c>
      <c r="J615" s="1" t="s">
        <v>11</v>
      </c>
      <c r="K615" s="1" t="s">
        <v>29</v>
      </c>
      <c r="L615" s="1" t="s">
        <v>94</v>
      </c>
      <c r="M615" s="1" t="s">
        <v>32</v>
      </c>
      <c r="N615" s="1" t="s">
        <v>22</v>
      </c>
      <c r="O615" t="s">
        <v>45</v>
      </c>
    </row>
    <row r="616" spans="1:15" x14ac:dyDescent="0.25">
      <c r="A616" s="1" t="s">
        <v>934</v>
      </c>
      <c r="B616" s="1" t="s">
        <v>935</v>
      </c>
      <c r="C616" s="2">
        <v>45262.904861111114</v>
      </c>
      <c r="D616" s="4">
        <f t="shared" si="37"/>
        <v>45262</v>
      </c>
      <c r="E616" s="6">
        <v>26.202777777774202</v>
      </c>
      <c r="F616" s="6" t="str" cm="1">
        <f t="array" ref="F616">_xlfn.IFS(
     AND(HOUR(session_data[[#This Row],[Time]])&gt;5,HOUR(session_data[[#This Row],[Time]])&lt;12),"Morning",
     AND(HOUR(session_data[[#This Row],[Time]])&gt;=12,HOUR(session_data[[#This Row],[Time]])&lt;17),"Afternoon",
     AND(HOUR(session_data[[#This Row],[Time]])&gt;=17,HOUR(session_data[[#This Row],[Time]])&lt;21),"Evening",
     TRUE,"Night"
)</f>
        <v>Night</v>
      </c>
      <c r="G616" s="1">
        <f t="shared" si="38"/>
        <v>2023</v>
      </c>
      <c r="H616" s="1" t="str">
        <f t="shared" si="39"/>
        <v>Dec</v>
      </c>
      <c r="I616" s="1" t="str">
        <f t="shared" si="36"/>
        <v>Sat</v>
      </c>
      <c r="J616" s="1" t="s">
        <v>28</v>
      </c>
      <c r="K616" s="1" t="s">
        <v>36</v>
      </c>
      <c r="L616" s="1" t="s">
        <v>13</v>
      </c>
      <c r="M616" s="1" t="s">
        <v>32</v>
      </c>
      <c r="N616" s="1" t="s">
        <v>14</v>
      </c>
      <c r="O616" t="s">
        <v>45</v>
      </c>
    </row>
    <row r="617" spans="1:15" x14ac:dyDescent="0.25">
      <c r="A617" s="1" t="s">
        <v>936</v>
      </c>
      <c r="B617" s="1" t="s">
        <v>935</v>
      </c>
      <c r="C617" s="3">
        <v>44981.404861111114</v>
      </c>
      <c r="D617" s="4">
        <f t="shared" si="37"/>
        <v>44981</v>
      </c>
      <c r="E617" s="6">
        <v>26.244444444440902</v>
      </c>
      <c r="F617" s="6" t="str" cm="1">
        <f t="array" ref="F617">_xlfn.IFS(
     AND(HOUR(session_data[[#This Row],[Time]])&gt;5,HOUR(session_data[[#This Row],[Time]])&lt;12),"Morning",
     AND(HOUR(session_data[[#This Row],[Time]])&gt;=12,HOUR(session_data[[#This Row],[Time]])&lt;17),"Afternoon",
     AND(HOUR(session_data[[#This Row],[Time]])&gt;=17,HOUR(session_data[[#This Row],[Time]])&lt;21),"Evening",
     TRUE,"Night"
)</f>
        <v>Night</v>
      </c>
      <c r="G617" s="1">
        <f t="shared" si="38"/>
        <v>2023</v>
      </c>
      <c r="H617" s="1" t="str">
        <f t="shared" si="39"/>
        <v>Feb</v>
      </c>
      <c r="I617" s="1" t="str">
        <f t="shared" si="36"/>
        <v>Fri</v>
      </c>
      <c r="J617" s="1" t="s">
        <v>28</v>
      </c>
      <c r="K617" s="1" t="s">
        <v>36</v>
      </c>
      <c r="L617" s="1" t="s">
        <v>13</v>
      </c>
      <c r="M617" s="1" t="s">
        <v>32</v>
      </c>
      <c r="N617" s="1" t="s">
        <v>22</v>
      </c>
      <c r="O617" t="s">
        <v>45</v>
      </c>
    </row>
    <row r="618" spans="1:15" x14ac:dyDescent="0.25">
      <c r="A618" s="1" t="s">
        <v>937</v>
      </c>
      <c r="B618" s="1" t="s">
        <v>938</v>
      </c>
      <c r="C618" s="3">
        <v>45137.394444444442</v>
      </c>
      <c r="D618" s="4">
        <f t="shared" si="37"/>
        <v>45137</v>
      </c>
      <c r="E618" s="6">
        <v>26.286111111107601</v>
      </c>
      <c r="F618" s="6" t="str" cm="1">
        <f t="array" ref="F618">_xlfn.IFS(
     AND(HOUR(session_data[[#This Row],[Time]])&gt;5,HOUR(session_data[[#This Row],[Time]])&lt;12),"Morning",
     AND(HOUR(session_data[[#This Row],[Time]])&gt;=12,HOUR(session_data[[#This Row],[Time]])&lt;17),"Afternoon",
     AND(HOUR(session_data[[#This Row],[Time]])&gt;=17,HOUR(session_data[[#This Row],[Time]])&lt;21),"Evening",
     TRUE,"Night"
)</f>
        <v>Morning</v>
      </c>
      <c r="G618" s="1">
        <f t="shared" si="38"/>
        <v>2023</v>
      </c>
      <c r="H618" s="1" t="str">
        <f t="shared" si="39"/>
        <v>Jul</v>
      </c>
      <c r="I618" s="1" t="str">
        <f t="shared" si="36"/>
        <v>Sun</v>
      </c>
      <c r="J618" s="1" t="s">
        <v>18</v>
      </c>
      <c r="K618" s="1" t="s">
        <v>12</v>
      </c>
      <c r="L618" s="1" t="s">
        <v>30</v>
      </c>
      <c r="M618" s="1" t="s">
        <v>32</v>
      </c>
      <c r="N618" s="1" t="s">
        <v>14</v>
      </c>
      <c r="O618" t="s">
        <v>15</v>
      </c>
    </row>
    <row r="619" spans="1:15" x14ac:dyDescent="0.25">
      <c r="A619" s="1" t="s">
        <v>939</v>
      </c>
      <c r="B619" s="1" t="s">
        <v>940</v>
      </c>
      <c r="C619" s="3">
        <v>45073.592361111114</v>
      </c>
      <c r="D619" s="4">
        <f t="shared" si="37"/>
        <v>45073</v>
      </c>
      <c r="E619" s="6">
        <v>26.327777777774202</v>
      </c>
      <c r="F619" s="6" t="str" cm="1">
        <f t="array" ref="F619">_xlfn.IFS(
     AND(HOUR(session_data[[#This Row],[Time]])&gt;5,HOUR(session_data[[#This Row],[Time]])&lt;12),"Morning",
     AND(HOUR(session_data[[#This Row],[Time]])&gt;=12,HOUR(session_data[[#This Row],[Time]])&lt;17),"Afternoon",
     AND(HOUR(session_data[[#This Row],[Time]])&gt;=17,HOUR(session_data[[#This Row],[Time]])&lt;21),"Evening",
     TRUE,"Night"
)</f>
        <v>Morning</v>
      </c>
      <c r="G619" s="1">
        <f t="shared" si="38"/>
        <v>2023</v>
      </c>
      <c r="H619" s="1" t="str">
        <f t="shared" si="39"/>
        <v>May</v>
      </c>
      <c r="I619" s="1" t="str">
        <f t="shared" si="36"/>
        <v>Sat</v>
      </c>
      <c r="J619" s="1" t="s">
        <v>28</v>
      </c>
      <c r="K619" s="1" t="s">
        <v>12</v>
      </c>
      <c r="L619" s="1" t="s">
        <v>94</v>
      </c>
      <c r="M619" s="1" t="s">
        <v>32</v>
      </c>
      <c r="N619" s="1" t="s">
        <v>14</v>
      </c>
      <c r="O619" t="s">
        <v>45</v>
      </c>
    </row>
    <row r="620" spans="1:15" x14ac:dyDescent="0.25">
      <c r="A620" s="1" t="s">
        <v>941</v>
      </c>
      <c r="B620" s="1" t="s">
        <v>940</v>
      </c>
      <c r="C620" s="2">
        <v>45144.592361111114</v>
      </c>
      <c r="D620" s="4">
        <f t="shared" si="37"/>
        <v>45144</v>
      </c>
      <c r="E620" s="6">
        <v>26.369444444440902</v>
      </c>
      <c r="F620" s="6" t="str" cm="1">
        <f t="array" ref="F620">_xlfn.IFS(
     AND(HOUR(session_data[[#This Row],[Time]])&gt;5,HOUR(session_data[[#This Row],[Time]])&lt;12),"Morning",
     AND(HOUR(session_data[[#This Row],[Time]])&gt;=12,HOUR(session_data[[#This Row],[Time]])&lt;17),"Afternoon",
     AND(HOUR(session_data[[#This Row],[Time]])&gt;=17,HOUR(session_data[[#This Row],[Time]])&lt;21),"Evening",
     TRUE,"Night"
)</f>
        <v>Morning</v>
      </c>
      <c r="G620" s="1">
        <f t="shared" si="38"/>
        <v>2023</v>
      </c>
      <c r="H620" s="1" t="str">
        <f t="shared" si="39"/>
        <v>Aug</v>
      </c>
      <c r="I620" s="1" t="str">
        <f t="shared" si="36"/>
        <v>Sun</v>
      </c>
      <c r="J620" s="1" t="s">
        <v>28</v>
      </c>
      <c r="K620" s="1" t="s">
        <v>12</v>
      </c>
      <c r="L620" s="1" t="s">
        <v>94</v>
      </c>
      <c r="M620" s="1" t="s">
        <v>32</v>
      </c>
      <c r="N620" s="1" t="s">
        <v>22</v>
      </c>
      <c r="O620" t="s">
        <v>45</v>
      </c>
    </row>
    <row r="621" spans="1:15" x14ac:dyDescent="0.25">
      <c r="A621" s="1" t="s">
        <v>942</v>
      </c>
      <c r="B621" s="1" t="s">
        <v>943</v>
      </c>
      <c r="C621" s="2">
        <v>44965.211111111108</v>
      </c>
      <c r="D621" s="4">
        <f t="shared" si="37"/>
        <v>44965</v>
      </c>
      <c r="E621" s="6">
        <v>26.411111111107601</v>
      </c>
      <c r="F621" s="6" t="str" cm="1">
        <f t="array" ref="F621">_xlfn.IFS(
     AND(HOUR(session_data[[#This Row],[Time]])&gt;5,HOUR(session_data[[#This Row],[Time]])&lt;12),"Morning",
     AND(HOUR(session_data[[#This Row],[Time]])&gt;=12,HOUR(session_data[[#This Row],[Time]])&lt;17),"Afternoon",
     AND(HOUR(session_data[[#This Row],[Time]])&gt;=17,HOUR(session_data[[#This Row],[Time]])&lt;21),"Evening",
     TRUE,"Night"
)</f>
        <v>Morning</v>
      </c>
      <c r="G621" s="1">
        <f t="shared" si="38"/>
        <v>2023</v>
      </c>
      <c r="H621" s="1" t="str">
        <f t="shared" si="39"/>
        <v>Feb</v>
      </c>
      <c r="I621" s="1" t="str">
        <f t="shared" si="36"/>
        <v>Wed</v>
      </c>
      <c r="J621" s="1" t="s">
        <v>18</v>
      </c>
      <c r="K621" s="1" t="s">
        <v>12</v>
      </c>
      <c r="L621" s="1" t="s">
        <v>41</v>
      </c>
      <c r="M621" s="1" t="s">
        <v>40</v>
      </c>
      <c r="N621" s="1" t="s">
        <v>14</v>
      </c>
      <c r="O621" t="s">
        <v>15</v>
      </c>
    </row>
    <row r="622" spans="1:15" x14ac:dyDescent="0.25">
      <c r="A622" s="1" t="s">
        <v>944</v>
      </c>
      <c r="B622" s="1" t="s">
        <v>945</v>
      </c>
      <c r="C622" s="2">
        <v>45050.076388888891</v>
      </c>
      <c r="D622" s="4">
        <f t="shared" si="37"/>
        <v>45050</v>
      </c>
      <c r="E622" s="6">
        <v>26.452777777774202</v>
      </c>
      <c r="F622" s="6" t="str" cm="1">
        <f t="array" ref="F622">_xlfn.IFS(
     AND(HOUR(session_data[[#This Row],[Time]])&gt;5,HOUR(session_data[[#This Row],[Time]])&lt;12),"Morning",
     AND(HOUR(session_data[[#This Row],[Time]])&gt;=12,HOUR(session_data[[#This Row],[Time]])&lt;17),"Afternoon",
     AND(HOUR(session_data[[#This Row],[Time]])&gt;=17,HOUR(session_data[[#This Row],[Time]])&lt;21),"Evening",
     TRUE,"Night"
)</f>
        <v>Morning</v>
      </c>
      <c r="G622" s="1">
        <f t="shared" si="38"/>
        <v>2023</v>
      </c>
      <c r="H622" s="1" t="str">
        <f t="shared" si="39"/>
        <v>May</v>
      </c>
      <c r="I622" s="1" t="str">
        <f t="shared" si="36"/>
        <v>Thu</v>
      </c>
      <c r="J622" s="1" t="s">
        <v>11</v>
      </c>
      <c r="K622" s="1" t="s">
        <v>29</v>
      </c>
      <c r="L622" s="1" t="s">
        <v>59</v>
      </c>
      <c r="M622" s="1" t="s">
        <v>19</v>
      </c>
      <c r="N622" s="1" t="s">
        <v>14</v>
      </c>
      <c r="O622" t="s">
        <v>15</v>
      </c>
    </row>
    <row r="623" spans="1:15" x14ac:dyDescent="0.25">
      <c r="A623" s="1" t="s">
        <v>946</v>
      </c>
      <c r="B623" s="1" t="s">
        <v>947</v>
      </c>
      <c r="C623" s="2">
        <v>45082.572916666664</v>
      </c>
      <c r="D623" s="4">
        <f t="shared" si="37"/>
        <v>45082</v>
      </c>
      <c r="E623" s="6">
        <v>26.494444444440902</v>
      </c>
      <c r="F623" s="6" t="str" cm="1">
        <f t="array" ref="F623">_xlfn.IFS(
     AND(HOUR(session_data[[#This Row],[Time]])&gt;5,HOUR(session_data[[#This Row],[Time]])&lt;12),"Morning",
     AND(HOUR(session_data[[#This Row],[Time]])&gt;=12,HOUR(session_data[[#This Row],[Time]])&lt;17),"Afternoon",
     AND(HOUR(session_data[[#This Row],[Time]])&gt;=17,HOUR(session_data[[#This Row],[Time]])&lt;21),"Evening",
     TRUE,"Night"
)</f>
        <v>Morning</v>
      </c>
      <c r="G623" s="1">
        <f t="shared" si="38"/>
        <v>2023</v>
      </c>
      <c r="H623" s="1" t="str">
        <f t="shared" si="39"/>
        <v>Jun</v>
      </c>
      <c r="I623" s="1" t="str">
        <f t="shared" si="36"/>
        <v>Mon</v>
      </c>
      <c r="J623" s="1" t="s">
        <v>18</v>
      </c>
      <c r="K623" s="1" t="s">
        <v>29</v>
      </c>
      <c r="L623" s="1" t="s">
        <v>94</v>
      </c>
      <c r="M623" s="1" t="s">
        <v>32</v>
      </c>
      <c r="N623" s="1" t="s">
        <v>14</v>
      </c>
      <c r="O623" t="s">
        <v>45</v>
      </c>
    </row>
    <row r="624" spans="1:15" x14ac:dyDescent="0.25">
      <c r="A624" s="1" t="s">
        <v>948</v>
      </c>
      <c r="B624" s="1" t="s">
        <v>947</v>
      </c>
      <c r="C624" s="3">
        <v>45073.28125</v>
      </c>
      <c r="D624" s="4">
        <f t="shared" si="37"/>
        <v>45073</v>
      </c>
      <c r="E624" s="6">
        <v>26.536111111107601</v>
      </c>
      <c r="F624" s="6" t="str" cm="1">
        <f t="array" ref="F624">_xlfn.IFS(
     AND(HOUR(session_data[[#This Row],[Time]])&gt;5,HOUR(session_data[[#This Row],[Time]])&lt;12),"Morning",
     AND(HOUR(session_data[[#This Row],[Time]])&gt;=12,HOUR(session_data[[#This Row],[Time]])&lt;17),"Afternoon",
     AND(HOUR(session_data[[#This Row],[Time]])&gt;=17,HOUR(session_data[[#This Row],[Time]])&lt;21),"Evening",
     TRUE,"Night"
)</f>
        <v>Afternoon</v>
      </c>
      <c r="G624" s="1">
        <f t="shared" si="38"/>
        <v>2023</v>
      </c>
      <c r="H624" s="1" t="str">
        <f t="shared" si="39"/>
        <v>May</v>
      </c>
      <c r="I624" s="1" t="str">
        <f t="shared" si="36"/>
        <v>Sat</v>
      </c>
      <c r="J624" s="1" t="s">
        <v>18</v>
      </c>
      <c r="K624" s="1" t="s">
        <v>29</v>
      </c>
      <c r="L624" s="1" t="s">
        <v>94</v>
      </c>
      <c r="M624" s="1" t="s">
        <v>32</v>
      </c>
      <c r="N624" s="1" t="s">
        <v>22</v>
      </c>
      <c r="O624" t="s">
        <v>45</v>
      </c>
    </row>
    <row r="625" spans="1:15" x14ac:dyDescent="0.25">
      <c r="A625" s="1" t="s">
        <v>949</v>
      </c>
      <c r="B625" s="1" t="s">
        <v>947</v>
      </c>
      <c r="C625" s="3">
        <v>45094.572916666664</v>
      </c>
      <c r="D625" s="4">
        <f t="shared" si="37"/>
        <v>45094</v>
      </c>
      <c r="E625" s="6">
        <v>26.577777777774202</v>
      </c>
      <c r="F625" s="6" t="str" cm="1">
        <f t="array" ref="F625">_xlfn.IFS(
     AND(HOUR(session_data[[#This Row],[Time]])&gt;5,HOUR(session_data[[#This Row],[Time]])&lt;12),"Morning",
     AND(HOUR(session_data[[#This Row],[Time]])&gt;=12,HOUR(session_data[[#This Row],[Time]])&lt;17),"Afternoon",
     AND(HOUR(session_data[[#This Row],[Time]])&gt;=17,HOUR(session_data[[#This Row],[Time]])&lt;21),"Evening",
     TRUE,"Night"
)</f>
        <v>Afternoon</v>
      </c>
      <c r="G625" s="1">
        <f t="shared" si="38"/>
        <v>2023</v>
      </c>
      <c r="H625" s="1" t="str">
        <f t="shared" si="39"/>
        <v>Jun</v>
      </c>
      <c r="I625" s="1" t="str">
        <f t="shared" si="36"/>
        <v>Sat</v>
      </c>
      <c r="J625" s="1" t="s">
        <v>18</v>
      </c>
      <c r="K625" s="1" t="s">
        <v>29</v>
      </c>
      <c r="L625" s="1" t="s">
        <v>94</v>
      </c>
      <c r="M625" s="1" t="s">
        <v>32</v>
      </c>
      <c r="N625" s="1" t="s">
        <v>22</v>
      </c>
      <c r="O625" t="s">
        <v>45</v>
      </c>
    </row>
    <row r="626" spans="1:15" x14ac:dyDescent="0.25">
      <c r="A626" s="1" t="s">
        <v>950</v>
      </c>
      <c r="B626" s="1" t="s">
        <v>951</v>
      </c>
      <c r="C626" s="3">
        <v>45006.929861111108</v>
      </c>
      <c r="D626" s="4">
        <f t="shared" si="37"/>
        <v>45006</v>
      </c>
      <c r="E626" s="6">
        <v>26.619444444440902</v>
      </c>
      <c r="F626" s="6" t="str" cm="1">
        <f t="array" ref="F626">_xlfn.IFS(
     AND(HOUR(session_data[[#This Row],[Time]])&gt;5,HOUR(session_data[[#This Row],[Time]])&lt;12),"Morning",
     AND(HOUR(session_data[[#This Row],[Time]])&gt;=12,HOUR(session_data[[#This Row],[Time]])&lt;17),"Afternoon",
     AND(HOUR(session_data[[#This Row],[Time]])&gt;=17,HOUR(session_data[[#This Row],[Time]])&lt;21),"Evening",
     TRUE,"Night"
)</f>
        <v>Afternoon</v>
      </c>
      <c r="G626" s="1">
        <f t="shared" si="38"/>
        <v>2023</v>
      </c>
      <c r="H626" s="1" t="str">
        <f t="shared" si="39"/>
        <v>Mar</v>
      </c>
      <c r="I626" s="1" t="str">
        <f t="shared" si="36"/>
        <v>Tue</v>
      </c>
      <c r="J626" s="1" t="s">
        <v>11</v>
      </c>
      <c r="K626" s="1" t="s">
        <v>12</v>
      </c>
      <c r="L626" s="1" t="s">
        <v>119</v>
      </c>
      <c r="M626" s="1" t="s">
        <v>40</v>
      </c>
      <c r="N626" s="1" t="s">
        <v>14</v>
      </c>
      <c r="O626" t="s">
        <v>45</v>
      </c>
    </row>
    <row r="627" spans="1:15" x14ac:dyDescent="0.25">
      <c r="A627" s="1" t="s">
        <v>952</v>
      </c>
      <c r="B627" s="1" t="s">
        <v>953</v>
      </c>
      <c r="C627" s="2">
        <v>45082.29791666667</v>
      </c>
      <c r="D627" s="4">
        <f t="shared" si="37"/>
        <v>45082</v>
      </c>
      <c r="E627" s="6">
        <v>26.661111111107601</v>
      </c>
      <c r="F627" s="6" t="str" cm="1">
        <f t="array" ref="F627">_xlfn.IFS(
     AND(HOUR(session_data[[#This Row],[Time]])&gt;5,HOUR(session_data[[#This Row],[Time]])&lt;12),"Morning",
     AND(HOUR(session_data[[#This Row],[Time]])&gt;=12,HOUR(session_data[[#This Row],[Time]])&lt;17),"Afternoon",
     AND(HOUR(session_data[[#This Row],[Time]])&gt;=17,HOUR(session_data[[#This Row],[Time]])&lt;21),"Evening",
     TRUE,"Night"
)</f>
        <v>Afternoon</v>
      </c>
      <c r="G627" s="1">
        <f t="shared" si="38"/>
        <v>2023</v>
      </c>
      <c r="H627" s="1" t="str">
        <f t="shared" si="39"/>
        <v>Jun</v>
      </c>
      <c r="I627" s="1" t="str">
        <f t="shared" si="36"/>
        <v>Mon</v>
      </c>
      <c r="J627" s="1" t="s">
        <v>66</v>
      </c>
      <c r="K627" s="1" t="s">
        <v>12</v>
      </c>
      <c r="L627" s="1" t="s">
        <v>94</v>
      </c>
      <c r="M627" s="1" t="s">
        <v>32</v>
      </c>
      <c r="N627" s="1" t="s">
        <v>14</v>
      </c>
      <c r="O627" t="s">
        <v>15</v>
      </c>
    </row>
    <row r="628" spans="1:15" x14ac:dyDescent="0.25">
      <c r="A628" s="1" t="s">
        <v>954</v>
      </c>
      <c r="B628" s="1" t="s">
        <v>955</v>
      </c>
      <c r="C628" s="3">
        <v>44942.018055555556</v>
      </c>
      <c r="D628" s="4">
        <f t="shared" si="37"/>
        <v>44942</v>
      </c>
      <c r="E628" s="6">
        <v>26.702777777774202</v>
      </c>
      <c r="F628" s="6" t="str" cm="1">
        <f t="array" ref="F628">_xlfn.IFS(
     AND(HOUR(session_data[[#This Row],[Time]])&gt;5,HOUR(session_data[[#This Row],[Time]])&lt;12),"Morning",
     AND(HOUR(session_data[[#This Row],[Time]])&gt;=12,HOUR(session_data[[#This Row],[Time]])&lt;17),"Afternoon",
     AND(HOUR(session_data[[#This Row],[Time]])&gt;=17,HOUR(session_data[[#This Row],[Time]])&lt;21),"Evening",
     TRUE,"Night"
)</f>
        <v>Afternoon</v>
      </c>
      <c r="G628" s="1">
        <f t="shared" si="38"/>
        <v>2023</v>
      </c>
      <c r="H628" s="1" t="str">
        <f t="shared" si="39"/>
        <v>Jan</v>
      </c>
      <c r="I628" s="1" t="str">
        <f t="shared" si="36"/>
        <v>Mon</v>
      </c>
      <c r="J628" s="1" t="s">
        <v>11</v>
      </c>
      <c r="K628" s="1" t="s">
        <v>12</v>
      </c>
      <c r="L628" s="1" t="s">
        <v>13</v>
      </c>
      <c r="M628" s="1" t="s">
        <v>32</v>
      </c>
      <c r="N628" s="1" t="s">
        <v>14</v>
      </c>
      <c r="O628" t="s">
        <v>45</v>
      </c>
    </row>
    <row r="629" spans="1:15" x14ac:dyDescent="0.25">
      <c r="A629" s="1" t="s">
        <v>956</v>
      </c>
      <c r="B629" s="1" t="s">
        <v>955</v>
      </c>
      <c r="C629" s="3">
        <v>44978.893055555556</v>
      </c>
      <c r="D629" s="4">
        <f t="shared" si="37"/>
        <v>44978</v>
      </c>
      <c r="E629" s="6">
        <v>26.744444444440902</v>
      </c>
      <c r="F629" s="6" t="str" cm="1">
        <f t="array" ref="F629">_xlfn.IFS(
     AND(HOUR(session_data[[#This Row],[Time]])&gt;5,HOUR(session_data[[#This Row],[Time]])&lt;12),"Morning",
     AND(HOUR(session_data[[#This Row],[Time]])&gt;=12,HOUR(session_data[[#This Row],[Time]])&lt;17),"Afternoon",
     AND(HOUR(session_data[[#This Row],[Time]])&gt;=17,HOUR(session_data[[#This Row],[Time]])&lt;21),"Evening",
     TRUE,"Night"
)</f>
        <v>Evening</v>
      </c>
      <c r="G629" s="1">
        <f t="shared" si="38"/>
        <v>2023</v>
      </c>
      <c r="H629" s="1" t="str">
        <f t="shared" si="39"/>
        <v>Feb</v>
      </c>
      <c r="I629" s="1" t="str">
        <f t="shared" si="36"/>
        <v>Tue</v>
      </c>
      <c r="J629" s="1" t="s">
        <v>11</v>
      </c>
      <c r="K629" s="1" t="s">
        <v>12</v>
      </c>
      <c r="L629" s="1" t="s">
        <v>13</v>
      </c>
      <c r="M629" s="1" t="s">
        <v>32</v>
      </c>
      <c r="N629" s="1" t="s">
        <v>22</v>
      </c>
      <c r="O629" t="s">
        <v>45</v>
      </c>
    </row>
    <row r="630" spans="1:15" x14ac:dyDescent="0.25">
      <c r="A630" s="1" t="s">
        <v>957</v>
      </c>
      <c r="B630" s="1" t="s">
        <v>958</v>
      </c>
      <c r="C630" s="2">
        <v>45268.863194444442</v>
      </c>
      <c r="D630" s="4">
        <f t="shared" si="37"/>
        <v>45268</v>
      </c>
      <c r="E630" s="6">
        <v>26.786111111107601</v>
      </c>
      <c r="F630" s="6" t="str" cm="1">
        <f t="array" ref="F630">_xlfn.IFS(
     AND(HOUR(session_data[[#This Row],[Time]])&gt;5,HOUR(session_data[[#This Row],[Time]])&lt;12),"Morning",
     AND(HOUR(session_data[[#This Row],[Time]])&gt;=12,HOUR(session_data[[#This Row],[Time]])&lt;17),"Afternoon",
     AND(HOUR(session_data[[#This Row],[Time]])&gt;=17,HOUR(session_data[[#This Row],[Time]])&lt;21),"Evening",
     TRUE,"Night"
)</f>
        <v>Evening</v>
      </c>
      <c r="G630" s="1">
        <f t="shared" si="38"/>
        <v>2023</v>
      </c>
      <c r="H630" s="1" t="str">
        <f t="shared" si="39"/>
        <v>Dec</v>
      </c>
      <c r="I630" s="1" t="str">
        <f t="shared" si="36"/>
        <v>Fri</v>
      </c>
      <c r="J630" s="1" t="s">
        <v>66</v>
      </c>
      <c r="K630" s="1" t="s">
        <v>36</v>
      </c>
      <c r="L630" s="1" t="s">
        <v>41</v>
      </c>
      <c r="M630" s="1" t="s">
        <v>40</v>
      </c>
      <c r="N630" s="1" t="s">
        <v>14</v>
      </c>
      <c r="O630" t="s">
        <v>45</v>
      </c>
    </row>
    <row r="631" spans="1:15" x14ac:dyDescent="0.25">
      <c r="A631" s="1" t="s">
        <v>959</v>
      </c>
      <c r="B631" s="1" t="s">
        <v>958</v>
      </c>
      <c r="C631" s="3">
        <v>45162.154861111114</v>
      </c>
      <c r="D631" s="4">
        <f t="shared" si="37"/>
        <v>45162</v>
      </c>
      <c r="E631" s="6">
        <v>26.827777777774202</v>
      </c>
      <c r="F631" s="6" t="str" cm="1">
        <f t="array" ref="F631">_xlfn.IFS(
     AND(HOUR(session_data[[#This Row],[Time]])&gt;5,HOUR(session_data[[#This Row],[Time]])&lt;12),"Morning",
     AND(HOUR(session_data[[#This Row],[Time]])&gt;=12,HOUR(session_data[[#This Row],[Time]])&lt;17),"Afternoon",
     AND(HOUR(session_data[[#This Row],[Time]])&gt;=17,HOUR(session_data[[#This Row],[Time]])&lt;21),"Evening",
     TRUE,"Night"
)</f>
        <v>Evening</v>
      </c>
      <c r="G631" s="1">
        <f t="shared" si="38"/>
        <v>2023</v>
      </c>
      <c r="H631" s="1" t="str">
        <f t="shared" si="39"/>
        <v>Aug</v>
      </c>
      <c r="I631" s="1" t="str">
        <f t="shared" si="36"/>
        <v>Thu</v>
      </c>
      <c r="J631" s="1" t="s">
        <v>66</v>
      </c>
      <c r="K631" s="1" t="s">
        <v>36</v>
      </c>
      <c r="L631" s="1" t="s">
        <v>41</v>
      </c>
      <c r="M631" s="1" t="s">
        <v>40</v>
      </c>
      <c r="N631" s="1" t="s">
        <v>22</v>
      </c>
      <c r="O631" t="s">
        <v>45</v>
      </c>
    </row>
    <row r="632" spans="1:15" x14ac:dyDescent="0.25">
      <c r="A632" s="1" t="s">
        <v>960</v>
      </c>
      <c r="B632" s="1" t="s">
        <v>958</v>
      </c>
      <c r="C632" s="3">
        <v>45196.529861111114</v>
      </c>
      <c r="D632" s="4">
        <f t="shared" si="37"/>
        <v>45196</v>
      </c>
      <c r="E632" s="6">
        <v>26.869444444440902</v>
      </c>
      <c r="F632" s="6" t="str" cm="1">
        <f t="array" ref="F632">_xlfn.IFS(
     AND(HOUR(session_data[[#This Row],[Time]])&gt;5,HOUR(session_data[[#This Row],[Time]])&lt;12),"Morning",
     AND(HOUR(session_data[[#This Row],[Time]])&gt;=12,HOUR(session_data[[#This Row],[Time]])&lt;17),"Afternoon",
     AND(HOUR(session_data[[#This Row],[Time]])&gt;=17,HOUR(session_data[[#This Row],[Time]])&lt;21),"Evening",
     TRUE,"Night"
)</f>
        <v>Evening</v>
      </c>
      <c r="G632" s="1">
        <f t="shared" si="38"/>
        <v>2023</v>
      </c>
      <c r="H632" s="1" t="str">
        <f t="shared" si="39"/>
        <v>Sep</v>
      </c>
      <c r="I632" s="1" t="str">
        <f t="shared" si="36"/>
        <v>Wed</v>
      </c>
      <c r="J632" s="1" t="s">
        <v>66</v>
      </c>
      <c r="K632" s="1" t="s">
        <v>36</v>
      </c>
      <c r="L632" s="1" t="s">
        <v>41</v>
      </c>
      <c r="M632" s="1" t="s">
        <v>40</v>
      </c>
      <c r="N632" s="1" t="s">
        <v>22</v>
      </c>
      <c r="O632" t="s">
        <v>45</v>
      </c>
    </row>
    <row r="633" spans="1:15" x14ac:dyDescent="0.25">
      <c r="A633" s="1" t="s">
        <v>961</v>
      </c>
      <c r="B633" s="1" t="s">
        <v>962</v>
      </c>
      <c r="C633" s="3">
        <v>45036.486805555556</v>
      </c>
      <c r="D633" s="4">
        <f t="shared" si="37"/>
        <v>45036</v>
      </c>
      <c r="E633" s="6">
        <v>26.911111111107601</v>
      </c>
      <c r="F633" s="6" t="str" cm="1">
        <f t="array" ref="F633">_xlfn.IFS(
     AND(HOUR(session_data[[#This Row],[Time]])&gt;5,HOUR(session_data[[#This Row],[Time]])&lt;12),"Morning",
     AND(HOUR(session_data[[#This Row],[Time]])&gt;=12,HOUR(session_data[[#This Row],[Time]])&lt;17),"Afternoon",
     AND(HOUR(session_data[[#This Row],[Time]])&gt;=17,HOUR(session_data[[#This Row],[Time]])&lt;21),"Evening",
     TRUE,"Night"
)</f>
        <v>Night</v>
      </c>
      <c r="G633" s="1">
        <f t="shared" si="38"/>
        <v>2023</v>
      </c>
      <c r="H633" s="1" t="str">
        <f t="shared" si="39"/>
        <v>Apr</v>
      </c>
      <c r="I633" s="1" t="str">
        <f t="shared" si="36"/>
        <v>Thu</v>
      </c>
      <c r="J633" s="1" t="s">
        <v>11</v>
      </c>
      <c r="K633" s="1" t="s">
        <v>29</v>
      </c>
      <c r="L633" s="1" t="s">
        <v>13</v>
      </c>
      <c r="M633" s="1" t="s">
        <v>32</v>
      </c>
      <c r="N633" s="1" t="s">
        <v>14</v>
      </c>
      <c r="O633" t="s">
        <v>15</v>
      </c>
    </row>
    <row r="634" spans="1:15" x14ac:dyDescent="0.25">
      <c r="A634" s="1" t="s">
        <v>963</v>
      </c>
      <c r="B634" s="1" t="s">
        <v>964</v>
      </c>
      <c r="C634" s="3">
        <v>45064.872916666667</v>
      </c>
      <c r="D634" s="4">
        <f t="shared" si="37"/>
        <v>45064</v>
      </c>
      <c r="E634" s="6">
        <v>26.952777777774202</v>
      </c>
      <c r="F634" s="6" t="str" cm="1">
        <f t="array" ref="F634">_xlfn.IFS(
     AND(HOUR(session_data[[#This Row],[Time]])&gt;5,HOUR(session_data[[#This Row],[Time]])&lt;12),"Morning",
     AND(HOUR(session_data[[#This Row],[Time]])&gt;=12,HOUR(session_data[[#This Row],[Time]])&lt;17),"Afternoon",
     AND(HOUR(session_data[[#This Row],[Time]])&gt;=17,HOUR(session_data[[#This Row],[Time]])&lt;21),"Evening",
     TRUE,"Night"
)</f>
        <v>Night</v>
      </c>
      <c r="G634" s="1">
        <f t="shared" si="38"/>
        <v>2023</v>
      </c>
      <c r="H634" s="1" t="str">
        <f t="shared" si="39"/>
        <v>May</v>
      </c>
      <c r="I634" s="1" t="str">
        <f t="shared" si="36"/>
        <v>Thu</v>
      </c>
      <c r="J634" s="1" t="s">
        <v>44</v>
      </c>
      <c r="K634" s="1" t="s">
        <v>29</v>
      </c>
      <c r="L634" s="1" t="s">
        <v>79</v>
      </c>
      <c r="M634" s="1" t="s">
        <v>40</v>
      </c>
      <c r="N634" s="1" t="s">
        <v>14</v>
      </c>
      <c r="O634" t="s">
        <v>45</v>
      </c>
    </row>
    <row r="635" spans="1:15" x14ac:dyDescent="0.25">
      <c r="A635" s="1" t="s">
        <v>965</v>
      </c>
      <c r="B635" s="1" t="s">
        <v>964</v>
      </c>
      <c r="C635" s="3">
        <v>45076.664583333331</v>
      </c>
      <c r="D635" s="4">
        <f t="shared" si="37"/>
        <v>45076</v>
      </c>
      <c r="E635" s="6">
        <v>26.994444444440902</v>
      </c>
      <c r="F635" s="6" t="str" cm="1">
        <f t="array" ref="F635">_xlfn.IFS(
     AND(HOUR(session_data[[#This Row],[Time]])&gt;5,HOUR(session_data[[#This Row],[Time]])&lt;12),"Morning",
     AND(HOUR(session_data[[#This Row],[Time]])&gt;=12,HOUR(session_data[[#This Row],[Time]])&lt;17),"Afternoon",
     AND(HOUR(session_data[[#This Row],[Time]])&gt;=17,HOUR(session_data[[#This Row],[Time]])&lt;21),"Evening",
     TRUE,"Night"
)</f>
        <v>Night</v>
      </c>
      <c r="G635" s="1">
        <f t="shared" si="38"/>
        <v>2023</v>
      </c>
      <c r="H635" s="1" t="str">
        <f t="shared" si="39"/>
        <v>May</v>
      </c>
      <c r="I635" s="1" t="str">
        <f t="shared" si="36"/>
        <v>Tue</v>
      </c>
      <c r="J635" s="1" t="s">
        <v>44</v>
      </c>
      <c r="K635" s="1" t="s">
        <v>29</v>
      </c>
      <c r="L635" s="1" t="s">
        <v>79</v>
      </c>
      <c r="M635" s="1" t="s">
        <v>40</v>
      </c>
      <c r="N635" s="1" t="s">
        <v>22</v>
      </c>
      <c r="O635" t="s">
        <v>45</v>
      </c>
    </row>
    <row r="636" spans="1:15" x14ac:dyDescent="0.25">
      <c r="A636" s="1" t="s">
        <v>966</v>
      </c>
      <c r="B636" s="1" t="s">
        <v>967</v>
      </c>
      <c r="C636" s="2">
        <v>45050.174305555556</v>
      </c>
      <c r="D636" s="4">
        <f t="shared" si="37"/>
        <v>45050</v>
      </c>
      <c r="E636" s="6">
        <v>27.036111111107601</v>
      </c>
      <c r="F636" s="6" t="str" cm="1">
        <f t="array" ref="F636">_xlfn.IFS(
     AND(HOUR(session_data[[#This Row],[Time]])&gt;5,HOUR(session_data[[#This Row],[Time]])&lt;12),"Morning",
     AND(HOUR(session_data[[#This Row],[Time]])&gt;=12,HOUR(session_data[[#This Row],[Time]])&lt;17),"Afternoon",
     AND(HOUR(session_data[[#This Row],[Time]])&gt;=17,HOUR(session_data[[#This Row],[Time]])&lt;21),"Evening",
     TRUE,"Night"
)</f>
        <v>Night</v>
      </c>
      <c r="G636" s="1">
        <f t="shared" si="38"/>
        <v>2023</v>
      </c>
      <c r="H636" s="1" t="str">
        <f t="shared" si="39"/>
        <v>May</v>
      </c>
      <c r="I636" s="1" t="str">
        <f t="shared" si="36"/>
        <v>Thu</v>
      </c>
      <c r="J636" s="1" t="s">
        <v>11</v>
      </c>
      <c r="K636" s="1" t="s">
        <v>12</v>
      </c>
      <c r="L636" s="1" t="s">
        <v>30</v>
      </c>
      <c r="M636" s="1" t="s">
        <v>32</v>
      </c>
      <c r="N636" s="1" t="s">
        <v>14</v>
      </c>
      <c r="O636" t="s">
        <v>15</v>
      </c>
    </row>
    <row r="637" spans="1:15" x14ac:dyDescent="0.25">
      <c r="A637" s="1" t="s">
        <v>968</v>
      </c>
      <c r="B637" s="1" t="s">
        <v>969</v>
      </c>
      <c r="C637" s="2">
        <v>45082.136111111111</v>
      </c>
      <c r="D637" s="4">
        <f t="shared" si="37"/>
        <v>45082</v>
      </c>
      <c r="E637" s="6">
        <v>27.077777777774202</v>
      </c>
      <c r="F637" s="6" t="str" cm="1">
        <f t="array" ref="F637">_xlfn.IFS(
     AND(HOUR(session_data[[#This Row],[Time]])&gt;5,HOUR(session_data[[#This Row],[Time]])&lt;12),"Morning",
     AND(HOUR(session_data[[#This Row],[Time]])&gt;=12,HOUR(session_data[[#This Row],[Time]])&lt;17),"Afternoon",
     AND(HOUR(session_data[[#This Row],[Time]])&gt;=17,HOUR(session_data[[#This Row],[Time]])&lt;21),"Evening",
     TRUE,"Night"
)</f>
        <v>Night</v>
      </c>
      <c r="G637" s="1">
        <f t="shared" si="38"/>
        <v>2023</v>
      </c>
      <c r="H637" s="1" t="str">
        <f t="shared" si="39"/>
        <v>Jun</v>
      </c>
      <c r="I637" s="1" t="str">
        <f t="shared" si="36"/>
        <v>Mon</v>
      </c>
      <c r="J637" s="1" t="s">
        <v>18</v>
      </c>
      <c r="K637" s="1" t="s">
        <v>12</v>
      </c>
      <c r="L637" s="1" t="s">
        <v>119</v>
      </c>
      <c r="M637" s="1" t="s">
        <v>40</v>
      </c>
      <c r="N637" s="1" t="s">
        <v>14</v>
      </c>
      <c r="O637" t="s">
        <v>45</v>
      </c>
    </row>
    <row r="638" spans="1:15" x14ac:dyDescent="0.25">
      <c r="A638" s="1" t="s">
        <v>970</v>
      </c>
      <c r="B638" s="1" t="s">
        <v>971</v>
      </c>
      <c r="C638" s="2">
        <v>45236.015972222223</v>
      </c>
      <c r="D638" s="4">
        <f t="shared" si="37"/>
        <v>45236</v>
      </c>
      <c r="E638" s="6">
        <v>27.119444444440902</v>
      </c>
      <c r="F638" s="6" t="str" cm="1">
        <f t="array" ref="F638">_xlfn.IFS(
     AND(HOUR(session_data[[#This Row],[Time]])&gt;5,HOUR(session_data[[#This Row],[Time]])&lt;12),"Morning",
     AND(HOUR(session_data[[#This Row],[Time]])&gt;=12,HOUR(session_data[[#This Row],[Time]])&lt;17),"Afternoon",
     AND(HOUR(session_data[[#This Row],[Time]])&gt;=17,HOUR(session_data[[#This Row],[Time]])&lt;21),"Evening",
     TRUE,"Night"
)</f>
        <v>Night</v>
      </c>
      <c r="G638" s="1">
        <f t="shared" si="38"/>
        <v>2023</v>
      </c>
      <c r="H638" s="1" t="str">
        <f t="shared" si="39"/>
        <v>Nov</v>
      </c>
      <c r="I638" s="1" t="str">
        <f t="shared" si="36"/>
        <v>Mon</v>
      </c>
      <c r="J638" s="1" t="s">
        <v>11</v>
      </c>
      <c r="K638" s="1" t="s">
        <v>29</v>
      </c>
      <c r="L638" s="1" t="s">
        <v>59</v>
      </c>
      <c r="M638" s="1" t="s">
        <v>19</v>
      </c>
      <c r="N638" s="1" t="s">
        <v>14</v>
      </c>
      <c r="O638" t="s">
        <v>45</v>
      </c>
    </row>
    <row r="639" spans="1:15" x14ac:dyDescent="0.25">
      <c r="A639" s="1" t="s">
        <v>972</v>
      </c>
      <c r="B639" s="1" t="s">
        <v>971</v>
      </c>
      <c r="C639" s="3">
        <v>45100.765972222223</v>
      </c>
      <c r="D639" s="4">
        <f t="shared" si="37"/>
        <v>45100</v>
      </c>
      <c r="E639" s="6">
        <v>27.161111111107601</v>
      </c>
      <c r="F639" s="6" t="str" cm="1">
        <f t="array" ref="F639">_xlfn.IFS(
     AND(HOUR(session_data[[#This Row],[Time]])&gt;5,HOUR(session_data[[#This Row],[Time]])&lt;12),"Morning",
     AND(HOUR(session_data[[#This Row],[Time]])&gt;=12,HOUR(session_data[[#This Row],[Time]])&lt;17),"Afternoon",
     AND(HOUR(session_data[[#This Row],[Time]])&gt;=17,HOUR(session_data[[#This Row],[Time]])&lt;21),"Evening",
     TRUE,"Night"
)</f>
        <v>Night</v>
      </c>
      <c r="G639" s="1">
        <f t="shared" si="38"/>
        <v>2023</v>
      </c>
      <c r="H639" s="1" t="str">
        <f t="shared" si="39"/>
        <v>Jun</v>
      </c>
      <c r="I639" s="1" t="str">
        <f t="shared" si="36"/>
        <v>Fri</v>
      </c>
      <c r="J639" s="1" t="s">
        <v>11</v>
      </c>
      <c r="K639" s="1" t="s">
        <v>29</v>
      </c>
      <c r="L639" s="1" t="s">
        <v>59</v>
      </c>
      <c r="M639" s="1" t="s">
        <v>19</v>
      </c>
      <c r="N639" s="1" t="s">
        <v>22</v>
      </c>
      <c r="O639" t="s">
        <v>45</v>
      </c>
    </row>
    <row r="640" spans="1:15" x14ac:dyDescent="0.25">
      <c r="A640" s="1" t="s">
        <v>973</v>
      </c>
      <c r="B640" s="1" t="s">
        <v>974</v>
      </c>
      <c r="C640" s="3">
        <v>45250.926388888889</v>
      </c>
      <c r="D640" s="4">
        <f t="shared" si="37"/>
        <v>45250</v>
      </c>
      <c r="E640" s="6">
        <v>27.202777777774202</v>
      </c>
      <c r="F640" s="6" t="str" cm="1">
        <f t="array" ref="F640">_xlfn.IFS(
     AND(HOUR(session_data[[#This Row],[Time]])&gt;5,HOUR(session_data[[#This Row],[Time]])&lt;12),"Morning",
     AND(HOUR(session_data[[#This Row],[Time]])&gt;=12,HOUR(session_data[[#This Row],[Time]])&lt;17),"Afternoon",
     AND(HOUR(session_data[[#This Row],[Time]])&gt;=17,HOUR(session_data[[#This Row],[Time]])&lt;21),"Evening",
     TRUE,"Night"
)</f>
        <v>Night</v>
      </c>
      <c r="G640" s="1">
        <f t="shared" si="38"/>
        <v>2023</v>
      </c>
      <c r="H640" s="1" t="str">
        <f t="shared" si="39"/>
        <v>Nov</v>
      </c>
      <c r="I640" s="1" t="str">
        <f t="shared" si="36"/>
        <v>Mon</v>
      </c>
      <c r="J640" s="1" t="s">
        <v>28</v>
      </c>
      <c r="K640" s="1" t="s">
        <v>29</v>
      </c>
      <c r="L640" s="1" t="s">
        <v>79</v>
      </c>
      <c r="M640" s="1" t="s">
        <v>40</v>
      </c>
      <c r="N640" s="1" t="s">
        <v>14</v>
      </c>
      <c r="O640" t="s">
        <v>15</v>
      </c>
    </row>
    <row r="641" spans="1:15" x14ac:dyDescent="0.25">
      <c r="A641" s="1" t="s">
        <v>975</v>
      </c>
      <c r="B641" s="1" t="s">
        <v>974</v>
      </c>
      <c r="C641" s="2">
        <v>45150.218055555553</v>
      </c>
      <c r="D641" s="4">
        <f t="shared" si="37"/>
        <v>45150</v>
      </c>
      <c r="E641" s="6">
        <v>27.244444444440902</v>
      </c>
      <c r="F641" s="6" t="str" cm="1">
        <f t="array" ref="F641">_xlfn.IFS(
     AND(HOUR(session_data[[#This Row],[Time]])&gt;5,HOUR(session_data[[#This Row],[Time]])&lt;12),"Morning",
     AND(HOUR(session_data[[#This Row],[Time]])&gt;=12,HOUR(session_data[[#This Row],[Time]])&lt;17),"Afternoon",
     AND(HOUR(session_data[[#This Row],[Time]])&gt;=17,HOUR(session_data[[#This Row],[Time]])&lt;21),"Evening",
     TRUE,"Night"
)</f>
        <v>Night</v>
      </c>
      <c r="G641" s="1">
        <f t="shared" si="38"/>
        <v>2023</v>
      </c>
      <c r="H641" s="1" t="str">
        <f t="shared" si="39"/>
        <v>Aug</v>
      </c>
      <c r="I641" s="1" t="str">
        <f t="shared" si="36"/>
        <v>Sat</v>
      </c>
      <c r="J641" s="1" t="s">
        <v>28</v>
      </c>
      <c r="K641" s="1" t="s">
        <v>29</v>
      </c>
      <c r="L641" s="1" t="s">
        <v>79</v>
      </c>
      <c r="M641" s="1" t="s">
        <v>40</v>
      </c>
      <c r="N641" s="1" t="s">
        <v>22</v>
      </c>
      <c r="O641" t="s">
        <v>15</v>
      </c>
    </row>
    <row r="642" spans="1:15" x14ac:dyDescent="0.25">
      <c r="A642" s="1" t="s">
        <v>976</v>
      </c>
      <c r="B642" s="1" t="s">
        <v>977</v>
      </c>
      <c r="C642" s="2">
        <v>45082.712500000001</v>
      </c>
      <c r="D642" s="4">
        <f t="shared" si="37"/>
        <v>45082</v>
      </c>
      <c r="E642" s="6">
        <v>27.286111111107601</v>
      </c>
      <c r="F642" s="6" t="str" cm="1">
        <f t="array" ref="F642">_xlfn.IFS(
     AND(HOUR(session_data[[#This Row],[Time]])&gt;5,HOUR(session_data[[#This Row],[Time]])&lt;12),"Morning",
     AND(HOUR(session_data[[#This Row],[Time]])&gt;=12,HOUR(session_data[[#This Row],[Time]])&lt;17),"Afternoon",
     AND(HOUR(session_data[[#This Row],[Time]])&gt;=17,HOUR(session_data[[#This Row],[Time]])&lt;21),"Evening",
     TRUE,"Night"
)</f>
        <v>Morning</v>
      </c>
      <c r="G642" s="1">
        <f t="shared" si="38"/>
        <v>2023</v>
      </c>
      <c r="H642" s="1" t="str">
        <f t="shared" si="39"/>
        <v>Jun</v>
      </c>
      <c r="I642" s="1" t="str">
        <f t="shared" ref="I642:I705" si="40">TEXT(D642,"DDD")</f>
        <v>Mon</v>
      </c>
      <c r="J642" s="1" t="s">
        <v>18</v>
      </c>
      <c r="K642" s="1" t="s">
        <v>12</v>
      </c>
      <c r="L642" s="1" t="s">
        <v>50</v>
      </c>
      <c r="M642" s="1" t="s">
        <v>19</v>
      </c>
      <c r="N642" s="1" t="s">
        <v>14</v>
      </c>
      <c r="O642" t="s">
        <v>45</v>
      </c>
    </row>
    <row r="643" spans="1:15" x14ac:dyDescent="0.25">
      <c r="A643" s="1" t="s">
        <v>978</v>
      </c>
      <c r="B643" s="1" t="s">
        <v>977</v>
      </c>
      <c r="C643" s="3">
        <v>45070.17083333333</v>
      </c>
      <c r="D643" s="4">
        <f t="shared" ref="D643:D706" si="41">INT(C643)</f>
        <v>45070</v>
      </c>
      <c r="E643" s="6">
        <v>27.327777777774202</v>
      </c>
      <c r="F643" s="6" t="str" cm="1">
        <f t="array" ref="F643">_xlfn.IFS(
     AND(HOUR(session_data[[#This Row],[Time]])&gt;5,HOUR(session_data[[#This Row],[Time]])&lt;12),"Morning",
     AND(HOUR(session_data[[#This Row],[Time]])&gt;=12,HOUR(session_data[[#This Row],[Time]])&lt;17),"Afternoon",
     AND(HOUR(session_data[[#This Row],[Time]])&gt;=17,HOUR(session_data[[#This Row],[Time]])&lt;21),"Evening",
     TRUE,"Night"
)</f>
        <v>Morning</v>
      </c>
      <c r="G643" s="1">
        <f t="shared" ref="G643:G706" si="42">YEAR(D643)</f>
        <v>2023</v>
      </c>
      <c r="H643" s="1" t="str">
        <f t="shared" ref="H643:H706" si="43">TEXT(D643,"MMM")</f>
        <v>May</v>
      </c>
      <c r="I643" s="1" t="str">
        <f t="shared" si="40"/>
        <v>Wed</v>
      </c>
      <c r="J643" s="1" t="s">
        <v>18</v>
      </c>
      <c r="K643" s="1" t="s">
        <v>12</v>
      </c>
      <c r="L643" s="1" t="s">
        <v>50</v>
      </c>
      <c r="M643" s="1" t="s">
        <v>19</v>
      </c>
      <c r="N643" s="1" t="s">
        <v>22</v>
      </c>
      <c r="O643" t="s">
        <v>45</v>
      </c>
    </row>
    <row r="644" spans="1:15" x14ac:dyDescent="0.25">
      <c r="A644" s="1" t="s">
        <v>979</v>
      </c>
      <c r="B644" s="1" t="s">
        <v>980</v>
      </c>
      <c r="C644" s="2">
        <v>44961.51458333333</v>
      </c>
      <c r="D644" s="4">
        <f t="shared" si="41"/>
        <v>44961</v>
      </c>
      <c r="E644" s="6">
        <v>27.369444444440902</v>
      </c>
      <c r="F644" s="6" t="str" cm="1">
        <f t="array" ref="F644">_xlfn.IFS(
     AND(HOUR(session_data[[#This Row],[Time]])&gt;5,HOUR(session_data[[#This Row],[Time]])&lt;12),"Morning",
     AND(HOUR(session_data[[#This Row],[Time]])&gt;=12,HOUR(session_data[[#This Row],[Time]])&lt;17),"Afternoon",
     AND(HOUR(session_data[[#This Row],[Time]])&gt;=17,HOUR(session_data[[#This Row],[Time]])&lt;21),"Evening",
     TRUE,"Night"
)</f>
        <v>Morning</v>
      </c>
      <c r="G644" s="1">
        <f t="shared" si="42"/>
        <v>2023</v>
      </c>
      <c r="H644" s="1" t="str">
        <f t="shared" si="43"/>
        <v>Feb</v>
      </c>
      <c r="I644" s="1" t="str">
        <f t="shared" si="40"/>
        <v>Sat</v>
      </c>
      <c r="J644" s="1" t="s">
        <v>11</v>
      </c>
      <c r="K644" s="1" t="s">
        <v>29</v>
      </c>
      <c r="L644" s="1" t="s">
        <v>50</v>
      </c>
      <c r="M644" s="1" t="s">
        <v>19</v>
      </c>
      <c r="N644" s="1" t="s">
        <v>14</v>
      </c>
      <c r="O644" t="s">
        <v>15</v>
      </c>
    </row>
    <row r="645" spans="1:15" x14ac:dyDescent="0.25">
      <c r="A645" s="1" t="s">
        <v>981</v>
      </c>
      <c r="B645" s="1" t="s">
        <v>980</v>
      </c>
      <c r="C645" s="2">
        <v>45142.306250000001</v>
      </c>
      <c r="D645" s="4">
        <f t="shared" si="41"/>
        <v>45142</v>
      </c>
      <c r="E645" s="6">
        <v>27.411111111107601</v>
      </c>
      <c r="F645" s="6" t="str" cm="1">
        <f t="array" ref="F645">_xlfn.IFS(
     AND(HOUR(session_data[[#This Row],[Time]])&gt;5,HOUR(session_data[[#This Row],[Time]])&lt;12),"Morning",
     AND(HOUR(session_data[[#This Row],[Time]])&gt;=12,HOUR(session_data[[#This Row],[Time]])&lt;17),"Afternoon",
     AND(HOUR(session_data[[#This Row],[Time]])&gt;=17,HOUR(session_data[[#This Row],[Time]])&lt;21),"Evening",
     TRUE,"Night"
)</f>
        <v>Morning</v>
      </c>
      <c r="G645" s="1">
        <f t="shared" si="42"/>
        <v>2023</v>
      </c>
      <c r="H645" s="1" t="str">
        <f t="shared" si="43"/>
        <v>Aug</v>
      </c>
      <c r="I645" s="1" t="str">
        <f t="shared" si="40"/>
        <v>Fri</v>
      </c>
      <c r="J645" s="1" t="s">
        <v>11</v>
      </c>
      <c r="K645" s="1" t="s">
        <v>29</v>
      </c>
      <c r="L645" s="1" t="s">
        <v>50</v>
      </c>
      <c r="M645" s="1" t="s">
        <v>19</v>
      </c>
      <c r="N645" s="1" t="s">
        <v>22</v>
      </c>
      <c r="O645" t="s">
        <v>15</v>
      </c>
    </row>
    <row r="646" spans="1:15" x14ac:dyDescent="0.25">
      <c r="A646" s="1" t="s">
        <v>982</v>
      </c>
      <c r="B646" s="1" t="s">
        <v>980</v>
      </c>
      <c r="C646" s="2">
        <v>45265.722916666666</v>
      </c>
      <c r="D646" s="4">
        <f t="shared" si="41"/>
        <v>45265</v>
      </c>
      <c r="E646" s="6">
        <v>27.452777777774202</v>
      </c>
      <c r="F646" s="6" t="str" cm="1">
        <f t="array" ref="F646">_xlfn.IFS(
     AND(HOUR(session_data[[#This Row],[Time]])&gt;5,HOUR(session_data[[#This Row],[Time]])&lt;12),"Morning",
     AND(HOUR(session_data[[#This Row],[Time]])&gt;=12,HOUR(session_data[[#This Row],[Time]])&lt;17),"Afternoon",
     AND(HOUR(session_data[[#This Row],[Time]])&gt;=17,HOUR(session_data[[#This Row],[Time]])&lt;21),"Evening",
     TRUE,"Night"
)</f>
        <v>Morning</v>
      </c>
      <c r="G646" s="1">
        <f t="shared" si="42"/>
        <v>2023</v>
      </c>
      <c r="H646" s="1" t="str">
        <f t="shared" si="43"/>
        <v>Dec</v>
      </c>
      <c r="I646" s="1" t="str">
        <f t="shared" si="40"/>
        <v>Tue</v>
      </c>
      <c r="J646" s="1" t="s">
        <v>11</v>
      </c>
      <c r="K646" s="1" t="s">
        <v>29</v>
      </c>
      <c r="L646" s="1" t="s">
        <v>50</v>
      </c>
      <c r="M646" s="1" t="s">
        <v>19</v>
      </c>
      <c r="N646" s="1" t="s">
        <v>22</v>
      </c>
      <c r="O646" t="s">
        <v>15</v>
      </c>
    </row>
    <row r="647" spans="1:15" x14ac:dyDescent="0.25">
      <c r="A647" s="1" t="s">
        <v>983</v>
      </c>
      <c r="B647" s="1" t="s">
        <v>984</v>
      </c>
      <c r="C647" s="3">
        <v>44957.759027777778</v>
      </c>
      <c r="D647" s="4">
        <f t="shared" si="41"/>
        <v>44957</v>
      </c>
      <c r="E647" s="6">
        <v>27.494444444440902</v>
      </c>
      <c r="F647" s="6" t="str" cm="1">
        <f t="array" ref="F647">_xlfn.IFS(
     AND(HOUR(session_data[[#This Row],[Time]])&gt;5,HOUR(session_data[[#This Row],[Time]])&lt;12),"Morning",
     AND(HOUR(session_data[[#This Row],[Time]])&gt;=12,HOUR(session_data[[#This Row],[Time]])&lt;17),"Afternoon",
     AND(HOUR(session_data[[#This Row],[Time]])&gt;=17,HOUR(session_data[[#This Row],[Time]])&lt;21),"Evening",
     TRUE,"Night"
)</f>
        <v>Morning</v>
      </c>
      <c r="G647" s="1">
        <f t="shared" si="42"/>
        <v>2023</v>
      </c>
      <c r="H647" s="1" t="str">
        <f t="shared" si="43"/>
        <v>Jan</v>
      </c>
      <c r="I647" s="1" t="str">
        <f t="shared" si="40"/>
        <v>Tue</v>
      </c>
      <c r="J647" s="1" t="s">
        <v>11</v>
      </c>
      <c r="K647" s="1" t="s">
        <v>12</v>
      </c>
      <c r="L647" s="1" t="s">
        <v>20</v>
      </c>
      <c r="M647" s="1" t="s">
        <v>19</v>
      </c>
      <c r="N647" s="1" t="s">
        <v>14</v>
      </c>
      <c r="O647" t="s">
        <v>15</v>
      </c>
    </row>
    <row r="648" spans="1:15" x14ac:dyDescent="0.25">
      <c r="A648" s="1" t="s">
        <v>985</v>
      </c>
      <c r="B648" s="1" t="s">
        <v>984</v>
      </c>
      <c r="C648" s="3">
        <v>44981.092361111114</v>
      </c>
      <c r="D648" s="4">
        <f t="shared" si="41"/>
        <v>44981</v>
      </c>
      <c r="E648" s="6">
        <v>27.536111111107601</v>
      </c>
      <c r="F648" s="6" t="str" cm="1">
        <f t="array" ref="F648">_xlfn.IFS(
     AND(HOUR(session_data[[#This Row],[Time]])&gt;5,HOUR(session_data[[#This Row],[Time]])&lt;12),"Morning",
     AND(HOUR(session_data[[#This Row],[Time]])&gt;=12,HOUR(session_data[[#This Row],[Time]])&lt;17),"Afternoon",
     AND(HOUR(session_data[[#This Row],[Time]])&gt;=17,HOUR(session_data[[#This Row],[Time]])&lt;21),"Evening",
     TRUE,"Night"
)</f>
        <v>Afternoon</v>
      </c>
      <c r="G648" s="1">
        <f t="shared" si="42"/>
        <v>2023</v>
      </c>
      <c r="H648" s="1" t="str">
        <f t="shared" si="43"/>
        <v>Feb</v>
      </c>
      <c r="I648" s="1" t="str">
        <f t="shared" si="40"/>
        <v>Fri</v>
      </c>
      <c r="J648" s="1" t="s">
        <v>11</v>
      </c>
      <c r="K648" s="1" t="s">
        <v>12</v>
      </c>
      <c r="L648" s="1" t="s">
        <v>20</v>
      </c>
      <c r="M648" s="1" t="s">
        <v>19</v>
      </c>
      <c r="N648" s="1" t="s">
        <v>22</v>
      </c>
      <c r="O648" t="s">
        <v>15</v>
      </c>
    </row>
    <row r="649" spans="1:15" x14ac:dyDescent="0.25">
      <c r="A649" s="1" t="s">
        <v>986</v>
      </c>
      <c r="B649" s="1" t="s">
        <v>984</v>
      </c>
      <c r="C649" s="2">
        <v>45172.217361111114</v>
      </c>
      <c r="D649" s="4">
        <f t="shared" si="41"/>
        <v>45172</v>
      </c>
      <c r="E649" s="6">
        <v>27.577777777774202</v>
      </c>
      <c r="F649" s="6" t="str" cm="1">
        <f t="array" ref="F649">_xlfn.IFS(
     AND(HOUR(session_data[[#This Row],[Time]])&gt;5,HOUR(session_data[[#This Row],[Time]])&lt;12),"Morning",
     AND(HOUR(session_data[[#This Row],[Time]])&gt;=12,HOUR(session_data[[#This Row],[Time]])&lt;17),"Afternoon",
     AND(HOUR(session_data[[#This Row],[Time]])&gt;=17,HOUR(session_data[[#This Row],[Time]])&lt;21),"Evening",
     TRUE,"Night"
)</f>
        <v>Afternoon</v>
      </c>
      <c r="G649" s="1">
        <f t="shared" si="42"/>
        <v>2023</v>
      </c>
      <c r="H649" s="1" t="str">
        <f t="shared" si="43"/>
        <v>Sep</v>
      </c>
      <c r="I649" s="1" t="str">
        <f t="shared" si="40"/>
        <v>Sun</v>
      </c>
      <c r="J649" s="1" t="s">
        <v>11</v>
      </c>
      <c r="K649" s="1" t="s">
        <v>12</v>
      </c>
      <c r="L649" s="1" t="s">
        <v>20</v>
      </c>
      <c r="M649" s="1" t="s">
        <v>19</v>
      </c>
      <c r="N649" s="1" t="s">
        <v>22</v>
      </c>
      <c r="O649" t="s">
        <v>15</v>
      </c>
    </row>
    <row r="650" spans="1:15" x14ac:dyDescent="0.25">
      <c r="A650" s="1" t="s">
        <v>987</v>
      </c>
      <c r="B650" s="1" t="s">
        <v>984</v>
      </c>
      <c r="C650" s="3">
        <v>45015.634027777778</v>
      </c>
      <c r="D650" s="4">
        <f t="shared" si="41"/>
        <v>45015</v>
      </c>
      <c r="E650" s="6">
        <v>27.619444444440902</v>
      </c>
      <c r="F650" s="6" t="str" cm="1">
        <f t="array" ref="F650">_xlfn.IFS(
     AND(HOUR(session_data[[#This Row],[Time]])&gt;5,HOUR(session_data[[#This Row],[Time]])&lt;12),"Morning",
     AND(HOUR(session_data[[#This Row],[Time]])&gt;=12,HOUR(session_data[[#This Row],[Time]])&lt;17),"Afternoon",
     AND(HOUR(session_data[[#This Row],[Time]])&gt;=17,HOUR(session_data[[#This Row],[Time]])&lt;21),"Evening",
     TRUE,"Night"
)</f>
        <v>Afternoon</v>
      </c>
      <c r="G650" s="1">
        <f t="shared" si="42"/>
        <v>2023</v>
      </c>
      <c r="H650" s="1" t="str">
        <f t="shared" si="43"/>
        <v>Mar</v>
      </c>
      <c r="I650" s="1" t="str">
        <f t="shared" si="40"/>
        <v>Thu</v>
      </c>
      <c r="J650" s="1" t="s">
        <v>11</v>
      </c>
      <c r="K650" s="1" t="s">
        <v>12</v>
      </c>
      <c r="L650" s="1" t="s">
        <v>20</v>
      </c>
      <c r="M650" s="1" t="s">
        <v>19</v>
      </c>
      <c r="N650" s="1" t="s">
        <v>22</v>
      </c>
      <c r="O650" t="s">
        <v>15</v>
      </c>
    </row>
    <row r="651" spans="1:15" x14ac:dyDescent="0.25">
      <c r="A651" s="1" t="s">
        <v>988</v>
      </c>
      <c r="B651" s="1" t="s">
        <v>984</v>
      </c>
      <c r="C651" s="3">
        <v>45045.925694444442</v>
      </c>
      <c r="D651" s="4">
        <f t="shared" si="41"/>
        <v>45045</v>
      </c>
      <c r="E651" s="6">
        <v>27.661111111107601</v>
      </c>
      <c r="F651" s="6" t="str" cm="1">
        <f t="array" ref="F651">_xlfn.IFS(
     AND(HOUR(session_data[[#This Row],[Time]])&gt;5,HOUR(session_data[[#This Row],[Time]])&lt;12),"Morning",
     AND(HOUR(session_data[[#This Row],[Time]])&gt;=12,HOUR(session_data[[#This Row],[Time]])&lt;17),"Afternoon",
     AND(HOUR(session_data[[#This Row],[Time]])&gt;=17,HOUR(session_data[[#This Row],[Time]])&lt;21),"Evening",
     TRUE,"Night"
)</f>
        <v>Afternoon</v>
      </c>
      <c r="G651" s="1">
        <f t="shared" si="42"/>
        <v>2023</v>
      </c>
      <c r="H651" s="1" t="str">
        <f t="shared" si="43"/>
        <v>Apr</v>
      </c>
      <c r="I651" s="1" t="str">
        <f t="shared" si="40"/>
        <v>Sat</v>
      </c>
      <c r="J651" s="1" t="s">
        <v>11</v>
      </c>
      <c r="K651" s="1" t="s">
        <v>12</v>
      </c>
      <c r="L651" s="1" t="s">
        <v>20</v>
      </c>
      <c r="M651" s="1" t="s">
        <v>19</v>
      </c>
      <c r="N651" s="1" t="s">
        <v>22</v>
      </c>
      <c r="O651" t="s">
        <v>15</v>
      </c>
    </row>
    <row r="652" spans="1:15" x14ac:dyDescent="0.25">
      <c r="A652" s="1" t="s">
        <v>989</v>
      </c>
      <c r="B652" s="1" t="s">
        <v>990</v>
      </c>
      <c r="C652" s="3">
        <v>44957.529166666667</v>
      </c>
      <c r="D652" s="4">
        <f t="shared" si="41"/>
        <v>44957</v>
      </c>
      <c r="E652" s="6">
        <v>27.702777777774202</v>
      </c>
      <c r="F652" s="6" t="str" cm="1">
        <f t="array" ref="F652">_xlfn.IFS(
     AND(HOUR(session_data[[#This Row],[Time]])&gt;5,HOUR(session_data[[#This Row],[Time]])&lt;12),"Morning",
     AND(HOUR(session_data[[#This Row],[Time]])&gt;=12,HOUR(session_data[[#This Row],[Time]])&lt;17),"Afternoon",
     AND(HOUR(session_data[[#This Row],[Time]])&gt;=17,HOUR(session_data[[#This Row],[Time]])&lt;21),"Evening",
     TRUE,"Night"
)</f>
        <v>Afternoon</v>
      </c>
      <c r="G652" s="1">
        <f t="shared" si="42"/>
        <v>2023</v>
      </c>
      <c r="H652" s="1" t="str">
        <f t="shared" si="43"/>
        <v>Jan</v>
      </c>
      <c r="I652" s="1" t="str">
        <f t="shared" si="40"/>
        <v>Tue</v>
      </c>
      <c r="J652" s="1" t="s">
        <v>11</v>
      </c>
      <c r="K652" s="1" t="s">
        <v>12</v>
      </c>
      <c r="L652" s="1" t="s">
        <v>41</v>
      </c>
      <c r="M652" s="1" t="s">
        <v>40</v>
      </c>
      <c r="N652" s="1" t="s">
        <v>14</v>
      </c>
      <c r="O652" t="s">
        <v>15</v>
      </c>
    </row>
    <row r="653" spans="1:15" x14ac:dyDescent="0.25">
      <c r="A653" s="1" t="s">
        <v>991</v>
      </c>
      <c r="B653" s="1" t="s">
        <v>990</v>
      </c>
      <c r="C653" s="3">
        <v>44978.904166666667</v>
      </c>
      <c r="D653" s="4">
        <f t="shared" si="41"/>
        <v>44978</v>
      </c>
      <c r="E653" s="6">
        <v>27.744444444440902</v>
      </c>
      <c r="F653" s="6" t="str" cm="1">
        <f t="array" ref="F653">_xlfn.IFS(
     AND(HOUR(session_data[[#This Row],[Time]])&gt;5,HOUR(session_data[[#This Row],[Time]])&lt;12),"Morning",
     AND(HOUR(session_data[[#This Row],[Time]])&gt;=12,HOUR(session_data[[#This Row],[Time]])&lt;17),"Afternoon",
     AND(HOUR(session_data[[#This Row],[Time]])&gt;=17,HOUR(session_data[[#This Row],[Time]])&lt;21),"Evening",
     TRUE,"Night"
)</f>
        <v>Evening</v>
      </c>
      <c r="G653" s="1">
        <f t="shared" si="42"/>
        <v>2023</v>
      </c>
      <c r="H653" s="1" t="str">
        <f t="shared" si="43"/>
        <v>Feb</v>
      </c>
      <c r="I653" s="1" t="str">
        <f t="shared" si="40"/>
        <v>Tue</v>
      </c>
      <c r="J653" s="1" t="s">
        <v>11</v>
      </c>
      <c r="K653" s="1" t="s">
        <v>12</v>
      </c>
      <c r="L653" s="1" t="s">
        <v>41</v>
      </c>
      <c r="M653" s="1" t="s">
        <v>40</v>
      </c>
      <c r="N653" s="1" t="s">
        <v>22</v>
      </c>
      <c r="O653" t="s">
        <v>15</v>
      </c>
    </row>
    <row r="654" spans="1:15" x14ac:dyDescent="0.25">
      <c r="A654" s="1" t="s">
        <v>992</v>
      </c>
      <c r="B654" s="1" t="s">
        <v>993</v>
      </c>
      <c r="C654" s="2">
        <v>44968.470833333333</v>
      </c>
      <c r="D654" s="4">
        <f t="shared" si="41"/>
        <v>44968</v>
      </c>
      <c r="E654" s="6">
        <v>27.786111111107601</v>
      </c>
      <c r="F654" s="6" t="str" cm="1">
        <f t="array" ref="F654">_xlfn.IFS(
     AND(HOUR(session_data[[#This Row],[Time]])&gt;5,HOUR(session_data[[#This Row],[Time]])&lt;12),"Morning",
     AND(HOUR(session_data[[#This Row],[Time]])&gt;=12,HOUR(session_data[[#This Row],[Time]])&lt;17),"Afternoon",
     AND(HOUR(session_data[[#This Row],[Time]])&gt;=17,HOUR(session_data[[#This Row],[Time]])&lt;21),"Evening",
     TRUE,"Night"
)</f>
        <v>Evening</v>
      </c>
      <c r="G654" s="1">
        <f t="shared" si="42"/>
        <v>2023</v>
      </c>
      <c r="H654" s="1" t="str">
        <f t="shared" si="43"/>
        <v>Feb</v>
      </c>
      <c r="I654" s="1" t="str">
        <f t="shared" si="40"/>
        <v>Sat</v>
      </c>
      <c r="J654" s="1" t="s">
        <v>66</v>
      </c>
      <c r="K654" s="1" t="s">
        <v>36</v>
      </c>
      <c r="L654" s="1" t="s">
        <v>94</v>
      </c>
      <c r="M654" s="1" t="s">
        <v>32</v>
      </c>
      <c r="N654" s="1" t="s">
        <v>14</v>
      </c>
      <c r="O654" t="s">
        <v>15</v>
      </c>
    </row>
    <row r="655" spans="1:15" x14ac:dyDescent="0.25">
      <c r="A655" s="1" t="s">
        <v>994</v>
      </c>
      <c r="B655" s="1" t="s">
        <v>995</v>
      </c>
      <c r="C655" s="2">
        <v>45262.224999999999</v>
      </c>
      <c r="D655" s="4">
        <f t="shared" si="41"/>
        <v>45262</v>
      </c>
      <c r="E655" s="6">
        <v>27.827777777774202</v>
      </c>
      <c r="F655" s="6" t="str" cm="1">
        <f t="array" ref="F655">_xlfn.IFS(
     AND(HOUR(session_data[[#This Row],[Time]])&gt;5,HOUR(session_data[[#This Row],[Time]])&lt;12),"Morning",
     AND(HOUR(session_data[[#This Row],[Time]])&gt;=12,HOUR(session_data[[#This Row],[Time]])&lt;17),"Afternoon",
     AND(HOUR(session_data[[#This Row],[Time]])&gt;=17,HOUR(session_data[[#This Row],[Time]])&lt;21),"Evening",
     TRUE,"Night"
)</f>
        <v>Evening</v>
      </c>
      <c r="G655" s="1">
        <f t="shared" si="42"/>
        <v>2023</v>
      </c>
      <c r="H655" s="1" t="str">
        <f t="shared" si="43"/>
        <v>Dec</v>
      </c>
      <c r="I655" s="1" t="str">
        <f t="shared" si="40"/>
        <v>Sat</v>
      </c>
      <c r="J655" s="1" t="s">
        <v>44</v>
      </c>
      <c r="K655" s="1" t="s">
        <v>12</v>
      </c>
      <c r="L655" s="1" t="s">
        <v>59</v>
      </c>
      <c r="M655" s="1" t="s">
        <v>19</v>
      </c>
      <c r="N655" s="1" t="s">
        <v>14</v>
      </c>
      <c r="O655" t="s">
        <v>15</v>
      </c>
    </row>
    <row r="656" spans="1:15" x14ac:dyDescent="0.25">
      <c r="A656" s="1" t="s">
        <v>996</v>
      </c>
      <c r="B656" s="1" t="s">
        <v>995</v>
      </c>
      <c r="C656" s="2">
        <v>45263.14166666667</v>
      </c>
      <c r="D656" s="4">
        <f t="shared" si="41"/>
        <v>45263</v>
      </c>
      <c r="E656" s="6">
        <v>27.869444444440902</v>
      </c>
      <c r="F656" s="6" t="str" cm="1">
        <f t="array" ref="F656">_xlfn.IFS(
     AND(HOUR(session_data[[#This Row],[Time]])&gt;5,HOUR(session_data[[#This Row],[Time]])&lt;12),"Morning",
     AND(HOUR(session_data[[#This Row],[Time]])&gt;=12,HOUR(session_data[[#This Row],[Time]])&lt;17),"Afternoon",
     AND(HOUR(session_data[[#This Row],[Time]])&gt;=17,HOUR(session_data[[#This Row],[Time]])&lt;21),"Evening",
     TRUE,"Night"
)</f>
        <v>Evening</v>
      </c>
      <c r="G656" s="1">
        <f t="shared" si="42"/>
        <v>2023</v>
      </c>
      <c r="H656" s="1" t="str">
        <f t="shared" si="43"/>
        <v>Dec</v>
      </c>
      <c r="I656" s="1" t="str">
        <f t="shared" si="40"/>
        <v>Sun</v>
      </c>
      <c r="J656" s="1" t="s">
        <v>44</v>
      </c>
      <c r="K656" s="1" t="s">
        <v>12</v>
      </c>
      <c r="L656" s="1" t="s">
        <v>59</v>
      </c>
      <c r="M656" s="1" t="s">
        <v>19</v>
      </c>
      <c r="N656" s="1" t="s">
        <v>22</v>
      </c>
      <c r="O656" t="s">
        <v>15</v>
      </c>
    </row>
    <row r="657" spans="1:15" x14ac:dyDescent="0.25">
      <c r="A657" s="1" t="s">
        <v>997</v>
      </c>
      <c r="B657" s="1" t="s">
        <v>995</v>
      </c>
      <c r="C657" s="3">
        <v>45006.39166666667</v>
      </c>
      <c r="D657" s="4">
        <f t="shared" si="41"/>
        <v>45006</v>
      </c>
      <c r="E657" s="6">
        <v>27.911111111107601</v>
      </c>
      <c r="F657" s="6" t="str" cm="1">
        <f t="array" ref="F657">_xlfn.IFS(
     AND(HOUR(session_data[[#This Row],[Time]])&gt;5,HOUR(session_data[[#This Row],[Time]])&lt;12),"Morning",
     AND(HOUR(session_data[[#This Row],[Time]])&gt;=12,HOUR(session_data[[#This Row],[Time]])&lt;17),"Afternoon",
     AND(HOUR(session_data[[#This Row],[Time]])&gt;=17,HOUR(session_data[[#This Row],[Time]])&lt;21),"Evening",
     TRUE,"Night"
)</f>
        <v>Night</v>
      </c>
      <c r="G657" s="1">
        <f t="shared" si="42"/>
        <v>2023</v>
      </c>
      <c r="H657" s="1" t="str">
        <f t="shared" si="43"/>
        <v>Mar</v>
      </c>
      <c r="I657" s="1" t="str">
        <f t="shared" si="40"/>
        <v>Tue</v>
      </c>
      <c r="J657" s="1" t="s">
        <v>44</v>
      </c>
      <c r="K657" s="1" t="s">
        <v>12</v>
      </c>
      <c r="L657" s="1" t="s">
        <v>59</v>
      </c>
      <c r="M657" s="1" t="s">
        <v>19</v>
      </c>
      <c r="N657" s="1" t="s">
        <v>22</v>
      </c>
      <c r="O657" t="s">
        <v>15</v>
      </c>
    </row>
    <row r="658" spans="1:15" x14ac:dyDescent="0.25">
      <c r="A658" s="1" t="s">
        <v>998</v>
      </c>
      <c r="B658" s="1" t="s">
        <v>999</v>
      </c>
      <c r="C658" s="2">
        <v>45263.606944444444</v>
      </c>
      <c r="D658" s="4">
        <f t="shared" si="41"/>
        <v>45263</v>
      </c>
      <c r="E658" s="6">
        <v>27.952777777774202</v>
      </c>
      <c r="F658" s="6" t="str" cm="1">
        <f t="array" ref="F658">_xlfn.IFS(
     AND(HOUR(session_data[[#This Row],[Time]])&gt;5,HOUR(session_data[[#This Row],[Time]])&lt;12),"Morning",
     AND(HOUR(session_data[[#This Row],[Time]])&gt;=12,HOUR(session_data[[#This Row],[Time]])&lt;17),"Afternoon",
     AND(HOUR(session_data[[#This Row],[Time]])&gt;=17,HOUR(session_data[[#This Row],[Time]])&lt;21),"Evening",
     TRUE,"Night"
)</f>
        <v>Night</v>
      </c>
      <c r="G658" s="1">
        <f t="shared" si="42"/>
        <v>2023</v>
      </c>
      <c r="H658" s="1" t="str">
        <f t="shared" si="43"/>
        <v>Dec</v>
      </c>
      <c r="I658" s="1" t="str">
        <f t="shared" si="40"/>
        <v>Sun</v>
      </c>
      <c r="J658" s="1" t="s">
        <v>18</v>
      </c>
      <c r="K658" s="1" t="s">
        <v>29</v>
      </c>
      <c r="L658" s="1" t="s">
        <v>94</v>
      </c>
      <c r="M658" s="1" t="s">
        <v>32</v>
      </c>
      <c r="N658" s="1" t="s">
        <v>14</v>
      </c>
      <c r="O658" t="s">
        <v>15</v>
      </c>
    </row>
    <row r="659" spans="1:15" x14ac:dyDescent="0.25">
      <c r="A659" s="1" t="s">
        <v>1000</v>
      </c>
      <c r="B659" s="1" t="s">
        <v>1001</v>
      </c>
      <c r="C659" s="3">
        <v>44948.87222222222</v>
      </c>
      <c r="D659" s="4">
        <f t="shared" si="41"/>
        <v>44948</v>
      </c>
      <c r="E659" s="6">
        <v>27.994444444440902</v>
      </c>
      <c r="F659" s="6" t="str" cm="1">
        <f t="array" ref="F659">_xlfn.IFS(
     AND(HOUR(session_data[[#This Row],[Time]])&gt;5,HOUR(session_data[[#This Row],[Time]])&lt;12),"Morning",
     AND(HOUR(session_data[[#This Row],[Time]])&gt;=12,HOUR(session_data[[#This Row],[Time]])&lt;17),"Afternoon",
     AND(HOUR(session_data[[#This Row],[Time]])&gt;=17,HOUR(session_data[[#This Row],[Time]])&lt;21),"Evening",
     TRUE,"Night"
)</f>
        <v>Night</v>
      </c>
      <c r="G659" s="1">
        <f t="shared" si="42"/>
        <v>2023</v>
      </c>
      <c r="H659" s="1" t="str">
        <f t="shared" si="43"/>
        <v>Jan</v>
      </c>
      <c r="I659" s="1" t="str">
        <f t="shared" si="40"/>
        <v>Sun</v>
      </c>
      <c r="J659" s="1" t="s">
        <v>28</v>
      </c>
      <c r="K659" s="1" t="s">
        <v>12</v>
      </c>
      <c r="L659" s="1" t="s">
        <v>20</v>
      </c>
      <c r="M659" s="1" t="s">
        <v>19</v>
      </c>
      <c r="N659" s="1" t="s">
        <v>14</v>
      </c>
      <c r="O659" t="s">
        <v>15</v>
      </c>
    </row>
    <row r="660" spans="1:15" x14ac:dyDescent="0.25">
      <c r="A660" s="1" t="s">
        <v>1002</v>
      </c>
      <c r="B660" s="1" t="s">
        <v>1001</v>
      </c>
      <c r="C660" s="2">
        <v>45079.24722222222</v>
      </c>
      <c r="D660" s="4">
        <f t="shared" si="41"/>
        <v>45079</v>
      </c>
      <c r="E660" s="6">
        <v>28.036111111107601</v>
      </c>
      <c r="F660" s="6" t="str" cm="1">
        <f t="array" ref="F660">_xlfn.IFS(
     AND(HOUR(session_data[[#This Row],[Time]])&gt;5,HOUR(session_data[[#This Row],[Time]])&lt;12),"Morning",
     AND(HOUR(session_data[[#This Row],[Time]])&gt;=12,HOUR(session_data[[#This Row],[Time]])&lt;17),"Afternoon",
     AND(HOUR(session_data[[#This Row],[Time]])&gt;=17,HOUR(session_data[[#This Row],[Time]])&lt;21),"Evening",
     TRUE,"Night"
)</f>
        <v>Night</v>
      </c>
      <c r="G660" s="1">
        <f t="shared" si="42"/>
        <v>2023</v>
      </c>
      <c r="H660" s="1" t="str">
        <f t="shared" si="43"/>
        <v>Jun</v>
      </c>
      <c r="I660" s="1" t="str">
        <f t="shared" si="40"/>
        <v>Fri</v>
      </c>
      <c r="J660" s="1" t="s">
        <v>28</v>
      </c>
      <c r="K660" s="1" t="s">
        <v>12</v>
      </c>
      <c r="L660" s="1" t="s">
        <v>20</v>
      </c>
      <c r="M660" s="1" t="s">
        <v>19</v>
      </c>
      <c r="N660" s="1" t="s">
        <v>22</v>
      </c>
      <c r="O660" t="s">
        <v>15</v>
      </c>
    </row>
    <row r="661" spans="1:15" x14ac:dyDescent="0.25">
      <c r="A661" s="1" t="s">
        <v>1003</v>
      </c>
      <c r="B661" s="1" t="s">
        <v>1004</v>
      </c>
      <c r="C661" s="3">
        <v>44948.152083333334</v>
      </c>
      <c r="D661" s="4">
        <f t="shared" si="41"/>
        <v>44948</v>
      </c>
      <c r="E661" s="6">
        <v>28.077777777774202</v>
      </c>
      <c r="F661" s="6" t="str" cm="1">
        <f t="array" ref="F661">_xlfn.IFS(
     AND(HOUR(session_data[[#This Row],[Time]])&gt;5,HOUR(session_data[[#This Row],[Time]])&lt;12),"Morning",
     AND(HOUR(session_data[[#This Row],[Time]])&gt;=12,HOUR(session_data[[#This Row],[Time]])&lt;17),"Afternoon",
     AND(HOUR(session_data[[#This Row],[Time]])&gt;=17,HOUR(session_data[[#This Row],[Time]])&lt;21),"Evening",
     TRUE,"Night"
)</f>
        <v>Night</v>
      </c>
      <c r="G661" s="1">
        <f t="shared" si="42"/>
        <v>2023</v>
      </c>
      <c r="H661" s="1" t="str">
        <f t="shared" si="43"/>
        <v>Jan</v>
      </c>
      <c r="I661" s="1" t="str">
        <f t="shared" si="40"/>
        <v>Sun</v>
      </c>
      <c r="J661" s="1" t="s">
        <v>66</v>
      </c>
      <c r="K661" s="1" t="s">
        <v>12</v>
      </c>
      <c r="L661" s="1" t="s">
        <v>13</v>
      </c>
      <c r="M661" s="1" t="s">
        <v>32</v>
      </c>
      <c r="N661" s="1" t="s">
        <v>14</v>
      </c>
      <c r="O661" t="s">
        <v>45</v>
      </c>
    </row>
    <row r="662" spans="1:15" x14ac:dyDescent="0.25">
      <c r="A662" s="1" t="s">
        <v>1005</v>
      </c>
      <c r="B662" s="1" t="s">
        <v>1006</v>
      </c>
      <c r="C662" s="3">
        <v>44954.246527777781</v>
      </c>
      <c r="D662" s="4">
        <f t="shared" si="41"/>
        <v>44954</v>
      </c>
      <c r="E662" s="6">
        <v>28.119444444440902</v>
      </c>
      <c r="F662" s="6" t="str" cm="1">
        <f t="array" ref="F662">_xlfn.IFS(
     AND(HOUR(session_data[[#This Row],[Time]])&gt;5,HOUR(session_data[[#This Row],[Time]])&lt;12),"Morning",
     AND(HOUR(session_data[[#This Row],[Time]])&gt;=12,HOUR(session_data[[#This Row],[Time]])&lt;17),"Afternoon",
     AND(HOUR(session_data[[#This Row],[Time]])&gt;=17,HOUR(session_data[[#This Row],[Time]])&lt;21),"Evening",
     TRUE,"Night"
)</f>
        <v>Night</v>
      </c>
      <c r="G662" s="1">
        <f t="shared" si="42"/>
        <v>2023</v>
      </c>
      <c r="H662" s="1" t="str">
        <f t="shared" si="43"/>
        <v>Jan</v>
      </c>
      <c r="I662" s="1" t="str">
        <f t="shared" si="40"/>
        <v>Sat</v>
      </c>
      <c r="J662" s="1" t="s">
        <v>66</v>
      </c>
      <c r="K662" s="1" t="s">
        <v>36</v>
      </c>
      <c r="L662" s="1" t="s">
        <v>94</v>
      </c>
      <c r="M662" s="1" t="s">
        <v>32</v>
      </c>
      <c r="N662" s="1" t="s">
        <v>14</v>
      </c>
      <c r="O662" t="s">
        <v>45</v>
      </c>
    </row>
    <row r="663" spans="1:15" x14ac:dyDescent="0.25">
      <c r="A663" s="1" t="s">
        <v>1007</v>
      </c>
      <c r="B663" s="1" t="s">
        <v>1008</v>
      </c>
      <c r="C663" s="3">
        <v>45306.57916666667</v>
      </c>
      <c r="D663" s="4">
        <f t="shared" si="41"/>
        <v>45306</v>
      </c>
      <c r="E663" s="6">
        <v>28.161111111107601</v>
      </c>
      <c r="F663" s="6" t="str" cm="1">
        <f t="array" ref="F663">_xlfn.IFS(
     AND(HOUR(session_data[[#This Row],[Time]])&gt;5,HOUR(session_data[[#This Row],[Time]])&lt;12),"Morning",
     AND(HOUR(session_data[[#This Row],[Time]])&gt;=12,HOUR(session_data[[#This Row],[Time]])&lt;17),"Afternoon",
     AND(HOUR(session_data[[#This Row],[Time]])&gt;=17,HOUR(session_data[[#This Row],[Time]])&lt;21),"Evening",
     TRUE,"Night"
)</f>
        <v>Night</v>
      </c>
      <c r="G663" s="1">
        <f t="shared" si="42"/>
        <v>2024</v>
      </c>
      <c r="H663" s="1" t="str">
        <f t="shared" si="43"/>
        <v>Jan</v>
      </c>
      <c r="I663" s="1" t="str">
        <f t="shared" si="40"/>
        <v>Mon</v>
      </c>
      <c r="J663" s="1" t="s">
        <v>11</v>
      </c>
      <c r="K663" s="1" t="s">
        <v>12</v>
      </c>
      <c r="L663" s="1" t="s">
        <v>94</v>
      </c>
      <c r="M663" s="1" t="s">
        <v>32</v>
      </c>
      <c r="N663" s="1" t="s">
        <v>14</v>
      </c>
      <c r="O663" t="s">
        <v>45</v>
      </c>
    </row>
    <row r="664" spans="1:15" x14ac:dyDescent="0.25">
      <c r="A664" s="1" t="s">
        <v>1009</v>
      </c>
      <c r="B664" s="1" t="s">
        <v>1008</v>
      </c>
      <c r="C664" s="2">
        <v>45414.07916666667</v>
      </c>
      <c r="D664" s="4">
        <f t="shared" si="41"/>
        <v>45414</v>
      </c>
      <c r="E664" s="6">
        <v>28.202777777774202</v>
      </c>
      <c r="F664" s="6" t="str" cm="1">
        <f t="array" ref="F664">_xlfn.IFS(
     AND(HOUR(session_data[[#This Row],[Time]])&gt;5,HOUR(session_data[[#This Row],[Time]])&lt;12),"Morning",
     AND(HOUR(session_data[[#This Row],[Time]])&gt;=12,HOUR(session_data[[#This Row],[Time]])&lt;17),"Afternoon",
     AND(HOUR(session_data[[#This Row],[Time]])&gt;=17,HOUR(session_data[[#This Row],[Time]])&lt;21),"Evening",
     TRUE,"Night"
)</f>
        <v>Night</v>
      </c>
      <c r="G664" s="1">
        <f t="shared" si="42"/>
        <v>2024</v>
      </c>
      <c r="H664" s="1" t="str">
        <f t="shared" si="43"/>
        <v>May</v>
      </c>
      <c r="I664" s="1" t="str">
        <f t="shared" si="40"/>
        <v>Thu</v>
      </c>
      <c r="J664" s="1" t="s">
        <v>11</v>
      </c>
      <c r="K664" s="1" t="s">
        <v>12</v>
      </c>
      <c r="L664" s="1" t="s">
        <v>94</v>
      </c>
      <c r="M664" s="1" t="s">
        <v>32</v>
      </c>
      <c r="N664" s="1" t="s">
        <v>22</v>
      </c>
      <c r="O664" t="s">
        <v>45</v>
      </c>
    </row>
    <row r="665" spans="1:15" x14ac:dyDescent="0.25">
      <c r="A665" s="1" t="s">
        <v>1010</v>
      </c>
      <c r="B665" s="1" t="s">
        <v>1008</v>
      </c>
      <c r="C665" s="3">
        <v>45339.495833333334</v>
      </c>
      <c r="D665" s="4">
        <f t="shared" si="41"/>
        <v>45339</v>
      </c>
      <c r="E665" s="6">
        <v>28.244444444440902</v>
      </c>
      <c r="F665" s="6" t="str" cm="1">
        <f t="array" ref="F665">_xlfn.IFS(
     AND(HOUR(session_data[[#This Row],[Time]])&gt;5,HOUR(session_data[[#This Row],[Time]])&lt;12),"Morning",
     AND(HOUR(session_data[[#This Row],[Time]])&gt;=12,HOUR(session_data[[#This Row],[Time]])&lt;17),"Afternoon",
     AND(HOUR(session_data[[#This Row],[Time]])&gt;=17,HOUR(session_data[[#This Row],[Time]])&lt;21),"Evening",
     TRUE,"Night"
)</f>
        <v>Night</v>
      </c>
      <c r="G665" s="1">
        <f t="shared" si="42"/>
        <v>2024</v>
      </c>
      <c r="H665" s="1" t="str">
        <f t="shared" si="43"/>
        <v>Feb</v>
      </c>
      <c r="I665" s="1" t="str">
        <f t="shared" si="40"/>
        <v>Sat</v>
      </c>
      <c r="J665" s="1" t="s">
        <v>11</v>
      </c>
      <c r="K665" s="1" t="s">
        <v>12</v>
      </c>
      <c r="L665" s="1" t="s">
        <v>94</v>
      </c>
      <c r="M665" s="1" t="s">
        <v>32</v>
      </c>
      <c r="N665" s="1" t="s">
        <v>22</v>
      </c>
      <c r="O665" t="s">
        <v>45</v>
      </c>
    </row>
    <row r="666" spans="1:15" x14ac:dyDescent="0.25">
      <c r="A666" s="1" t="s">
        <v>1011</v>
      </c>
      <c r="B666" s="1" t="s">
        <v>1008</v>
      </c>
      <c r="C666" s="3">
        <v>45370.662499999999</v>
      </c>
      <c r="D666" s="4">
        <f t="shared" si="41"/>
        <v>45370</v>
      </c>
      <c r="E666" s="6">
        <v>28.286111111107601</v>
      </c>
      <c r="F666" s="6" t="str" cm="1">
        <f t="array" ref="F666">_xlfn.IFS(
     AND(HOUR(session_data[[#This Row],[Time]])&gt;5,HOUR(session_data[[#This Row],[Time]])&lt;12),"Morning",
     AND(HOUR(session_data[[#This Row],[Time]])&gt;=12,HOUR(session_data[[#This Row],[Time]])&lt;17),"Afternoon",
     AND(HOUR(session_data[[#This Row],[Time]])&gt;=17,HOUR(session_data[[#This Row],[Time]])&lt;21),"Evening",
     TRUE,"Night"
)</f>
        <v>Morning</v>
      </c>
      <c r="G666" s="1">
        <f t="shared" si="42"/>
        <v>2024</v>
      </c>
      <c r="H666" s="1" t="str">
        <f t="shared" si="43"/>
        <v>Mar</v>
      </c>
      <c r="I666" s="1" t="str">
        <f t="shared" si="40"/>
        <v>Tue</v>
      </c>
      <c r="J666" s="1" t="s">
        <v>11</v>
      </c>
      <c r="K666" s="1" t="s">
        <v>12</v>
      </c>
      <c r="L666" s="1" t="s">
        <v>94</v>
      </c>
      <c r="M666" s="1" t="s">
        <v>32</v>
      </c>
      <c r="N666" s="1" t="s">
        <v>22</v>
      </c>
      <c r="O666" t="s">
        <v>45</v>
      </c>
    </row>
    <row r="667" spans="1:15" x14ac:dyDescent="0.25">
      <c r="A667" s="1" t="s">
        <v>1012</v>
      </c>
      <c r="B667" s="1" t="s">
        <v>1008</v>
      </c>
      <c r="C667" s="3">
        <v>45397.32916666667</v>
      </c>
      <c r="D667" s="4">
        <f t="shared" si="41"/>
        <v>45397</v>
      </c>
      <c r="E667" s="6">
        <v>28.327777777774202</v>
      </c>
      <c r="F667" s="6" t="str" cm="1">
        <f t="array" ref="F667">_xlfn.IFS(
     AND(HOUR(session_data[[#This Row],[Time]])&gt;5,HOUR(session_data[[#This Row],[Time]])&lt;12),"Morning",
     AND(HOUR(session_data[[#This Row],[Time]])&gt;=12,HOUR(session_data[[#This Row],[Time]])&lt;17),"Afternoon",
     AND(HOUR(session_data[[#This Row],[Time]])&gt;=17,HOUR(session_data[[#This Row],[Time]])&lt;21),"Evening",
     TRUE,"Night"
)</f>
        <v>Morning</v>
      </c>
      <c r="G667" s="1">
        <f t="shared" si="42"/>
        <v>2024</v>
      </c>
      <c r="H667" s="1" t="str">
        <f t="shared" si="43"/>
        <v>Apr</v>
      </c>
      <c r="I667" s="1" t="str">
        <f t="shared" si="40"/>
        <v>Mon</v>
      </c>
      <c r="J667" s="1" t="s">
        <v>11</v>
      </c>
      <c r="K667" s="1" t="s">
        <v>12</v>
      </c>
      <c r="L667" s="1" t="s">
        <v>94</v>
      </c>
      <c r="M667" s="1" t="s">
        <v>32</v>
      </c>
      <c r="N667" s="1" t="s">
        <v>22</v>
      </c>
      <c r="O667" t="s">
        <v>45</v>
      </c>
    </row>
    <row r="668" spans="1:15" x14ac:dyDescent="0.25">
      <c r="A668" s="1" t="s">
        <v>1013</v>
      </c>
      <c r="B668" s="1" t="s">
        <v>1014</v>
      </c>
      <c r="C668" s="3">
        <v>44942.458333333336</v>
      </c>
      <c r="D668" s="4">
        <f t="shared" si="41"/>
        <v>44942</v>
      </c>
      <c r="E668" s="6">
        <v>28.369444444440902</v>
      </c>
      <c r="F668" s="6" t="str" cm="1">
        <f t="array" ref="F668">_xlfn.IFS(
     AND(HOUR(session_data[[#This Row],[Time]])&gt;5,HOUR(session_data[[#This Row],[Time]])&lt;12),"Morning",
     AND(HOUR(session_data[[#This Row],[Time]])&gt;=12,HOUR(session_data[[#This Row],[Time]])&lt;17),"Afternoon",
     AND(HOUR(session_data[[#This Row],[Time]])&gt;=17,HOUR(session_data[[#This Row],[Time]])&lt;21),"Evening",
     TRUE,"Night"
)</f>
        <v>Morning</v>
      </c>
      <c r="G668" s="1">
        <f t="shared" si="42"/>
        <v>2023</v>
      </c>
      <c r="H668" s="1" t="str">
        <f t="shared" si="43"/>
        <v>Jan</v>
      </c>
      <c r="I668" s="1" t="str">
        <f t="shared" si="40"/>
        <v>Mon</v>
      </c>
      <c r="J668" s="1" t="s">
        <v>66</v>
      </c>
      <c r="K668" s="1" t="s">
        <v>12</v>
      </c>
      <c r="L668" s="1" t="s">
        <v>20</v>
      </c>
      <c r="M668" s="1" t="s">
        <v>19</v>
      </c>
      <c r="N668" s="1" t="s">
        <v>14</v>
      </c>
      <c r="O668" t="s">
        <v>45</v>
      </c>
    </row>
    <row r="669" spans="1:15" x14ac:dyDescent="0.25">
      <c r="A669" s="1" t="s">
        <v>1015</v>
      </c>
      <c r="B669" s="1" t="s">
        <v>1014</v>
      </c>
      <c r="C669" s="2">
        <v>45262.5</v>
      </c>
      <c r="D669" s="4">
        <f t="shared" si="41"/>
        <v>45262</v>
      </c>
      <c r="E669" s="6">
        <v>28.411111111107601</v>
      </c>
      <c r="F669" s="6" t="str" cm="1">
        <f t="array" ref="F669">_xlfn.IFS(
     AND(HOUR(session_data[[#This Row],[Time]])&gt;5,HOUR(session_data[[#This Row],[Time]])&lt;12),"Morning",
     AND(HOUR(session_data[[#This Row],[Time]])&gt;=12,HOUR(session_data[[#This Row],[Time]])&lt;17),"Afternoon",
     AND(HOUR(session_data[[#This Row],[Time]])&gt;=17,HOUR(session_data[[#This Row],[Time]])&lt;21),"Evening",
     TRUE,"Night"
)</f>
        <v>Morning</v>
      </c>
      <c r="G669" s="1">
        <f t="shared" si="42"/>
        <v>2023</v>
      </c>
      <c r="H669" s="1" t="str">
        <f t="shared" si="43"/>
        <v>Dec</v>
      </c>
      <c r="I669" s="1" t="str">
        <f t="shared" si="40"/>
        <v>Sat</v>
      </c>
      <c r="J669" s="1" t="s">
        <v>66</v>
      </c>
      <c r="K669" s="1" t="s">
        <v>12</v>
      </c>
      <c r="L669" s="1" t="s">
        <v>20</v>
      </c>
      <c r="M669" s="1" t="s">
        <v>19</v>
      </c>
      <c r="N669" s="1" t="s">
        <v>22</v>
      </c>
      <c r="O669" t="s">
        <v>45</v>
      </c>
    </row>
    <row r="670" spans="1:15" x14ac:dyDescent="0.25">
      <c r="A670" s="1" t="s">
        <v>1016</v>
      </c>
      <c r="B670" s="1" t="s">
        <v>1014</v>
      </c>
      <c r="C670" s="3">
        <v>44981.083333333336</v>
      </c>
      <c r="D670" s="4">
        <f t="shared" si="41"/>
        <v>44981</v>
      </c>
      <c r="E670" s="6">
        <v>28.452777777774202</v>
      </c>
      <c r="F670" s="6" t="str" cm="1">
        <f t="array" ref="F670">_xlfn.IFS(
     AND(HOUR(session_data[[#This Row],[Time]])&gt;5,HOUR(session_data[[#This Row],[Time]])&lt;12),"Morning",
     AND(HOUR(session_data[[#This Row],[Time]])&gt;=12,HOUR(session_data[[#This Row],[Time]])&lt;17),"Afternoon",
     AND(HOUR(session_data[[#This Row],[Time]])&gt;=17,HOUR(session_data[[#This Row],[Time]])&lt;21),"Evening",
     TRUE,"Night"
)</f>
        <v>Morning</v>
      </c>
      <c r="G670" s="1">
        <f t="shared" si="42"/>
        <v>2023</v>
      </c>
      <c r="H670" s="1" t="str">
        <f t="shared" si="43"/>
        <v>Feb</v>
      </c>
      <c r="I670" s="1" t="str">
        <f t="shared" si="40"/>
        <v>Fri</v>
      </c>
      <c r="J670" s="1" t="s">
        <v>66</v>
      </c>
      <c r="K670" s="1" t="s">
        <v>12</v>
      </c>
      <c r="L670" s="1" t="s">
        <v>20</v>
      </c>
      <c r="M670" s="1" t="s">
        <v>19</v>
      </c>
      <c r="N670" s="1" t="s">
        <v>22</v>
      </c>
      <c r="O670" t="s">
        <v>45</v>
      </c>
    </row>
    <row r="671" spans="1:15" x14ac:dyDescent="0.25">
      <c r="A671" s="1" t="s">
        <v>1017</v>
      </c>
      <c r="B671" s="1" t="s">
        <v>1018</v>
      </c>
      <c r="C671" s="2">
        <v>45240.89166666667</v>
      </c>
      <c r="D671" s="4">
        <f t="shared" si="41"/>
        <v>45240</v>
      </c>
      <c r="E671" s="6">
        <v>28.494444444440902</v>
      </c>
      <c r="F671" s="6" t="str" cm="1">
        <f t="array" ref="F671">_xlfn.IFS(
     AND(HOUR(session_data[[#This Row],[Time]])&gt;5,HOUR(session_data[[#This Row],[Time]])&lt;12),"Morning",
     AND(HOUR(session_data[[#This Row],[Time]])&gt;=12,HOUR(session_data[[#This Row],[Time]])&lt;17),"Afternoon",
     AND(HOUR(session_data[[#This Row],[Time]])&gt;=17,HOUR(session_data[[#This Row],[Time]])&lt;21),"Evening",
     TRUE,"Night"
)</f>
        <v>Morning</v>
      </c>
      <c r="G671" s="1">
        <f t="shared" si="42"/>
        <v>2023</v>
      </c>
      <c r="H671" s="1" t="str">
        <f t="shared" si="43"/>
        <v>Nov</v>
      </c>
      <c r="I671" s="1" t="str">
        <f t="shared" si="40"/>
        <v>Fri</v>
      </c>
      <c r="J671" s="1" t="s">
        <v>11</v>
      </c>
      <c r="K671" s="1" t="s">
        <v>29</v>
      </c>
      <c r="L671" s="1" t="s">
        <v>79</v>
      </c>
      <c r="M671" s="1" t="s">
        <v>40</v>
      </c>
      <c r="N671" s="1" t="s">
        <v>14</v>
      </c>
      <c r="O671" t="s">
        <v>15</v>
      </c>
    </row>
    <row r="672" spans="1:15" x14ac:dyDescent="0.25">
      <c r="A672" s="1" t="s">
        <v>1019</v>
      </c>
      <c r="B672" s="1" t="s">
        <v>1018</v>
      </c>
      <c r="C672" s="3">
        <v>45228.474999999999</v>
      </c>
      <c r="D672" s="4">
        <f t="shared" si="41"/>
        <v>45228</v>
      </c>
      <c r="E672" s="6">
        <v>28.536111111107601</v>
      </c>
      <c r="F672" s="6" t="str" cm="1">
        <f t="array" ref="F672">_xlfn.IFS(
     AND(HOUR(session_data[[#This Row],[Time]])&gt;5,HOUR(session_data[[#This Row],[Time]])&lt;12),"Morning",
     AND(HOUR(session_data[[#This Row],[Time]])&gt;=12,HOUR(session_data[[#This Row],[Time]])&lt;17),"Afternoon",
     AND(HOUR(session_data[[#This Row],[Time]])&gt;=17,HOUR(session_data[[#This Row],[Time]])&lt;21),"Evening",
     TRUE,"Night"
)</f>
        <v>Afternoon</v>
      </c>
      <c r="G672" s="1">
        <f t="shared" si="42"/>
        <v>2023</v>
      </c>
      <c r="H672" s="1" t="str">
        <f t="shared" si="43"/>
        <v>Oct</v>
      </c>
      <c r="I672" s="1" t="str">
        <f t="shared" si="40"/>
        <v>Sun</v>
      </c>
      <c r="J672" s="1" t="s">
        <v>11</v>
      </c>
      <c r="K672" s="1" t="s">
        <v>29</v>
      </c>
      <c r="L672" s="1" t="s">
        <v>79</v>
      </c>
      <c r="M672" s="1" t="s">
        <v>40</v>
      </c>
      <c r="N672" s="1" t="s">
        <v>22</v>
      </c>
      <c r="O672" t="s">
        <v>15</v>
      </c>
    </row>
    <row r="673" spans="1:15" x14ac:dyDescent="0.25">
      <c r="A673" s="1" t="s">
        <v>1020</v>
      </c>
      <c r="B673" s="1" t="s">
        <v>1018</v>
      </c>
      <c r="C673" s="3">
        <v>45253.474999999999</v>
      </c>
      <c r="D673" s="4">
        <f t="shared" si="41"/>
        <v>45253</v>
      </c>
      <c r="E673" s="6">
        <v>28.577777777774202</v>
      </c>
      <c r="F673" s="6" t="str" cm="1">
        <f t="array" ref="F673">_xlfn.IFS(
     AND(HOUR(session_data[[#This Row],[Time]])&gt;5,HOUR(session_data[[#This Row],[Time]])&lt;12),"Morning",
     AND(HOUR(session_data[[#This Row],[Time]])&gt;=12,HOUR(session_data[[#This Row],[Time]])&lt;17),"Afternoon",
     AND(HOUR(session_data[[#This Row],[Time]])&gt;=17,HOUR(session_data[[#This Row],[Time]])&lt;21),"Evening",
     TRUE,"Night"
)</f>
        <v>Afternoon</v>
      </c>
      <c r="G673" s="1">
        <f t="shared" si="42"/>
        <v>2023</v>
      </c>
      <c r="H673" s="1" t="str">
        <f t="shared" si="43"/>
        <v>Nov</v>
      </c>
      <c r="I673" s="1" t="str">
        <f t="shared" si="40"/>
        <v>Thu</v>
      </c>
      <c r="J673" s="1" t="s">
        <v>11</v>
      </c>
      <c r="K673" s="1" t="s">
        <v>29</v>
      </c>
      <c r="L673" s="1" t="s">
        <v>79</v>
      </c>
      <c r="M673" s="1" t="s">
        <v>40</v>
      </c>
      <c r="N673" s="1" t="s">
        <v>22</v>
      </c>
      <c r="O673" t="s">
        <v>15</v>
      </c>
    </row>
    <row r="674" spans="1:15" x14ac:dyDescent="0.25">
      <c r="A674" s="1" t="s">
        <v>1021</v>
      </c>
      <c r="B674" s="1" t="s">
        <v>1022</v>
      </c>
      <c r="C674" s="3">
        <v>45131.144444444442</v>
      </c>
      <c r="D674" s="4">
        <f t="shared" si="41"/>
        <v>45131</v>
      </c>
      <c r="E674" s="6">
        <v>28.619444444440902</v>
      </c>
      <c r="F674" s="6" t="str" cm="1">
        <f t="array" ref="F674">_xlfn.IFS(
     AND(HOUR(session_data[[#This Row],[Time]])&gt;5,HOUR(session_data[[#This Row],[Time]])&lt;12),"Morning",
     AND(HOUR(session_data[[#This Row],[Time]])&gt;=12,HOUR(session_data[[#This Row],[Time]])&lt;17),"Afternoon",
     AND(HOUR(session_data[[#This Row],[Time]])&gt;=17,HOUR(session_data[[#This Row],[Time]])&lt;21),"Evening",
     TRUE,"Night"
)</f>
        <v>Afternoon</v>
      </c>
      <c r="G674" s="1">
        <f t="shared" si="42"/>
        <v>2023</v>
      </c>
      <c r="H674" s="1" t="str">
        <f t="shared" si="43"/>
        <v>Jul</v>
      </c>
      <c r="I674" s="1" t="str">
        <f t="shared" si="40"/>
        <v>Mon</v>
      </c>
      <c r="J674" s="1" t="s">
        <v>66</v>
      </c>
      <c r="K674" s="1" t="s">
        <v>12</v>
      </c>
      <c r="L674" s="1" t="s">
        <v>94</v>
      </c>
      <c r="M674" s="1" t="s">
        <v>32</v>
      </c>
      <c r="N674" s="1" t="s">
        <v>14</v>
      </c>
      <c r="O674" t="s">
        <v>45</v>
      </c>
    </row>
    <row r="675" spans="1:15" x14ac:dyDescent="0.25">
      <c r="A675" s="1" t="s">
        <v>1023</v>
      </c>
      <c r="B675" s="1" t="s">
        <v>1022</v>
      </c>
      <c r="C675" s="3">
        <v>45161.977777777778</v>
      </c>
      <c r="D675" s="4">
        <f t="shared" si="41"/>
        <v>45161</v>
      </c>
      <c r="E675" s="6">
        <v>28.661111111107601</v>
      </c>
      <c r="F675" s="6" t="str" cm="1">
        <f t="array" ref="F675">_xlfn.IFS(
     AND(HOUR(session_data[[#This Row],[Time]])&gt;5,HOUR(session_data[[#This Row],[Time]])&lt;12),"Morning",
     AND(HOUR(session_data[[#This Row],[Time]])&gt;=12,HOUR(session_data[[#This Row],[Time]])&lt;17),"Afternoon",
     AND(HOUR(session_data[[#This Row],[Time]])&gt;=17,HOUR(session_data[[#This Row],[Time]])&lt;21),"Evening",
     TRUE,"Night"
)</f>
        <v>Afternoon</v>
      </c>
      <c r="G675" s="1">
        <f t="shared" si="42"/>
        <v>2023</v>
      </c>
      <c r="H675" s="1" t="str">
        <f t="shared" si="43"/>
        <v>Aug</v>
      </c>
      <c r="I675" s="1" t="str">
        <f t="shared" si="40"/>
        <v>Wed</v>
      </c>
      <c r="J675" s="1" t="s">
        <v>66</v>
      </c>
      <c r="K675" s="1" t="s">
        <v>12</v>
      </c>
      <c r="L675" s="1" t="s">
        <v>94</v>
      </c>
      <c r="M675" s="1" t="s">
        <v>32</v>
      </c>
      <c r="N675" s="1" t="s">
        <v>22</v>
      </c>
      <c r="O675" t="s">
        <v>45</v>
      </c>
    </row>
    <row r="676" spans="1:15" x14ac:dyDescent="0.25">
      <c r="A676" s="1" t="s">
        <v>1024</v>
      </c>
      <c r="B676" s="1" t="s">
        <v>1025</v>
      </c>
      <c r="C676" s="3">
        <v>45000.732638888891</v>
      </c>
      <c r="D676" s="4">
        <f t="shared" si="41"/>
        <v>45000</v>
      </c>
      <c r="E676" s="6">
        <v>28.702777777774202</v>
      </c>
      <c r="F676" s="6" t="str" cm="1">
        <f t="array" ref="F676">_xlfn.IFS(
     AND(HOUR(session_data[[#This Row],[Time]])&gt;5,HOUR(session_data[[#This Row],[Time]])&lt;12),"Morning",
     AND(HOUR(session_data[[#This Row],[Time]])&gt;=12,HOUR(session_data[[#This Row],[Time]])&lt;17),"Afternoon",
     AND(HOUR(session_data[[#This Row],[Time]])&gt;=17,HOUR(session_data[[#This Row],[Time]])&lt;21),"Evening",
     TRUE,"Night"
)</f>
        <v>Afternoon</v>
      </c>
      <c r="G676" s="1">
        <f t="shared" si="42"/>
        <v>2023</v>
      </c>
      <c r="H676" s="1" t="str">
        <f t="shared" si="43"/>
        <v>Mar</v>
      </c>
      <c r="I676" s="1" t="str">
        <f t="shared" si="40"/>
        <v>Wed</v>
      </c>
      <c r="J676" s="1" t="s">
        <v>18</v>
      </c>
      <c r="K676" s="1" t="s">
        <v>12</v>
      </c>
      <c r="L676" s="1" t="s">
        <v>94</v>
      </c>
      <c r="M676" s="1" t="s">
        <v>32</v>
      </c>
      <c r="N676" s="1" t="s">
        <v>14</v>
      </c>
      <c r="O676" t="s">
        <v>45</v>
      </c>
    </row>
    <row r="677" spans="1:15" x14ac:dyDescent="0.25">
      <c r="A677" s="1" t="s">
        <v>1026</v>
      </c>
      <c r="B677" s="1" t="s">
        <v>1027</v>
      </c>
      <c r="C677" s="2">
        <v>45173.370833333334</v>
      </c>
      <c r="D677" s="4">
        <f t="shared" si="41"/>
        <v>45173</v>
      </c>
      <c r="E677" s="6">
        <v>28.744444444440902</v>
      </c>
      <c r="F677" s="6" t="str" cm="1">
        <f t="array" ref="F677">_xlfn.IFS(
     AND(HOUR(session_data[[#This Row],[Time]])&gt;5,HOUR(session_data[[#This Row],[Time]])&lt;12),"Morning",
     AND(HOUR(session_data[[#This Row],[Time]])&gt;=12,HOUR(session_data[[#This Row],[Time]])&lt;17),"Afternoon",
     AND(HOUR(session_data[[#This Row],[Time]])&gt;=17,HOUR(session_data[[#This Row],[Time]])&lt;21),"Evening",
     TRUE,"Night"
)</f>
        <v>Evening</v>
      </c>
      <c r="G677" s="1">
        <f t="shared" si="42"/>
        <v>2023</v>
      </c>
      <c r="H677" s="1" t="str">
        <f t="shared" si="43"/>
        <v>Sep</v>
      </c>
      <c r="I677" s="1" t="str">
        <f t="shared" si="40"/>
        <v>Mon</v>
      </c>
      <c r="J677" s="1" t="s">
        <v>66</v>
      </c>
      <c r="K677" s="1" t="s">
        <v>29</v>
      </c>
      <c r="L677" s="1" t="s">
        <v>59</v>
      </c>
      <c r="M677" s="1" t="s">
        <v>19</v>
      </c>
      <c r="N677" s="1" t="s">
        <v>14</v>
      </c>
      <c r="O677" t="s">
        <v>15</v>
      </c>
    </row>
    <row r="678" spans="1:15" x14ac:dyDescent="0.25">
      <c r="A678" s="1" t="s">
        <v>1028</v>
      </c>
      <c r="B678" s="1" t="s">
        <v>1029</v>
      </c>
      <c r="C678" s="2">
        <v>44992.456944444442</v>
      </c>
      <c r="D678" s="4">
        <f t="shared" si="41"/>
        <v>44992</v>
      </c>
      <c r="E678" s="6">
        <v>28.786111111107601</v>
      </c>
      <c r="F678" s="6" t="str" cm="1">
        <f t="array" ref="F678">_xlfn.IFS(
     AND(HOUR(session_data[[#This Row],[Time]])&gt;5,HOUR(session_data[[#This Row],[Time]])&lt;12),"Morning",
     AND(HOUR(session_data[[#This Row],[Time]])&gt;=12,HOUR(session_data[[#This Row],[Time]])&lt;17),"Afternoon",
     AND(HOUR(session_data[[#This Row],[Time]])&gt;=17,HOUR(session_data[[#This Row],[Time]])&lt;21),"Evening",
     TRUE,"Night"
)</f>
        <v>Evening</v>
      </c>
      <c r="G678" s="1">
        <f t="shared" si="42"/>
        <v>2023</v>
      </c>
      <c r="H678" s="1" t="str">
        <f t="shared" si="43"/>
        <v>Mar</v>
      </c>
      <c r="I678" s="1" t="str">
        <f t="shared" si="40"/>
        <v>Tue</v>
      </c>
      <c r="J678" s="1" t="s">
        <v>11</v>
      </c>
      <c r="K678" s="1" t="s">
        <v>12</v>
      </c>
      <c r="L678" s="1" t="s">
        <v>30</v>
      </c>
      <c r="M678" s="1" t="s">
        <v>32</v>
      </c>
      <c r="N678" s="1" t="s">
        <v>14</v>
      </c>
      <c r="O678" t="s">
        <v>45</v>
      </c>
    </row>
    <row r="679" spans="1:15" x14ac:dyDescent="0.25">
      <c r="A679" s="1" t="s">
        <v>1030</v>
      </c>
      <c r="B679" s="1" t="s">
        <v>1031</v>
      </c>
      <c r="C679" s="2">
        <v>45058.824305555558</v>
      </c>
      <c r="D679" s="4">
        <f t="shared" si="41"/>
        <v>45058</v>
      </c>
      <c r="E679" s="6">
        <v>28.827777777774202</v>
      </c>
      <c r="F679" s="6" t="str" cm="1">
        <f t="array" ref="F679">_xlfn.IFS(
     AND(HOUR(session_data[[#This Row],[Time]])&gt;5,HOUR(session_data[[#This Row],[Time]])&lt;12),"Morning",
     AND(HOUR(session_data[[#This Row],[Time]])&gt;=12,HOUR(session_data[[#This Row],[Time]])&lt;17),"Afternoon",
     AND(HOUR(session_data[[#This Row],[Time]])&gt;=17,HOUR(session_data[[#This Row],[Time]])&lt;21),"Evening",
     TRUE,"Night"
)</f>
        <v>Evening</v>
      </c>
      <c r="G679" s="1">
        <f t="shared" si="42"/>
        <v>2023</v>
      </c>
      <c r="H679" s="1" t="str">
        <f t="shared" si="43"/>
        <v>May</v>
      </c>
      <c r="I679" s="1" t="str">
        <f t="shared" si="40"/>
        <v>Fri</v>
      </c>
      <c r="J679" s="1" t="s">
        <v>66</v>
      </c>
      <c r="K679" s="1" t="s">
        <v>12</v>
      </c>
      <c r="L679" s="1" t="s">
        <v>119</v>
      </c>
      <c r="M679" s="1" t="s">
        <v>40</v>
      </c>
      <c r="N679" s="1" t="s">
        <v>14</v>
      </c>
      <c r="O679" t="s">
        <v>15</v>
      </c>
    </row>
    <row r="680" spans="1:15" x14ac:dyDescent="0.25">
      <c r="A680" s="1" t="s">
        <v>1032</v>
      </c>
      <c r="B680" s="1" t="s">
        <v>1031</v>
      </c>
      <c r="C680" s="3">
        <v>45286.407638888886</v>
      </c>
      <c r="D680" s="4">
        <f t="shared" si="41"/>
        <v>45286</v>
      </c>
      <c r="E680" s="6">
        <v>28.869444444440902</v>
      </c>
      <c r="F680" s="6" t="str" cm="1">
        <f t="array" ref="F680">_xlfn.IFS(
     AND(HOUR(session_data[[#This Row],[Time]])&gt;5,HOUR(session_data[[#This Row],[Time]])&lt;12),"Morning",
     AND(HOUR(session_data[[#This Row],[Time]])&gt;=12,HOUR(session_data[[#This Row],[Time]])&lt;17),"Afternoon",
     AND(HOUR(session_data[[#This Row],[Time]])&gt;=17,HOUR(session_data[[#This Row],[Time]])&lt;21),"Evening",
     TRUE,"Night"
)</f>
        <v>Evening</v>
      </c>
      <c r="G680" s="1">
        <f t="shared" si="42"/>
        <v>2023</v>
      </c>
      <c r="H680" s="1" t="str">
        <f t="shared" si="43"/>
        <v>Dec</v>
      </c>
      <c r="I680" s="1" t="str">
        <f t="shared" si="40"/>
        <v>Tue</v>
      </c>
      <c r="J680" s="1" t="s">
        <v>66</v>
      </c>
      <c r="K680" s="1" t="s">
        <v>12</v>
      </c>
      <c r="L680" s="1" t="s">
        <v>119</v>
      </c>
      <c r="M680" s="1" t="s">
        <v>40</v>
      </c>
      <c r="N680" s="1" t="s">
        <v>22</v>
      </c>
      <c r="O680" t="s">
        <v>15</v>
      </c>
    </row>
    <row r="681" spans="1:15" x14ac:dyDescent="0.25">
      <c r="A681" s="1" t="s">
        <v>1033</v>
      </c>
      <c r="B681" s="1" t="s">
        <v>1034</v>
      </c>
      <c r="C681" s="2">
        <v>45265.832638888889</v>
      </c>
      <c r="D681" s="4">
        <f t="shared" si="41"/>
        <v>45265</v>
      </c>
      <c r="E681" s="6">
        <v>28.911111111107601</v>
      </c>
      <c r="F681" s="6" t="str" cm="1">
        <f t="array" ref="F681">_xlfn.IFS(
     AND(HOUR(session_data[[#This Row],[Time]])&gt;5,HOUR(session_data[[#This Row],[Time]])&lt;12),"Morning",
     AND(HOUR(session_data[[#This Row],[Time]])&gt;=12,HOUR(session_data[[#This Row],[Time]])&lt;17),"Afternoon",
     AND(HOUR(session_data[[#This Row],[Time]])&gt;=17,HOUR(session_data[[#This Row],[Time]])&lt;21),"Evening",
     TRUE,"Night"
)</f>
        <v>Night</v>
      </c>
      <c r="G681" s="1">
        <f t="shared" si="42"/>
        <v>2023</v>
      </c>
      <c r="H681" s="1" t="str">
        <f t="shared" si="43"/>
        <v>Dec</v>
      </c>
      <c r="I681" s="1" t="str">
        <f t="shared" si="40"/>
        <v>Tue</v>
      </c>
      <c r="J681" s="1" t="s">
        <v>18</v>
      </c>
      <c r="K681" s="1" t="s">
        <v>12</v>
      </c>
      <c r="L681" s="1" t="s">
        <v>79</v>
      </c>
      <c r="M681" s="1" t="s">
        <v>40</v>
      </c>
      <c r="N681" s="1" t="s">
        <v>14</v>
      </c>
      <c r="O681" t="s">
        <v>15</v>
      </c>
    </row>
    <row r="682" spans="1:15" x14ac:dyDescent="0.25">
      <c r="A682" s="1" t="s">
        <v>1035</v>
      </c>
      <c r="B682" s="1" t="s">
        <v>1034</v>
      </c>
      <c r="C682" s="2">
        <v>45052.832638888889</v>
      </c>
      <c r="D682" s="4">
        <f t="shared" si="41"/>
        <v>45052</v>
      </c>
      <c r="E682" s="6">
        <v>28.952777777774202</v>
      </c>
      <c r="F682" s="6" t="str" cm="1">
        <f t="array" ref="F682">_xlfn.IFS(
     AND(HOUR(session_data[[#This Row],[Time]])&gt;5,HOUR(session_data[[#This Row],[Time]])&lt;12),"Morning",
     AND(HOUR(session_data[[#This Row],[Time]])&gt;=12,HOUR(session_data[[#This Row],[Time]])&lt;17),"Afternoon",
     AND(HOUR(session_data[[#This Row],[Time]])&gt;=17,HOUR(session_data[[#This Row],[Time]])&lt;21),"Evening",
     TRUE,"Night"
)</f>
        <v>Night</v>
      </c>
      <c r="G682" s="1">
        <f t="shared" si="42"/>
        <v>2023</v>
      </c>
      <c r="H682" s="1" t="str">
        <f t="shared" si="43"/>
        <v>May</v>
      </c>
      <c r="I682" s="1" t="str">
        <f t="shared" si="40"/>
        <v>Sat</v>
      </c>
      <c r="J682" s="1" t="s">
        <v>18</v>
      </c>
      <c r="K682" s="1" t="s">
        <v>12</v>
      </c>
      <c r="L682" s="1" t="s">
        <v>79</v>
      </c>
      <c r="M682" s="1" t="s">
        <v>40</v>
      </c>
      <c r="N682" s="1" t="s">
        <v>22</v>
      </c>
      <c r="O682" t="s">
        <v>15</v>
      </c>
    </row>
    <row r="683" spans="1:15" x14ac:dyDescent="0.25">
      <c r="A683" s="1" t="s">
        <v>1036</v>
      </c>
      <c r="B683" s="1" t="s">
        <v>1034</v>
      </c>
      <c r="C683" s="3">
        <v>45106.874305555553</v>
      </c>
      <c r="D683" s="4">
        <f t="shared" si="41"/>
        <v>45106</v>
      </c>
      <c r="E683" s="6">
        <v>28.994444444440902</v>
      </c>
      <c r="F683" s="6" t="str" cm="1">
        <f t="array" ref="F683">_xlfn.IFS(
     AND(HOUR(session_data[[#This Row],[Time]])&gt;5,HOUR(session_data[[#This Row],[Time]])&lt;12),"Morning",
     AND(HOUR(session_data[[#This Row],[Time]])&gt;=12,HOUR(session_data[[#This Row],[Time]])&lt;17),"Afternoon",
     AND(HOUR(session_data[[#This Row],[Time]])&gt;=17,HOUR(session_data[[#This Row],[Time]])&lt;21),"Evening",
     TRUE,"Night"
)</f>
        <v>Night</v>
      </c>
      <c r="G683" s="1">
        <f t="shared" si="42"/>
        <v>2023</v>
      </c>
      <c r="H683" s="1" t="str">
        <f t="shared" si="43"/>
        <v>Jun</v>
      </c>
      <c r="I683" s="1" t="str">
        <f t="shared" si="40"/>
        <v>Thu</v>
      </c>
      <c r="J683" s="1" t="s">
        <v>18</v>
      </c>
      <c r="K683" s="1" t="s">
        <v>12</v>
      </c>
      <c r="L683" s="1" t="s">
        <v>79</v>
      </c>
      <c r="M683" s="1" t="s">
        <v>40</v>
      </c>
      <c r="N683" s="1" t="s">
        <v>22</v>
      </c>
      <c r="O683" t="s">
        <v>15</v>
      </c>
    </row>
    <row r="684" spans="1:15" x14ac:dyDescent="0.25">
      <c r="A684" s="1" t="s">
        <v>1037</v>
      </c>
      <c r="B684" s="1" t="s">
        <v>1038</v>
      </c>
      <c r="C684" s="2">
        <v>45084.07916666667</v>
      </c>
      <c r="D684" s="4">
        <f t="shared" si="41"/>
        <v>45084</v>
      </c>
      <c r="E684" s="6">
        <v>29.036111111107601</v>
      </c>
      <c r="F684" s="6" t="str" cm="1">
        <f t="array" ref="F684">_xlfn.IFS(
     AND(HOUR(session_data[[#This Row],[Time]])&gt;5,HOUR(session_data[[#This Row],[Time]])&lt;12),"Morning",
     AND(HOUR(session_data[[#This Row],[Time]])&gt;=12,HOUR(session_data[[#This Row],[Time]])&lt;17),"Afternoon",
     AND(HOUR(session_data[[#This Row],[Time]])&gt;=17,HOUR(session_data[[#This Row],[Time]])&lt;21),"Evening",
     TRUE,"Night"
)</f>
        <v>Night</v>
      </c>
      <c r="G684" s="1">
        <f t="shared" si="42"/>
        <v>2023</v>
      </c>
      <c r="H684" s="1" t="str">
        <f t="shared" si="43"/>
        <v>Jun</v>
      </c>
      <c r="I684" s="1" t="str">
        <f t="shared" si="40"/>
        <v>Wed</v>
      </c>
      <c r="J684" s="1" t="s">
        <v>11</v>
      </c>
      <c r="K684" s="1" t="s">
        <v>29</v>
      </c>
      <c r="L684" s="1" t="s">
        <v>94</v>
      </c>
      <c r="M684" s="1" t="s">
        <v>32</v>
      </c>
      <c r="N684" s="1" t="s">
        <v>14</v>
      </c>
      <c r="O684" t="s">
        <v>15</v>
      </c>
    </row>
    <row r="685" spans="1:15" x14ac:dyDescent="0.25">
      <c r="A685" s="1" t="s">
        <v>1039</v>
      </c>
      <c r="B685" s="1" t="s">
        <v>1038</v>
      </c>
      <c r="C685" s="3">
        <v>45131.412499999999</v>
      </c>
      <c r="D685" s="4">
        <f t="shared" si="41"/>
        <v>45131</v>
      </c>
      <c r="E685" s="6">
        <v>29.077777777774202</v>
      </c>
      <c r="F685" s="6" t="str" cm="1">
        <f t="array" ref="F685">_xlfn.IFS(
     AND(HOUR(session_data[[#This Row],[Time]])&gt;5,HOUR(session_data[[#This Row],[Time]])&lt;12),"Morning",
     AND(HOUR(session_data[[#This Row],[Time]])&gt;=12,HOUR(session_data[[#This Row],[Time]])&lt;17),"Afternoon",
     AND(HOUR(session_data[[#This Row],[Time]])&gt;=17,HOUR(session_data[[#This Row],[Time]])&lt;21),"Evening",
     TRUE,"Night"
)</f>
        <v>Night</v>
      </c>
      <c r="G685" s="1">
        <f t="shared" si="42"/>
        <v>2023</v>
      </c>
      <c r="H685" s="1" t="str">
        <f t="shared" si="43"/>
        <v>Jul</v>
      </c>
      <c r="I685" s="1" t="str">
        <f t="shared" si="40"/>
        <v>Mon</v>
      </c>
      <c r="J685" s="1" t="s">
        <v>11</v>
      </c>
      <c r="K685" s="1" t="s">
        <v>29</v>
      </c>
      <c r="L685" s="1" t="s">
        <v>94</v>
      </c>
      <c r="M685" s="1" t="s">
        <v>32</v>
      </c>
      <c r="N685" s="1" t="s">
        <v>22</v>
      </c>
      <c r="O685" t="s">
        <v>15</v>
      </c>
    </row>
    <row r="686" spans="1:15" x14ac:dyDescent="0.25">
      <c r="A686" s="1" t="s">
        <v>1040</v>
      </c>
      <c r="B686" s="1" t="s">
        <v>1038</v>
      </c>
      <c r="C686" s="2">
        <v>45146.70416666667</v>
      </c>
      <c r="D686" s="4">
        <f t="shared" si="41"/>
        <v>45146</v>
      </c>
      <c r="E686" s="6">
        <v>29.119444444440902</v>
      </c>
      <c r="F686" s="6" t="str" cm="1">
        <f t="array" ref="F686">_xlfn.IFS(
     AND(HOUR(session_data[[#This Row],[Time]])&gt;5,HOUR(session_data[[#This Row],[Time]])&lt;12),"Morning",
     AND(HOUR(session_data[[#This Row],[Time]])&gt;=12,HOUR(session_data[[#This Row],[Time]])&lt;17),"Afternoon",
     AND(HOUR(session_data[[#This Row],[Time]])&gt;=17,HOUR(session_data[[#This Row],[Time]])&lt;21),"Evening",
     TRUE,"Night"
)</f>
        <v>Night</v>
      </c>
      <c r="G686" s="1">
        <f t="shared" si="42"/>
        <v>2023</v>
      </c>
      <c r="H686" s="1" t="str">
        <f t="shared" si="43"/>
        <v>Aug</v>
      </c>
      <c r="I686" s="1" t="str">
        <f t="shared" si="40"/>
        <v>Tue</v>
      </c>
      <c r="J686" s="1" t="s">
        <v>11</v>
      </c>
      <c r="K686" s="1" t="s">
        <v>29</v>
      </c>
      <c r="L686" s="1" t="s">
        <v>94</v>
      </c>
      <c r="M686" s="1" t="s">
        <v>32</v>
      </c>
      <c r="N686" s="1" t="s">
        <v>22</v>
      </c>
      <c r="O686" t="s">
        <v>15</v>
      </c>
    </row>
    <row r="687" spans="1:15" x14ac:dyDescent="0.25">
      <c r="A687" s="1" t="s">
        <v>1041</v>
      </c>
      <c r="B687" s="1" t="s">
        <v>1042</v>
      </c>
      <c r="C687" s="3">
        <v>44948.696527777778</v>
      </c>
      <c r="D687" s="4">
        <f t="shared" si="41"/>
        <v>44948</v>
      </c>
      <c r="E687" s="6">
        <v>29.161111111107601</v>
      </c>
      <c r="F687" s="6" t="str" cm="1">
        <f t="array" ref="F687">_xlfn.IFS(
     AND(HOUR(session_data[[#This Row],[Time]])&gt;5,HOUR(session_data[[#This Row],[Time]])&lt;12),"Morning",
     AND(HOUR(session_data[[#This Row],[Time]])&gt;=12,HOUR(session_data[[#This Row],[Time]])&lt;17),"Afternoon",
     AND(HOUR(session_data[[#This Row],[Time]])&gt;=17,HOUR(session_data[[#This Row],[Time]])&lt;21),"Evening",
     TRUE,"Night"
)</f>
        <v>Night</v>
      </c>
      <c r="G687" s="1">
        <f t="shared" si="42"/>
        <v>2023</v>
      </c>
      <c r="H687" s="1" t="str">
        <f t="shared" si="43"/>
        <v>Jan</v>
      </c>
      <c r="I687" s="1" t="str">
        <f t="shared" si="40"/>
        <v>Sun</v>
      </c>
      <c r="J687" s="1" t="s">
        <v>11</v>
      </c>
      <c r="K687" s="1" t="s">
        <v>12</v>
      </c>
      <c r="L687" s="1" t="s">
        <v>59</v>
      </c>
      <c r="M687" s="1" t="s">
        <v>19</v>
      </c>
      <c r="N687" s="1" t="s">
        <v>14</v>
      </c>
      <c r="O687" t="s">
        <v>15</v>
      </c>
    </row>
    <row r="688" spans="1:15" x14ac:dyDescent="0.25">
      <c r="A688" s="1" t="s">
        <v>1043</v>
      </c>
      <c r="B688" s="1" t="s">
        <v>1044</v>
      </c>
      <c r="C688" s="3">
        <v>45009.279861111114</v>
      </c>
      <c r="D688" s="4">
        <f t="shared" si="41"/>
        <v>45009</v>
      </c>
      <c r="E688" s="6">
        <v>29.202777777774202</v>
      </c>
      <c r="F688" s="6" t="str" cm="1">
        <f t="array" ref="F688">_xlfn.IFS(
     AND(HOUR(session_data[[#This Row],[Time]])&gt;5,HOUR(session_data[[#This Row],[Time]])&lt;12),"Morning",
     AND(HOUR(session_data[[#This Row],[Time]])&gt;=12,HOUR(session_data[[#This Row],[Time]])&lt;17),"Afternoon",
     AND(HOUR(session_data[[#This Row],[Time]])&gt;=17,HOUR(session_data[[#This Row],[Time]])&lt;21),"Evening",
     TRUE,"Night"
)</f>
        <v>Night</v>
      </c>
      <c r="G688" s="1">
        <f t="shared" si="42"/>
        <v>2023</v>
      </c>
      <c r="H688" s="1" t="str">
        <f t="shared" si="43"/>
        <v>Mar</v>
      </c>
      <c r="I688" s="1" t="str">
        <f t="shared" si="40"/>
        <v>Fri</v>
      </c>
      <c r="J688" s="1" t="s">
        <v>28</v>
      </c>
      <c r="K688" s="1" t="s">
        <v>12</v>
      </c>
      <c r="L688" s="1" t="s">
        <v>13</v>
      </c>
      <c r="M688" s="1" t="s">
        <v>32</v>
      </c>
      <c r="N688" s="1" t="s">
        <v>14</v>
      </c>
      <c r="O688" t="s">
        <v>45</v>
      </c>
    </row>
    <row r="689" spans="1:15" x14ac:dyDescent="0.25">
      <c r="A689" s="1" t="s">
        <v>1045</v>
      </c>
      <c r="B689" s="1" t="s">
        <v>1044</v>
      </c>
      <c r="C689" s="2">
        <v>45234.279861111114</v>
      </c>
      <c r="D689" s="4">
        <f t="shared" si="41"/>
        <v>45234</v>
      </c>
      <c r="E689" s="6">
        <v>29.244444444440902</v>
      </c>
      <c r="F689" s="6" t="str" cm="1">
        <f t="array" ref="F689">_xlfn.IFS(
     AND(HOUR(session_data[[#This Row],[Time]])&gt;5,HOUR(session_data[[#This Row],[Time]])&lt;12),"Morning",
     AND(HOUR(session_data[[#This Row],[Time]])&gt;=12,HOUR(session_data[[#This Row],[Time]])&lt;17),"Afternoon",
     AND(HOUR(session_data[[#This Row],[Time]])&gt;=17,HOUR(session_data[[#This Row],[Time]])&lt;21),"Evening",
     TRUE,"Night"
)</f>
        <v>Night</v>
      </c>
      <c r="G689" s="1">
        <f t="shared" si="42"/>
        <v>2023</v>
      </c>
      <c r="H689" s="1" t="str">
        <f t="shared" si="43"/>
        <v>Nov</v>
      </c>
      <c r="I689" s="1" t="str">
        <f t="shared" si="40"/>
        <v>Sat</v>
      </c>
      <c r="J689" s="1" t="s">
        <v>28</v>
      </c>
      <c r="K689" s="1" t="s">
        <v>12</v>
      </c>
      <c r="L689" s="1" t="s">
        <v>13</v>
      </c>
      <c r="M689" s="1" t="s">
        <v>32</v>
      </c>
      <c r="N689" s="1" t="s">
        <v>22</v>
      </c>
      <c r="O689" t="s">
        <v>45</v>
      </c>
    </row>
    <row r="690" spans="1:15" x14ac:dyDescent="0.25">
      <c r="A690" s="1" t="s">
        <v>1046</v>
      </c>
      <c r="B690" s="1" t="s">
        <v>1044</v>
      </c>
      <c r="C690" s="2">
        <v>44990.154861111114</v>
      </c>
      <c r="D690" s="4">
        <f t="shared" si="41"/>
        <v>44990</v>
      </c>
      <c r="E690" s="6">
        <v>29.286111111107601</v>
      </c>
      <c r="F690" s="6" t="str" cm="1">
        <f t="array" ref="F690">_xlfn.IFS(
     AND(HOUR(session_data[[#This Row],[Time]])&gt;5,HOUR(session_data[[#This Row],[Time]])&lt;12),"Morning",
     AND(HOUR(session_data[[#This Row],[Time]])&gt;=12,HOUR(session_data[[#This Row],[Time]])&lt;17),"Afternoon",
     AND(HOUR(session_data[[#This Row],[Time]])&gt;=17,HOUR(session_data[[#This Row],[Time]])&lt;21),"Evening",
     TRUE,"Night"
)</f>
        <v>Morning</v>
      </c>
      <c r="G690" s="1">
        <f t="shared" si="42"/>
        <v>2023</v>
      </c>
      <c r="H690" s="1" t="str">
        <f t="shared" si="43"/>
        <v>Mar</v>
      </c>
      <c r="I690" s="1" t="str">
        <f t="shared" si="40"/>
        <v>Sun</v>
      </c>
      <c r="J690" s="1" t="s">
        <v>28</v>
      </c>
      <c r="K690" s="1" t="s">
        <v>12</v>
      </c>
      <c r="L690" s="1" t="s">
        <v>13</v>
      </c>
      <c r="M690" s="1" t="s">
        <v>32</v>
      </c>
      <c r="N690" s="1" t="s">
        <v>22</v>
      </c>
      <c r="O690" t="s">
        <v>45</v>
      </c>
    </row>
    <row r="691" spans="1:15" x14ac:dyDescent="0.25">
      <c r="A691" s="1" t="s">
        <v>1047</v>
      </c>
      <c r="B691" s="1" t="s">
        <v>1044</v>
      </c>
      <c r="C691" s="3">
        <v>45067.321527777778</v>
      </c>
      <c r="D691" s="4">
        <f t="shared" si="41"/>
        <v>45067</v>
      </c>
      <c r="E691" s="6">
        <v>29.327777777774202</v>
      </c>
      <c r="F691" s="6" t="str" cm="1">
        <f t="array" ref="F691">_xlfn.IFS(
     AND(HOUR(session_data[[#This Row],[Time]])&gt;5,HOUR(session_data[[#This Row],[Time]])&lt;12),"Morning",
     AND(HOUR(session_data[[#This Row],[Time]])&gt;=12,HOUR(session_data[[#This Row],[Time]])&lt;17),"Afternoon",
     AND(HOUR(session_data[[#This Row],[Time]])&gt;=17,HOUR(session_data[[#This Row],[Time]])&lt;21),"Evening",
     TRUE,"Night"
)</f>
        <v>Morning</v>
      </c>
      <c r="G691" s="1">
        <f t="shared" si="42"/>
        <v>2023</v>
      </c>
      <c r="H691" s="1" t="str">
        <f t="shared" si="43"/>
        <v>May</v>
      </c>
      <c r="I691" s="1" t="str">
        <f t="shared" si="40"/>
        <v>Sun</v>
      </c>
      <c r="J691" s="1" t="s">
        <v>28</v>
      </c>
      <c r="K691" s="1" t="s">
        <v>12</v>
      </c>
      <c r="L691" s="1" t="s">
        <v>13</v>
      </c>
      <c r="M691" s="1" t="s">
        <v>32</v>
      </c>
      <c r="N691" s="1" t="s">
        <v>22</v>
      </c>
      <c r="O691" t="s">
        <v>45</v>
      </c>
    </row>
    <row r="692" spans="1:15" x14ac:dyDescent="0.25">
      <c r="A692" s="1" t="s">
        <v>1048</v>
      </c>
      <c r="B692" s="1" t="s">
        <v>1044</v>
      </c>
      <c r="C692" s="3">
        <v>45094.321527777778</v>
      </c>
      <c r="D692" s="4">
        <f t="shared" si="41"/>
        <v>45094</v>
      </c>
      <c r="E692" s="6">
        <v>29.369444444440902</v>
      </c>
      <c r="F692" s="6" t="str" cm="1">
        <f t="array" ref="F692">_xlfn.IFS(
     AND(HOUR(session_data[[#This Row],[Time]])&gt;5,HOUR(session_data[[#This Row],[Time]])&lt;12),"Morning",
     AND(HOUR(session_data[[#This Row],[Time]])&gt;=12,HOUR(session_data[[#This Row],[Time]])&lt;17),"Afternoon",
     AND(HOUR(session_data[[#This Row],[Time]])&gt;=17,HOUR(session_data[[#This Row],[Time]])&lt;21),"Evening",
     TRUE,"Night"
)</f>
        <v>Morning</v>
      </c>
      <c r="G692" s="1">
        <f t="shared" si="42"/>
        <v>2023</v>
      </c>
      <c r="H692" s="1" t="str">
        <f t="shared" si="43"/>
        <v>Jun</v>
      </c>
      <c r="I692" s="1" t="str">
        <f t="shared" si="40"/>
        <v>Sat</v>
      </c>
      <c r="J692" s="1" t="s">
        <v>28</v>
      </c>
      <c r="K692" s="1" t="s">
        <v>12</v>
      </c>
      <c r="L692" s="1" t="s">
        <v>13</v>
      </c>
      <c r="M692" s="1" t="s">
        <v>32</v>
      </c>
      <c r="N692" s="1" t="s">
        <v>22</v>
      </c>
      <c r="O692" t="s">
        <v>45</v>
      </c>
    </row>
    <row r="693" spans="1:15" x14ac:dyDescent="0.25">
      <c r="A693" s="1" t="s">
        <v>1049</v>
      </c>
      <c r="B693" s="1" t="s">
        <v>1050</v>
      </c>
      <c r="C693" s="3">
        <v>44939.709027777775</v>
      </c>
      <c r="D693" s="4">
        <f t="shared" si="41"/>
        <v>44939</v>
      </c>
      <c r="E693" s="6">
        <v>29.411111111107601</v>
      </c>
      <c r="F693" s="6" t="str" cm="1">
        <f t="array" ref="F693">_xlfn.IFS(
     AND(HOUR(session_data[[#This Row],[Time]])&gt;5,HOUR(session_data[[#This Row],[Time]])&lt;12),"Morning",
     AND(HOUR(session_data[[#This Row],[Time]])&gt;=12,HOUR(session_data[[#This Row],[Time]])&lt;17),"Afternoon",
     AND(HOUR(session_data[[#This Row],[Time]])&gt;=17,HOUR(session_data[[#This Row],[Time]])&lt;21),"Evening",
     TRUE,"Night"
)</f>
        <v>Morning</v>
      </c>
      <c r="G693" s="1">
        <f t="shared" si="42"/>
        <v>2023</v>
      </c>
      <c r="H693" s="1" t="str">
        <f t="shared" si="43"/>
        <v>Jan</v>
      </c>
      <c r="I693" s="1" t="str">
        <f t="shared" si="40"/>
        <v>Fri</v>
      </c>
      <c r="J693" s="1" t="s">
        <v>18</v>
      </c>
      <c r="K693" s="1" t="s">
        <v>12</v>
      </c>
      <c r="L693" s="1" t="s">
        <v>30</v>
      </c>
      <c r="M693" s="1" t="s">
        <v>32</v>
      </c>
      <c r="N693" s="1" t="s">
        <v>14</v>
      </c>
      <c r="O693" t="s">
        <v>15</v>
      </c>
    </row>
    <row r="694" spans="1:15" x14ac:dyDescent="0.25">
      <c r="A694" s="1" t="s">
        <v>1051</v>
      </c>
      <c r="B694" s="1" t="s">
        <v>1050</v>
      </c>
      <c r="C694" s="3">
        <v>44978.959027777775</v>
      </c>
      <c r="D694" s="4">
        <f t="shared" si="41"/>
        <v>44978</v>
      </c>
      <c r="E694" s="6">
        <v>29.452777777774202</v>
      </c>
      <c r="F694" s="6" t="str" cm="1">
        <f t="array" ref="F694">_xlfn.IFS(
     AND(HOUR(session_data[[#This Row],[Time]])&gt;5,HOUR(session_data[[#This Row],[Time]])&lt;12),"Morning",
     AND(HOUR(session_data[[#This Row],[Time]])&gt;=12,HOUR(session_data[[#This Row],[Time]])&lt;17),"Afternoon",
     AND(HOUR(session_data[[#This Row],[Time]])&gt;=17,HOUR(session_data[[#This Row],[Time]])&lt;21),"Evening",
     TRUE,"Night"
)</f>
        <v>Morning</v>
      </c>
      <c r="G694" s="1">
        <f t="shared" si="42"/>
        <v>2023</v>
      </c>
      <c r="H694" s="1" t="str">
        <f t="shared" si="43"/>
        <v>Feb</v>
      </c>
      <c r="I694" s="1" t="str">
        <f t="shared" si="40"/>
        <v>Tue</v>
      </c>
      <c r="J694" s="1" t="s">
        <v>18</v>
      </c>
      <c r="K694" s="1" t="s">
        <v>12</v>
      </c>
      <c r="L694" s="1" t="s">
        <v>30</v>
      </c>
      <c r="M694" s="1" t="s">
        <v>32</v>
      </c>
      <c r="N694" s="1" t="s">
        <v>22</v>
      </c>
      <c r="O694" t="s">
        <v>15</v>
      </c>
    </row>
    <row r="695" spans="1:15" x14ac:dyDescent="0.25">
      <c r="A695" s="1" t="s">
        <v>1052</v>
      </c>
      <c r="B695" s="1" t="s">
        <v>1050</v>
      </c>
      <c r="C695" s="2">
        <v>44988.334027777775</v>
      </c>
      <c r="D695" s="4">
        <f t="shared" si="41"/>
        <v>44988</v>
      </c>
      <c r="E695" s="6">
        <v>29.494444444440902</v>
      </c>
      <c r="F695" s="6" t="str" cm="1">
        <f t="array" ref="F695">_xlfn.IFS(
     AND(HOUR(session_data[[#This Row],[Time]])&gt;5,HOUR(session_data[[#This Row],[Time]])&lt;12),"Morning",
     AND(HOUR(session_data[[#This Row],[Time]])&gt;=12,HOUR(session_data[[#This Row],[Time]])&lt;17),"Afternoon",
     AND(HOUR(session_data[[#This Row],[Time]])&gt;=17,HOUR(session_data[[#This Row],[Time]])&lt;21),"Evening",
     TRUE,"Night"
)</f>
        <v>Morning</v>
      </c>
      <c r="G695" s="1">
        <f t="shared" si="42"/>
        <v>2023</v>
      </c>
      <c r="H695" s="1" t="str">
        <f t="shared" si="43"/>
        <v>Mar</v>
      </c>
      <c r="I695" s="1" t="str">
        <f t="shared" si="40"/>
        <v>Fri</v>
      </c>
      <c r="J695" s="1" t="s">
        <v>18</v>
      </c>
      <c r="K695" s="1" t="s">
        <v>12</v>
      </c>
      <c r="L695" s="1" t="s">
        <v>30</v>
      </c>
      <c r="M695" s="1" t="s">
        <v>32</v>
      </c>
      <c r="N695" s="1" t="s">
        <v>22</v>
      </c>
      <c r="O695" t="s">
        <v>15</v>
      </c>
    </row>
    <row r="696" spans="1:15" x14ac:dyDescent="0.25">
      <c r="A696" s="1" t="s">
        <v>1053</v>
      </c>
      <c r="B696" s="1" t="s">
        <v>1054</v>
      </c>
      <c r="C696" s="3">
        <v>44954.757638888892</v>
      </c>
      <c r="D696" s="4">
        <f t="shared" si="41"/>
        <v>44954</v>
      </c>
      <c r="E696" s="6">
        <v>29.536111111107601</v>
      </c>
      <c r="F696" s="6" t="str" cm="1">
        <f t="array" ref="F696">_xlfn.IFS(
     AND(HOUR(session_data[[#This Row],[Time]])&gt;5,HOUR(session_data[[#This Row],[Time]])&lt;12),"Morning",
     AND(HOUR(session_data[[#This Row],[Time]])&gt;=12,HOUR(session_data[[#This Row],[Time]])&lt;17),"Afternoon",
     AND(HOUR(session_data[[#This Row],[Time]])&gt;=17,HOUR(session_data[[#This Row],[Time]])&lt;21),"Evening",
     TRUE,"Night"
)</f>
        <v>Afternoon</v>
      </c>
      <c r="G696" s="1">
        <f t="shared" si="42"/>
        <v>2023</v>
      </c>
      <c r="H696" s="1" t="str">
        <f t="shared" si="43"/>
        <v>Jan</v>
      </c>
      <c r="I696" s="1" t="str">
        <f t="shared" si="40"/>
        <v>Sat</v>
      </c>
      <c r="J696" s="1" t="s">
        <v>28</v>
      </c>
      <c r="K696" s="1" t="s">
        <v>29</v>
      </c>
      <c r="L696" s="1" t="s">
        <v>50</v>
      </c>
      <c r="M696" s="1" t="s">
        <v>19</v>
      </c>
      <c r="N696" s="1" t="s">
        <v>14</v>
      </c>
      <c r="O696" t="s">
        <v>15</v>
      </c>
    </row>
    <row r="697" spans="1:15" x14ac:dyDescent="0.25">
      <c r="A697" s="1" t="s">
        <v>1055</v>
      </c>
      <c r="B697" s="1" t="s">
        <v>1054</v>
      </c>
      <c r="C697" s="3">
        <v>44975.34097222222</v>
      </c>
      <c r="D697" s="4">
        <f t="shared" si="41"/>
        <v>44975</v>
      </c>
      <c r="E697" s="6">
        <v>29.577777777774202</v>
      </c>
      <c r="F697" s="6" t="str" cm="1">
        <f t="array" ref="F697">_xlfn.IFS(
     AND(HOUR(session_data[[#This Row],[Time]])&gt;5,HOUR(session_data[[#This Row],[Time]])&lt;12),"Morning",
     AND(HOUR(session_data[[#This Row],[Time]])&gt;=12,HOUR(session_data[[#This Row],[Time]])&lt;17),"Afternoon",
     AND(HOUR(session_data[[#This Row],[Time]])&gt;=17,HOUR(session_data[[#This Row],[Time]])&lt;21),"Evening",
     TRUE,"Night"
)</f>
        <v>Afternoon</v>
      </c>
      <c r="G697" s="1">
        <f t="shared" si="42"/>
        <v>2023</v>
      </c>
      <c r="H697" s="1" t="str">
        <f t="shared" si="43"/>
        <v>Feb</v>
      </c>
      <c r="I697" s="1" t="str">
        <f t="shared" si="40"/>
        <v>Sat</v>
      </c>
      <c r="J697" s="1" t="s">
        <v>28</v>
      </c>
      <c r="K697" s="1" t="s">
        <v>29</v>
      </c>
      <c r="L697" s="1" t="s">
        <v>50</v>
      </c>
      <c r="M697" s="1" t="s">
        <v>19</v>
      </c>
      <c r="N697" s="1" t="s">
        <v>22</v>
      </c>
      <c r="O697" t="s">
        <v>15</v>
      </c>
    </row>
    <row r="698" spans="1:15" x14ac:dyDescent="0.25">
      <c r="A698" s="1" t="s">
        <v>1056</v>
      </c>
      <c r="B698" s="1" t="s">
        <v>1057</v>
      </c>
      <c r="C698" s="2">
        <v>45084.001388888886</v>
      </c>
      <c r="D698" s="4">
        <f t="shared" si="41"/>
        <v>45084</v>
      </c>
      <c r="E698" s="6">
        <v>29.619444444440902</v>
      </c>
      <c r="F698" s="6" t="str" cm="1">
        <f t="array" ref="F698">_xlfn.IFS(
     AND(HOUR(session_data[[#This Row],[Time]])&gt;5,HOUR(session_data[[#This Row],[Time]])&lt;12),"Morning",
     AND(HOUR(session_data[[#This Row],[Time]])&gt;=12,HOUR(session_data[[#This Row],[Time]])&lt;17),"Afternoon",
     AND(HOUR(session_data[[#This Row],[Time]])&gt;=17,HOUR(session_data[[#This Row],[Time]])&lt;21),"Evening",
     TRUE,"Night"
)</f>
        <v>Afternoon</v>
      </c>
      <c r="G698" s="1">
        <f t="shared" si="42"/>
        <v>2023</v>
      </c>
      <c r="H698" s="1" t="str">
        <f t="shared" si="43"/>
        <v>Jun</v>
      </c>
      <c r="I698" s="1" t="str">
        <f t="shared" si="40"/>
        <v>Wed</v>
      </c>
      <c r="J698" s="1" t="s">
        <v>18</v>
      </c>
      <c r="K698" s="1" t="s">
        <v>29</v>
      </c>
      <c r="L698" s="1" t="s">
        <v>20</v>
      </c>
      <c r="M698" s="1" t="s">
        <v>19</v>
      </c>
      <c r="N698" s="1" t="s">
        <v>14</v>
      </c>
      <c r="O698" t="s">
        <v>15</v>
      </c>
    </row>
    <row r="699" spans="1:15" x14ac:dyDescent="0.25">
      <c r="A699" s="1" t="s">
        <v>1058</v>
      </c>
      <c r="B699" s="1" t="s">
        <v>1057</v>
      </c>
      <c r="C699" s="3">
        <v>45128.293055555558</v>
      </c>
      <c r="D699" s="4">
        <f t="shared" si="41"/>
        <v>45128</v>
      </c>
      <c r="E699" s="6">
        <v>29.661111111107601</v>
      </c>
      <c r="F699" s="6" t="str" cm="1">
        <f t="array" ref="F699">_xlfn.IFS(
     AND(HOUR(session_data[[#This Row],[Time]])&gt;5,HOUR(session_data[[#This Row],[Time]])&lt;12),"Morning",
     AND(HOUR(session_data[[#This Row],[Time]])&gt;=12,HOUR(session_data[[#This Row],[Time]])&lt;17),"Afternoon",
     AND(HOUR(session_data[[#This Row],[Time]])&gt;=17,HOUR(session_data[[#This Row],[Time]])&lt;21),"Evening",
     TRUE,"Night"
)</f>
        <v>Afternoon</v>
      </c>
      <c r="G699" s="1">
        <f t="shared" si="42"/>
        <v>2023</v>
      </c>
      <c r="H699" s="1" t="str">
        <f t="shared" si="43"/>
        <v>Jul</v>
      </c>
      <c r="I699" s="1" t="str">
        <f t="shared" si="40"/>
        <v>Fri</v>
      </c>
      <c r="J699" s="1" t="s">
        <v>18</v>
      </c>
      <c r="K699" s="1" t="s">
        <v>29</v>
      </c>
      <c r="L699" s="1" t="s">
        <v>20</v>
      </c>
      <c r="M699" s="1" t="s">
        <v>19</v>
      </c>
      <c r="N699" s="1" t="s">
        <v>22</v>
      </c>
      <c r="O699" t="s">
        <v>15</v>
      </c>
    </row>
    <row r="700" spans="1:15" x14ac:dyDescent="0.25">
      <c r="A700" s="1" t="s">
        <v>1059</v>
      </c>
      <c r="B700" s="1" t="s">
        <v>1060</v>
      </c>
      <c r="C700" s="3">
        <v>44954.763888888891</v>
      </c>
      <c r="D700" s="4">
        <f t="shared" si="41"/>
        <v>44954</v>
      </c>
      <c r="E700" s="6">
        <v>29.702777777774202</v>
      </c>
      <c r="F700" s="6" t="str" cm="1">
        <f t="array" ref="F700">_xlfn.IFS(
     AND(HOUR(session_data[[#This Row],[Time]])&gt;5,HOUR(session_data[[#This Row],[Time]])&lt;12),"Morning",
     AND(HOUR(session_data[[#This Row],[Time]])&gt;=12,HOUR(session_data[[#This Row],[Time]])&lt;17),"Afternoon",
     AND(HOUR(session_data[[#This Row],[Time]])&gt;=17,HOUR(session_data[[#This Row],[Time]])&lt;21),"Evening",
     TRUE,"Night"
)</f>
        <v>Afternoon</v>
      </c>
      <c r="G700" s="1">
        <f t="shared" si="42"/>
        <v>2023</v>
      </c>
      <c r="H700" s="1" t="str">
        <f t="shared" si="43"/>
        <v>Jan</v>
      </c>
      <c r="I700" s="1" t="str">
        <f t="shared" si="40"/>
        <v>Sat</v>
      </c>
      <c r="J700" s="1" t="s">
        <v>28</v>
      </c>
      <c r="K700" s="1" t="s">
        <v>12</v>
      </c>
      <c r="L700" s="1" t="s">
        <v>94</v>
      </c>
      <c r="M700" s="1" t="s">
        <v>32</v>
      </c>
      <c r="N700" s="1" t="s">
        <v>14</v>
      </c>
      <c r="O700" t="s">
        <v>15</v>
      </c>
    </row>
    <row r="701" spans="1:15" x14ac:dyDescent="0.25">
      <c r="A701" s="1" t="s">
        <v>1061</v>
      </c>
      <c r="B701" s="1" t="s">
        <v>1060</v>
      </c>
      <c r="C701" s="3">
        <v>44975.013888888891</v>
      </c>
      <c r="D701" s="4">
        <f t="shared" si="41"/>
        <v>44975</v>
      </c>
      <c r="E701" s="6">
        <v>29.744444444440902</v>
      </c>
      <c r="F701" s="6" t="str" cm="1">
        <f t="array" ref="F701">_xlfn.IFS(
     AND(HOUR(session_data[[#This Row],[Time]])&gt;5,HOUR(session_data[[#This Row],[Time]])&lt;12),"Morning",
     AND(HOUR(session_data[[#This Row],[Time]])&gt;=12,HOUR(session_data[[#This Row],[Time]])&lt;17),"Afternoon",
     AND(HOUR(session_data[[#This Row],[Time]])&gt;=17,HOUR(session_data[[#This Row],[Time]])&lt;21),"Evening",
     TRUE,"Night"
)</f>
        <v>Evening</v>
      </c>
      <c r="G701" s="1">
        <f t="shared" si="42"/>
        <v>2023</v>
      </c>
      <c r="H701" s="1" t="str">
        <f t="shared" si="43"/>
        <v>Feb</v>
      </c>
      <c r="I701" s="1" t="str">
        <f t="shared" si="40"/>
        <v>Sat</v>
      </c>
      <c r="J701" s="1" t="s">
        <v>28</v>
      </c>
      <c r="K701" s="1" t="s">
        <v>12</v>
      </c>
      <c r="L701" s="1" t="s">
        <v>94</v>
      </c>
      <c r="M701" s="1" t="s">
        <v>32</v>
      </c>
      <c r="N701" s="1" t="s">
        <v>22</v>
      </c>
      <c r="O701" t="s">
        <v>15</v>
      </c>
    </row>
    <row r="702" spans="1:15" x14ac:dyDescent="0.25">
      <c r="A702" s="1" t="s">
        <v>1062</v>
      </c>
      <c r="B702" s="1" t="s">
        <v>1063</v>
      </c>
      <c r="C702" s="2">
        <v>44961.923611111109</v>
      </c>
      <c r="D702" s="4">
        <f t="shared" si="41"/>
        <v>44961</v>
      </c>
      <c r="E702" s="6">
        <v>29.786111111107601</v>
      </c>
      <c r="F702" s="6" t="str" cm="1">
        <f t="array" ref="F702">_xlfn.IFS(
     AND(HOUR(session_data[[#This Row],[Time]])&gt;5,HOUR(session_data[[#This Row],[Time]])&lt;12),"Morning",
     AND(HOUR(session_data[[#This Row],[Time]])&gt;=12,HOUR(session_data[[#This Row],[Time]])&lt;17),"Afternoon",
     AND(HOUR(session_data[[#This Row],[Time]])&gt;=17,HOUR(session_data[[#This Row],[Time]])&lt;21),"Evening",
     TRUE,"Night"
)</f>
        <v>Evening</v>
      </c>
      <c r="G702" s="1">
        <f t="shared" si="42"/>
        <v>2023</v>
      </c>
      <c r="H702" s="1" t="str">
        <f t="shared" si="43"/>
        <v>Feb</v>
      </c>
      <c r="I702" s="1" t="str">
        <f t="shared" si="40"/>
        <v>Sat</v>
      </c>
      <c r="J702" s="1" t="s">
        <v>28</v>
      </c>
      <c r="K702" s="1" t="s">
        <v>12</v>
      </c>
      <c r="L702" s="1" t="s">
        <v>79</v>
      </c>
      <c r="M702" s="1" t="s">
        <v>40</v>
      </c>
      <c r="N702" s="1" t="s">
        <v>14</v>
      </c>
      <c r="O702" t="s">
        <v>45</v>
      </c>
    </row>
    <row r="703" spans="1:15" x14ac:dyDescent="0.25">
      <c r="A703" s="1" t="s">
        <v>1064</v>
      </c>
      <c r="B703" s="1" t="s">
        <v>1065</v>
      </c>
      <c r="C703" s="3">
        <v>44942.772222222222</v>
      </c>
      <c r="D703" s="4">
        <f t="shared" si="41"/>
        <v>44942</v>
      </c>
      <c r="E703" s="6">
        <v>29.827777777774202</v>
      </c>
      <c r="F703" s="6" t="str" cm="1">
        <f t="array" ref="F703">_xlfn.IFS(
     AND(HOUR(session_data[[#This Row],[Time]])&gt;5,HOUR(session_data[[#This Row],[Time]])&lt;12),"Morning",
     AND(HOUR(session_data[[#This Row],[Time]])&gt;=12,HOUR(session_data[[#This Row],[Time]])&lt;17),"Afternoon",
     AND(HOUR(session_data[[#This Row],[Time]])&gt;=17,HOUR(session_data[[#This Row],[Time]])&lt;21),"Evening",
     TRUE,"Night"
)</f>
        <v>Evening</v>
      </c>
      <c r="G703" s="1">
        <f t="shared" si="42"/>
        <v>2023</v>
      </c>
      <c r="H703" s="1" t="str">
        <f t="shared" si="43"/>
        <v>Jan</v>
      </c>
      <c r="I703" s="1" t="str">
        <f t="shared" si="40"/>
        <v>Mon</v>
      </c>
      <c r="J703" s="1" t="s">
        <v>28</v>
      </c>
      <c r="K703" s="1" t="s">
        <v>29</v>
      </c>
      <c r="L703" s="1" t="s">
        <v>59</v>
      </c>
      <c r="M703" s="1" t="s">
        <v>19</v>
      </c>
      <c r="N703" s="1" t="s">
        <v>14</v>
      </c>
      <c r="O703" t="s">
        <v>45</v>
      </c>
    </row>
    <row r="704" spans="1:15" x14ac:dyDescent="0.25">
      <c r="A704" s="1" t="s">
        <v>1066</v>
      </c>
      <c r="B704" s="1" t="s">
        <v>1067</v>
      </c>
      <c r="C704" s="3">
        <v>44952.013194444444</v>
      </c>
      <c r="D704" s="4">
        <f t="shared" si="41"/>
        <v>44952</v>
      </c>
      <c r="E704" s="6">
        <v>29.869444444440902</v>
      </c>
      <c r="F704" s="6" t="str" cm="1">
        <f t="array" ref="F704">_xlfn.IFS(
     AND(HOUR(session_data[[#This Row],[Time]])&gt;5,HOUR(session_data[[#This Row],[Time]])&lt;12),"Morning",
     AND(HOUR(session_data[[#This Row],[Time]])&gt;=12,HOUR(session_data[[#This Row],[Time]])&lt;17),"Afternoon",
     AND(HOUR(session_data[[#This Row],[Time]])&gt;=17,HOUR(session_data[[#This Row],[Time]])&lt;21),"Evening",
     TRUE,"Night"
)</f>
        <v>Evening</v>
      </c>
      <c r="G704" s="1">
        <f t="shared" si="42"/>
        <v>2023</v>
      </c>
      <c r="H704" s="1" t="str">
        <f t="shared" si="43"/>
        <v>Jan</v>
      </c>
      <c r="I704" s="1" t="str">
        <f t="shared" si="40"/>
        <v>Thu</v>
      </c>
      <c r="J704" s="1" t="s">
        <v>66</v>
      </c>
      <c r="K704" s="1" t="s">
        <v>29</v>
      </c>
      <c r="L704" s="1" t="s">
        <v>119</v>
      </c>
      <c r="M704" s="1" t="s">
        <v>40</v>
      </c>
      <c r="N704" s="1" t="s">
        <v>14</v>
      </c>
      <c r="O704" t="s">
        <v>15</v>
      </c>
    </row>
    <row r="705" spans="1:15" x14ac:dyDescent="0.25">
      <c r="A705" s="1" t="s">
        <v>1068</v>
      </c>
      <c r="B705" s="1" t="s">
        <v>1067</v>
      </c>
      <c r="C705" s="3">
        <v>44970.138194444444</v>
      </c>
      <c r="D705" s="4">
        <f t="shared" si="41"/>
        <v>44970</v>
      </c>
      <c r="E705" s="6">
        <v>29.911111111107601</v>
      </c>
      <c r="F705" s="6" t="str" cm="1">
        <f t="array" ref="F705">_xlfn.IFS(
     AND(HOUR(session_data[[#This Row],[Time]])&gt;5,HOUR(session_data[[#This Row],[Time]])&lt;12),"Morning",
     AND(HOUR(session_data[[#This Row],[Time]])&gt;=12,HOUR(session_data[[#This Row],[Time]])&lt;17),"Afternoon",
     AND(HOUR(session_data[[#This Row],[Time]])&gt;=17,HOUR(session_data[[#This Row],[Time]])&lt;21),"Evening",
     TRUE,"Night"
)</f>
        <v>Night</v>
      </c>
      <c r="G705" s="1">
        <f t="shared" si="42"/>
        <v>2023</v>
      </c>
      <c r="H705" s="1" t="str">
        <f t="shared" si="43"/>
        <v>Feb</v>
      </c>
      <c r="I705" s="1" t="str">
        <f t="shared" si="40"/>
        <v>Mon</v>
      </c>
      <c r="J705" s="1" t="s">
        <v>66</v>
      </c>
      <c r="K705" s="1" t="s">
        <v>29</v>
      </c>
      <c r="L705" s="1" t="s">
        <v>119</v>
      </c>
      <c r="M705" s="1" t="s">
        <v>40</v>
      </c>
      <c r="N705" s="1" t="s">
        <v>22</v>
      </c>
      <c r="O705" t="s">
        <v>15</v>
      </c>
    </row>
    <row r="706" spans="1:15" x14ac:dyDescent="0.25">
      <c r="A706" s="1" t="s">
        <v>1069</v>
      </c>
      <c r="B706" s="1" t="s">
        <v>1067</v>
      </c>
      <c r="C706" s="3">
        <v>44998.929861111108</v>
      </c>
      <c r="D706" s="4">
        <f t="shared" si="41"/>
        <v>44998</v>
      </c>
      <c r="E706" s="6">
        <v>29.952777777774202</v>
      </c>
      <c r="F706" s="6" t="str" cm="1">
        <f t="array" ref="F706">_xlfn.IFS(
     AND(HOUR(session_data[[#This Row],[Time]])&gt;5,HOUR(session_data[[#This Row],[Time]])&lt;12),"Morning",
     AND(HOUR(session_data[[#This Row],[Time]])&gt;=12,HOUR(session_data[[#This Row],[Time]])&lt;17),"Afternoon",
     AND(HOUR(session_data[[#This Row],[Time]])&gt;=17,HOUR(session_data[[#This Row],[Time]])&lt;21),"Evening",
     TRUE,"Night"
)</f>
        <v>Night</v>
      </c>
      <c r="G706" s="1">
        <f t="shared" si="42"/>
        <v>2023</v>
      </c>
      <c r="H706" s="1" t="str">
        <f t="shared" si="43"/>
        <v>Mar</v>
      </c>
      <c r="I706" s="1" t="str">
        <f t="shared" ref="I706:I769" si="44">TEXT(D706,"DDD")</f>
        <v>Mon</v>
      </c>
      <c r="J706" s="1" t="s">
        <v>66</v>
      </c>
      <c r="K706" s="1" t="s">
        <v>29</v>
      </c>
      <c r="L706" s="1" t="s">
        <v>119</v>
      </c>
      <c r="M706" s="1" t="s">
        <v>40</v>
      </c>
      <c r="N706" s="1" t="s">
        <v>22</v>
      </c>
      <c r="O706" t="s">
        <v>15</v>
      </c>
    </row>
    <row r="707" spans="1:15" x14ac:dyDescent="0.25">
      <c r="A707" s="1" t="s">
        <v>1070</v>
      </c>
      <c r="B707" s="1" t="s">
        <v>1071</v>
      </c>
      <c r="C707" s="3">
        <v>45042.026388888888</v>
      </c>
      <c r="D707" s="4">
        <f t="shared" ref="D707:D770" si="45">INT(C707)</f>
        <v>45042</v>
      </c>
      <c r="E707" s="6">
        <v>29.994444444440902</v>
      </c>
      <c r="F707" s="6" t="str" cm="1">
        <f t="array" ref="F707">_xlfn.IFS(
     AND(HOUR(session_data[[#This Row],[Time]])&gt;5,HOUR(session_data[[#This Row],[Time]])&lt;12),"Morning",
     AND(HOUR(session_data[[#This Row],[Time]])&gt;=12,HOUR(session_data[[#This Row],[Time]])&lt;17),"Afternoon",
     AND(HOUR(session_data[[#This Row],[Time]])&gt;=17,HOUR(session_data[[#This Row],[Time]])&lt;21),"Evening",
     TRUE,"Night"
)</f>
        <v>Night</v>
      </c>
      <c r="G707" s="1">
        <f t="shared" ref="G707:G770" si="46">YEAR(D707)</f>
        <v>2023</v>
      </c>
      <c r="H707" s="1" t="str">
        <f t="shared" ref="H707:H770" si="47">TEXT(D707,"MMM")</f>
        <v>Apr</v>
      </c>
      <c r="I707" s="1" t="str">
        <f t="shared" si="44"/>
        <v>Wed</v>
      </c>
      <c r="J707" s="1" t="s">
        <v>11</v>
      </c>
      <c r="K707" s="1" t="s">
        <v>12</v>
      </c>
      <c r="L707" s="1" t="s">
        <v>41</v>
      </c>
      <c r="M707" s="1" t="s">
        <v>40</v>
      </c>
      <c r="N707" s="1" t="s">
        <v>14</v>
      </c>
      <c r="O707" t="s">
        <v>45</v>
      </c>
    </row>
    <row r="708" spans="1:15" x14ac:dyDescent="0.25">
      <c r="A708" s="1" t="s">
        <v>1072</v>
      </c>
      <c r="B708" s="1" t="s">
        <v>1073</v>
      </c>
      <c r="C708" s="3">
        <v>45045.538194444445</v>
      </c>
      <c r="D708" s="4">
        <f t="shared" si="45"/>
        <v>45045</v>
      </c>
      <c r="E708" s="6">
        <v>30.036111111107601</v>
      </c>
      <c r="F708" s="6" t="str" cm="1">
        <f t="array" ref="F708">_xlfn.IFS(
     AND(HOUR(session_data[[#This Row],[Time]])&gt;5,HOUR(session_data[[#This Row],[Time]])&lt;12),"Morning",
     AND(HOUR(session_data[[#This Row],[Time]])&gt;=12,HOUR(session_data[[#This Row],[Time]])&lt;17),"Afternoon",
     AND(HOUR(session_data[[#This Row],[Time]])&gt;=17,HOUR(session_data[[#This Row],[Time]])&lt;21),"Evening",
     TRUE,"Night"
)</f>
        <v>Night</v>
      </c>
      <c r="G708" s="1">
        <f t="shared" si="46"/>
        <v>2023</v>
      </c>
      <c r="H708" s="1" t="str">
        <f t="shared" si="47"/>
        <v>Apr</v>
      </c>
      <c r="I708" s="1" t="str">
        <f t="shared" si="44"/>
        <v>Sat</v>
      </c>
      <c r="J708" s="1" t="s">
        <v>44</v>
      </c>
      <c r="K708" s="1" t="s">
        <v>29</v>
      </c>
      <c r="L708" s="1" t="s">
        <v>94</v>
      </c>
      <c r="M708" s="1" t="s">
        <v>32</v>
      </c>
      <c r="N708" s="1" t="s">
        <v>14</v>
      </c>
      <c r="O708" t="s">
        <v>45</v>
      </c>
    </row>
    <row r="709" spans="1:15" x14ac:dyDescent="0.25">
      <c r="A709" s="1" t="s">
        <v>1074</v>
      </c>
      <c r="B709" s="1" t="s">
        <v>1075</v>
      </c>
      <c r="C709" s="3">
        <v>44732.805555555555</v>
      </c>
      <c r="D709" s="4">
        <f t="shared" si="45"/>
        <v>44732</v>
      </c>
      <c r="E709" s="6">
        <v>30.077777777774202</v>
      </c>
      <c r="F709" s="6" t="str" cm="1">
        <f t="array" ref="F709">_xlfn.IFS(
     AND(HOUR(session_data[[#This Row],[Time]])&gt;5,HOUR(session_data[[#This Row],[Time]])&lt;12),"Morning",
     AND(HOUR(session_data[[#This Row],[Time]])&gt;=12,HOUR(session_data[[#This Row],[Time]])&lt;17),"Afternoon",
     AND(HOUR(session_data[[#This Row],[Time]])&gt;=17,HOUR(session_data[[#This Row],[Time]])&lt;21),"Evening",
     TRUE,"Night"
)</f>
        <v>Night</v>
      </c>
      <c r="G709" s="1">
        <f t="shared" si="46"/>
        <v>2022</v>
      </c>
      <c r="H709" s="1" t="str">
        <f t="shared" si="47"/>
        <v>Jun</v>
      </c>
      <c r="I709" s="1" t="str">
        <f t="shared" si="44"/>
        <v>Mon</v>
      </c>
      <c r="J709" s="1" t="s">
        <v>66</v>
      </c>
      <c r="K709" s="1" t="s">
        <v>29</v>
      </c>
      <c r="L709" s="1" t="s">
        <v>50</v>
      </c>
      <c r="M709" s="1" t="s">
        <v>19</v>
      </c>
      <c r="N709" s="1" t="s">
        <v>14</v>
      </c>
      <c r="O709" t="s">
        <v>45</v>
      </c>
    </row>
    <row r="710" spans="1:15" x14ac:dyDescent="0.25">
      <c r="A710" s="1" t="s">
        <v>1076</v>
      </c>
      <c r="B710" s="1" t="s">
        <v>1077</v>
      </c>
      <c r="C710" s="2">
        <v>44897.529166666667</v>
      </c>
      <c r="D710" s="4">
        <f t="shared" si="45"/>
        <v>44897</v>
      </c>
      <c r="E710" s="6">
        <v>30.119444444440902</v>
      </c>
      <c r="F710" s="6" t="str" cm="1">
        <f t="array" ref="F710">_xlfn.IFS(
     AND(HOUR(session_data[[#This Row],[Time]])&gt;5,HOUR(session_data[[#This Row],[Time]])&lt;12),"Morning",
     AND(HOUR(session_data[[#This Row],[Time]])&gt;=12,HOUR(session_data[[#This Row],[Time]])&lt;17),"Afternoon",
     AND(HOUR(session_data[[#This Row],[Time]])&gt;=17,HOUR(session_data[[#This Row],[Time]])&lt;21),"Evening",
     TRUE,"Night"
)</f>
        <v>Night</v>
      </c>
      <c r="G710" s="1">
        <f t="shared" si="46"/>
        <v>2022</v>
      </c>
      <c r="H710" s="1" t="str">
        <f t="shared" si="47"/>
        <v>Dec</v>
      </c>
      <c r="I710" s="1" t="str">
        <f t="shared" si="44"/>
        <v>Fri</v>
      </c>
      <c r="J710" s="1" t="s">
        <v>18</v>
      </c>
      <c r="K710" s="1" t="s">
        <v>12</v>
      </c>
      <c r="L710" s="1" t="s">
        <v>20</v>
      </c>
      <c r="M710" s="1" t="s">
        <v>19</v>
      </c>
      <c r="N710" s="1" t="s">
        <v>14</v>
      </c>
      <c r="O710" t="s">
        <v>15</v>
      </c>
    </row>
    <row r="711" spans="1:15" x14ac:dyDescent="0.25">
      <c r="A711" s="1" t="s">
        <v>1078</v>
      </c>
      <c r="B711" s="1" t="s">
        <v>1079</v>
      </c>
      <c r="C711" s="3">
        <v>44711.63958333333</v>
      </c>
      <c r="D711" s="4">
        <f t="shared" si="45"/>
        <v>44711</v>
      </c>
      <c r="E711" s="6">
        <v>30.161111111107601</v>
      </c>
      <c r="F711" s="6" t="str" cm="1">
        <f t="array" ref="F711">_xlfn.IFS(
     AND(HOUR(session_data[[#This Row],[Time]])&gt;5,HOUR(session_data[[#This Row],[Time]])&lt;12),"Morning",
     AND(HOUR(session_data[[#This Row],[Time]])&gt;=12,HOUR(session_data[[#This Row],[Time]])&lt;17),"Afternoon",
     AND(HOUR(session_data[[#This Row],[Time]])&gt;=17,HOUR(session_data[[#This Row],[Time]])&lt;21),"Evening",
     TRUE,"Night"
)</f>
        <v>Night</v>
      </c>
      <c r="G711" s="1">
        <f t="shared" si="46"/>
        <v>2022</v>
      </c>
      <c r="H711" s="1" t="str">
        <f t="shared" si="47"/>
        <v>May</v>
      </c>
      <c r="I711" s="1" t="str">
        <f t="shared" si="44"/>
        <v>Mon</v>
      </c>
      <c r="J711" s="1" t="s">
        <v>18</v>
      </c>
      <c r="K711" s="1" t="s">
        <v>29</v>
      </c>
      <c r="L711" s="1" t="s">
        <v>50</v>
      </c>
      <c r="M711" s="1" t="s">
        <v>19</v>
      </c>
      <c r="N711" s="1" t="s">
        <v>14</v>
      </c>
      <c r="O711" t="s">
        <v>15</v>
      </c>
    </row>
    <row r="712" spans="1:15" x14ac:dyDescent="0.25">
      <c r="A712" s="1" t="s">
        <v>1080</v>
      </c>
      <c r="B712" s="1" t="s">
        <v>1079</v>
      </c>
      <c r="C712" s="3">
        <v>44738.681250000001</v>
      </c>
      <c r="D712" s="4">
        <f t="shared" si="45"/>
        <v>44738</v>
      </c>
      <c r="E712" s="6">
        <v>30.202777777774202</v>
      </c>
      <c r="F712" s="6" t="str" cm="1">
        <f t="array" ref="F712">_xlfn.IFS(
     AND(HOUR(session_data[[#This Row],[Time]])&gt;5,HOUR(session_data[[#This Row],[Time]])&lt;12),"Morning",
     AND(HOUR(session_data[[#This Row],[Time]])&gt;=12,HOUR(session_data[[#This Row],[Time]])&lt;17),"Afternoon",
     AND(HOUR(session_data[[#This Row],[Time]])&gt;=17,HOUR(session_data[[#This Row],[Time]])&lt;21),"Evening",
     TRUE,"Night"
)</f>
        <v>Night</v>
      </c>
      <c r="G712" s="1">
        <f t="shared" si="46"/>
        <v>2022</v>
      </c>
      <c r="H712" s="1" t="str">
        <f t="shared" si="47"/>
        <v>Jun</v>
      </c>
      <c r="I712" s="1" t="str">
        <f t="shared" si="44"/>
        <v>Sun</v>
      </c>
      <c r="J712" s="1" t="s">
        <v>18</v>
      </c>
      <c r="K712" s="1" t="s">
        <v>29</v>
      </c>
      <c r="L712" s="1" t="s">
        <v>50</v>
      </c>
      <c r="M712" s="1" t="s">
        <v>19</v>
      </c>
      <c r="N712" s="1" t="s">
        <v>22</v>
      </c>
      <c r="O712" t="s">
        <v>15</v>
      </c>
    </row>
    <row r="713" spans="1:15" x14ac:dyDescent="0.25">
      <c r="A713" s="1" t="s">
        <v>1081</v>
      </c>
      <c r="B713" s="1" t="s">
        <v>1079</v>
      </c>
      <c r="C713" s="2">
        <v>44627.556250000001</v>
      </c>
      <c r="D713" s="4">
        <f t="shared" si="45"/>
        <v>44627</v>
      </c>
      <c r="E713" s="6">
        <v>30.244444444440902</v>
      </c>
      <c r="F713" s="6" t="str" cm="1">
        <f t="array" ref="F713">_xlfn.IFS(
     AND(HOUR(session_data[[#This Row],[Time]])&gt;5,HOUR(session_data[[#This Row],[Time]])&lt;12),"Morning",
     AND(HOUR(session_data[[#This Row],[Time]])&gt;=12,HOUR(session_data[[#This Row],[Time]])&lt;17),"Afternoon",
     AND(HOUR(session_data[[#This Row],[Time]])&gt;=17,HOUR(session_data[[#This Row],[Time]])&lt;21),"Evening",
     TRUE,"Night"
)</f>
        <v>Night</v>
      </c>
      <c r="G713" s="1">
        <f t="shared" si="46"/>
        <v>2022</v>
      </c>
      <c r="H713" s="1" t="str">
        <f t="shared" si="47"/>
        <v>Mar</v>
      </c>
      <c r="I713" s="1" t="str">
        <f t="shared" si="44"/>
        <v>Mon</v>
      </c>
      <c r="J713" s="1" t="s">
        <v>18</v>
      </c>
      <c r="K713" s="1" t="s">
        <v>29</v>
      </c>
      <c r="L713" s="1" t="s">
        <v>50</v>
      </c>
      <c r="M713" s="1" t="s">
        <v>19</v>
      </c>
      <c r="N713" s="1" t="s">
        <v>22</v>
      </c>
      <c r="O713" t="s">
        <v>15</v>
      </c>
    </row>
    <row r="714" spans="1:15" x14ac:dyDescent="0.25">
      <c r="A714" s="1" t="s">
        <v>1082</v>
      </c>
      <c r="B714" s="1" t="s">
        <v>1079</v>
      </c>
      <c r="C714" s="3">
        <v>44772.306250000001</v>
      </c>
      <c r="D714" s="4">
        <f t="shared" si="45"/>
        <v>44772</v>
      </c>
      <c r="E714" s="6">
        <v>30.286111111107601</v>
      </c>
      <c r="F714" s="6" t="str" cm="1">
        <f t="array" ref="F714">_xlfn.IFS(
     AND(HOUR(session_data[[#This Row],[Time]])&gt;5,HOUR(session_data[[#This Row],[Time]])&lt;12),"Morning",
     AND(HOUR(session_data[[#This Row],[Time]])&gt;=12,HOUR(session_data[[#This Row],[Time]])&lt;17),"Afternoon",
     AND(HOUR(session_data[[#This Row],[Time]])&gt;=17,HOUR(session_data[[#This Row],[Time]])&lt;21),"Evening",
     TRUE,"Night"
)</f>
        <v>Morning</v>
      </c>
      <c r="G714" s="1">
        <f t="shared" si="46"/>
        <v>2022</v>
      </c>
      <c r="H714" s="1" t="str">
        <f t="shared" si="47"/>
        <v>Jul</v>
      </c>
      <c r="I714" s="1" t="str">
        <f t="shared" si="44"/>
        <v>Sat</v>
      </c>
      <c r="J714" s="1" t="s">
        <v>18</v>
      </c>
      <c r="K714" s="1" t="s">
        <v>29</v>
      </c>
      <c r="L714" s="1" t="s">
        <v>50</v>
      </c>
      <c r="M714" s="1" t="s">
        <v>19</v>
      </c>
      <c r="N714" s="1" t="s">
        <v>22</v>
      </c>
      <c r="O714" t="s">
        <v>15</v>
      </c>
    </row>
    <row r="715" spans="1:15" x14ac:dyDescent="0.25">
      <c r="A715" s="1" t="s">
        <v>1083</v>
      </c>
      <c r="B715" s="1" t="s">
        <v>1084</v>
      </c>
      <c r="C715" s="2">
        <v>44811.632638888892</v>
      </c>
      <c r="D715" s="4">
        <f t="shared" si="45"/>
        <v>44811</v>
      </c>
      <c r="E715" s="6">
        <v>30.327777777774202</v>
      </c>
      <c r="F715" s="6" t="str" cm="1">
        <f t="array" ref="F715">_xlfn.IFS(
     AND(HOUR(session_data[[#This Row],[Time]])&gt;5,HOUR(session_data[[#This Row],[Time]])&lt;12),"Morning",
     AND(HOUR(session_data[[#This Row],[Time]])&gt;=12,HOUR(session_data[[#This Row],[Time]])&lt;17),"Afternoon",
     AND(HOUR(session_data[[#This Row],[Time]])&gt;=17,HOUR(session_data[[#This Row],[Time]])&lt;21),"Evening",
     TRUE,"Night"
)</f>
        <v>Morning</v>
      </c>
      <c r="G715" s="1">
        <f t="shared" si="46"/>
        <v>2022</v>
      </c>
      <c r="H715" s="1" t="str">
        <f t="shared" si="47"/>
        <v>Sep</v>
      </c>
      <c r="I715" s="1" t="str">
        <f t="shared" si="44"/>
        <v>Wed</v>
      </c>
      <c r="J715" s="1" t="s">
        <v>18</v>
      </c>
      <c r="K715" s="1" t="s">
        <v>29</v>
      </c>
      <c r="L715" s="1" t="s">
        <v>94</v>
      </c>
      <c r="M715" s="1" t="s">
        <v>32</v>
      </c>
      <c r="N715" s="1" t="s">
        <v>14</v>
      </c>
      <c r="O715" t="s">
        <v>15</v>
      </c>
    </row>
    <row r="716" spans="1:15" x14ac:dyDescent="0.25">
      <c r="A716" s="1" t="s">
        <v>1085</v>
      </c>
      <c r="B716" s="1" t="s">
        <v>1084</v>
      </c>
      <c r="C716" s="2">
        <v>44600.257638888892</v>
      </c>
      <c r="D716" s="4">
        <f t="shared" si="45"/>
        <v>44600</v>
      </c>
      <c r="E716" s="6">
        <v>30.369444444440902</v>
      </c>
      <c r="F716" s="6" t="str" cm="1">
        <f t="array" ref="F716">_xlfn.IFS(
     AND(HOUR(session_data[[#This Row],[Time]])&gt;5,HOUR(session_data[[#This Row],[Time]])&lt;12),"Morning",
     AND(HOUR(session_data[[#This Row],[Time]])&gt;=12,HOUR(session_data[[#This Row],[Time]])&lt;17),"Afternoon",
     AND(HOUR(session_data[[#This Row],[Time]])&gt;=17,HOUR(session_data[[#This Row],[Time]])&lt;21),"Evening",
     TRUE,"Night"
)</f>
        <v>Morning</v>
      </c>
      <c r="G716" s="1">
        <f t="shared" si="46"/>
        <v>2022</v>
      </c>
      <c r="H716" s="1" t="str">
        <f t="shared" si="47"/>
        <v>Feb</v>
      </c>
      <c r="I716" s="1" t="str">
        <f t="shared" si="44"/>
        <v>Tue</v>
      </c>
      <c r="J716" s="1" t="s">
        <v>18</v>
      </c>
      <c r="K716" s="1" t="s">
        <v>29</v>
      </c>
      <c r="L716" s="1" t="s">
        <v>94</v>
      </c>
      <c r="M716" s="1" t="s">
        <v>32</v>
      </c>
      <c r="N716" s="1" t="s">
        <v>22</v>
      </c>
      <c r="O716" t="s">
        <v>15</v>
      </c>
    </row>
    <row r="717" spans="1:15" x14ac:dyDescent="0.25">
      <c r="A717" s="1" t="s">
        <v>1086</v>
      </c>
      <c r="B717" s="1" t="s">
        <v>1084</v>
      </c>
      <c r="C717" s="3">
        <v>44793.799305555556</v>
      </c>
      <c r="D717" s="4">
        <f t="shared" si="45"/>
        <v>44793</v>
      </c>
      <c r="E717" s="6">
        <v>30.411111111107601</v>
      </c>
      <c r="F717" s="6" t="str" cm="1">
        <f t="array" ref="F717">_xlfn.IFS(
     AND(HOUR(session_data[[#This Row],[Time]])&gt;5,HOUR(session_data[[#This Row],[Time]])&lt;12),"Morning",
     AND(HOUR(session_data[[#This Row],[Time]])&gt;=12,HOUR(session_data[[#This Row],[Time]])&lt;17),"Afternoon",
     AND(HOUR(session_data[[#This Row],[Time]])&gt;=17,HOUR(session_data[[#This Row],[Time]])&lt;21),"Evening",
     TRUE,"Night"
)</f>
        <v>Morning</v>
      </c>
      <c r="G717" s="1">
        <f t="shared" si="46"/>
        <v>2022</v>
      </c>
      <c r="H717" s="1" t="str">
        <f t="shared" si="47"/>
        <v>Aug</v>
      </c>
      <c r="I717" s="1" t="str">
        <f t="shared" si="44"/>
        <v>Sat</v>
      </c>
      <c r="J717" s="1" t="s">
        <v>18</v>
      </c>
      <c r="K717" s="1" t="s">
        <v>29</v>
      </c>
      <c r="L717" s="1" t="s">
        <v>94</v>
      </c>
      <c r="M717" s="1" t="s">
        <v>32</v>
      </c>
      <c r="N717" s="1" t="s">
        <v>22</v>
      </c>
      <c r="O717" t="s">
        <v>15</v>
      </c>
    </row>
    <row r="718" spans="1:15" x14ac:dyDescent="0.25">
      <c r="A718" s="1" t="s">
        <v>1087</v>
      </c>
      <c r="B718" s="1" t="s">
        <v>1088</v>
      </c>
      <c r="C718" s="3">
        <v>45443.628472222219</v>
      </c>
      <c r="D718" s="4">
        <f t="shared" si="45"/>
        <v>45443</v>
      </c>
      <c r="E718" s="6">
        <v>30.452777777774202</v>
      </c>
      <c r="F718" s="6" t="str" cm="1">
        <f t="array" ref="F718">_xlfn.IFS(
     AND(HOUR(session_data[[#This Row],[Time]])&gt;5,HOUR(session_data[[#This Row],[Time]])&lt;12),"Morning",
     AND(HOUR(session_data[[#This Row],[Time]])&gt;=12,HOUR(session_data[[#This Row],[Time]])&lt;17),"Afternoon",
     AND(HOUR(session_data[[#This Row],[Time]])&gt;=17,HOUR(session_data[[#This Row],[Time]])&lt;21),"Evening",
     TRUE,"Night"
)</f>
        <v>Morning</v>
      </c>
      <c r="G718" s="1">
        <f t="shared" si="46"/>
        <v>2024</v>
      </c>
      <c r="H718" s="1" t="str">
        <f t="shared" si="47"/>
        <v>May</v>
      </c>
      <c r="I718" s="1" t="str">
        <f t="shared" si="44"/>
        <v>Fri</v>
      </c>
      <c r="J718" s="1" t="s">
        <v>18</v>
      </c>
      <c r="K718" s="1" t="s">
        <v>12</v>
      </c>
      <c r="L718" s="1" t="s">
        <v>59</v>
      </c>
      <c r="M718" s="1" t="s">
        <v>19</v>
      </c>
      <c r="N718" s="1" t="s">
        <v>14</v>
      </c>
      <c r="O718" t="s">
        <v>45</v>
      </c>
    </row>
    <row r="719" spans="1:15" x14ac:dyDescent="0.25">
      <c r="A719" s="1" t="s">
        <v>1089</v>
      </c>
      <c r="B719" s="1" t="s">
        <v>1088</v>
      </c>
      <c r="C719" s="2">
        <v>45389.711805555555</v>
      </c>
      <c r="D719" s="4">
        <f t="shared" si="45"/>
        <v>45389</v>
      </c>
      <c r="E719" s="6">
        <v>30.494444444440902</v>
      </c>
      <c r="F719" s="6" t="str" cm="1">
        <f t="array" ref="F719">_xlfn.IFS(
     AND(HOUR(session_data[[#This Row],[Time]])&gt;5,HOUR(session_data[[#This Row],[Time]])&lt;12),"Morning",
     AND(HOUR(session_data[[#This Row],[Time]])&gt;=12,HOUR(session_data[[#This Row],[Time]])&lt;17),"Afternoon",
     AND(HOUR(session_data[[#This Row],[Time]])&gt;=17,HOUR(session_data[[#This Row],[Time]])&lt;21),"Evening",
     TRUE,"Night"
)</f>
        <v>Morning</v>
      </c>
      <c r="G719" s="1">
        <f t="shared" si="46"/>
        <v>2024</v>
      </c>
      <c r="H719" s="1" t="str">
        <f t="shared" si="47"/>
        <v>Apr</v>
      </c>
      <c r="I719" s="1" t="str">
        <f t="shared" si="44"/>
        <v>Sun</v>
      </c>
      <c r="J719" s="1" t="s">
        <v>18</v>
      </c>
      <c r="K719" s="1" t="s">
        <v>12</v>
      </c>
      <c r="L719" s="1" t="s">
        <v>59</v>
      </c>
      <c r="M719" s="1" t="s">
        <v>19</v>
      </c>
      <c r="N719" s="1" t="s">
        <v>22</v>
      </c>
      <c r="O719" t="s">
        <v>45</v>
      </c>
    </row>
    <row r="720" spans="1:15" x14ac:dyDescent="0.25">
      <c r="A720" s="1" t="s">
        <v>1090</v>
      </c>
      <c r="B720" s="1" t="s">
        <v>1091</v>
      </c>
      <c r="C720" s="3">
        <v>44732.179861111108</v>
      </c>
      <c r="D720" s="4">
        <f t="shared" si="45"/>
        <v>44732</v>
      </c>
      <c r="E720" s="6">
        <v>30.536111111107601</v>
      </c>
      <c r="F720" s="6" t="str" cm="1">
        <f t="array" ref="F720">_xlfn.IFS(
     AND(HOUR(session_data[[#This Row],[Time]])&gt;5,HOUR(session_data[[#This Row],[Time]])&lt;12),"Morning",
     AND(HOUR(session_data[[#This Row],[Time]])&gt;=12,HOUR(session_data[[#This Row],[Time]])&lt;17),"Afternoon",
     AND(HOUR(session_data[[#This Row],[Time]])&gt;=17,HOUR(session_data[[#This Row],[Time]])&lt;21),"Evening",
     TRUE,"Night"
)</f>
        <v>Afternoon</v>
      </c>
      <c r="G720" s="1">
        <f t="shared" si="46"/>
        <v>2022</v>
      </c>
      <c r="H720" s="1" t="str">
        <f t="shared" si="47"/>
        <v>Jun</v>
      </c>
      <c r="I720" s="1" t="str">
        <f t="shared" si="44"/>
        <v>Mon</v>
      </c>
      <c r="J720" s="1" t="s">
        <v>11</v>
      </c>
      <c r="K720" s="1" t="s">
        <v>29</v>
      </c>
      <c r="L720" s="1" t="s">
        <v>41</v>
      </c>
      <c r="M720" s="1" t="s">
        <v>40</v>
      </c>
      <c r="N720" s="1" t="s">
        <v>14</v>
      </c>
      <c r="O720" t="s">
        <v>15</v>
      </c>
    </row>
    <row r="721" spans="1:15" x14ac:dyDescent="0.25">
      <c r="A721" s="1" t="s">
        <v>1092</v>
      </c>
      <c r="B721" s="1" t="s">
        <v>1093</v>
      </c>
      <c r="C721" s="3">
        <v>44979.051388888889</v>
      </c>
      <c r="D721" s="4">
        <f t="shared" si="45"/>
        <v>44979</v>
      </c>
      <c r="E721" s="6">
        <v>30.577777777774202</v>
      </c>
      <c r="F721" s="6" t="str" cm="1">
        <f t="array" ref="F721">_xlfn.IFS(
     AND(HOUR(session_data[[#This Row],[Time]])&gt;5,HOUR(session_data[[#This Row],[Time]])&lt;12),"Morning",
     AND(HOUR(session_data[[#This Row],[Time]])&gt;=12,HOUR(session_data[[#This Row],[Time]])&lt;17),"Afternoon",
     AND(HOUR(session_data[[#This Row],[Time]])&gt;=17,HOUR(session_data[[#This Row],[Time]])&lt;21),"Evening",
     TRUE,"Night"
)</f>
        <v>Afternoon</v>
      </c>
      <c r="G721" s="1">
        <f t="shared" si="46"/>
        <v>2023</v>
      </c>
      <c r="H721" s="1" t="str">
        <f t="shared" si="47"/>
        <v>Feb</v>
      </c>
      <c r="I721" s="1" t="str">
        <f t="shared" si="44"/>
        <v>Wed</v>
      </c>
      <c r="J721" s="1" t="s">
        <v>18</v>
      </c>
      <c r="K721" s="1" t="s">
        <v>12</v>
      </c>
      <c r="L721" s="1" t="s">
        <v>20</v>
      </c>
      <c r="M721" s="1" t="s">
        <v>19</v>
      </c>
      <c r="N721" s="1" t="s">
        <v>14</v>
      </c>
      <c r="O721" t="s">
        <v>45</v>
      </c>
    </row>
    <row r="722" spans="1:15" x14ac:dyDescent="0.25">
      <c r="A722" s="1" t="s">
        <v>1094</v>
      </c>
      <c r="B722" s="1" t="s">
        <v>1093</v>
      </c>
      <c r="C722" s="2">
        <v>45202.301388888889</v>
      </c>
      <c r="D722" s="4">
        <f t="shared" si="45"/>
        <v>45202</v>
      </c>
      <c r="E722" s="6">
        <v>30.619444444440902</v>
      </c>
      <c r="F722" s="6" t="str" cm="1">
        <f t="array" ref="F722">_xlfn.IFS(
     AND(HOUR(session_data[[#This Row],[Time]])&gt;5,HOUR(session_data[[#This Row],[Time]])&lt;12),"Morning",
     AND(HOUR(session_data[[#This Row],[Time]])&gt;=12,HOUR(session_data[[#This Row],[Time]])&lt;17),"Afternoon",
     AND(HOUR(session_data[[#This Row],[Time]])&gt;=17,HOUR(session_data[[#This Row],[Time]])&lt;21),"Evening",
     TRUE,"Night"
)</f>
        <v>Afternoon</v>
      </c>
      <c r="G722" s="1">
        <f t="shared" si="46"/>
        <v>2023</v>
      </c>
      <c r="H722" s="1" t="str">
        <f t="shared" si="47"/>
        <v>Oct</v>
      </c>
      <c r="I722" s="1" t="str">
        <f t="shared" si="44"/>
        <v>Tue</v>
      </c>
      <c r="J722" s="1" t="s">
        <v>18</v>
      </c>
      <c r="K722" s="1" t="s">
        <v>12</v>
      </c>
      <c r="L722" s="1" t="s">
        <v>20</v>
      </c>
      <c r="M722" s="1" t="s">
        <v>19</v>
      </c>
      <c r="N722" s="1" t="s">
        <v>22</v>
      </c>
      <c r="O722" t="s">
        <v>45</v>
      </c>
    </row>
    <row r="723" spans="1:15" x14ac:dyDescent="0.25">
      <c r="A723" s="1" t="s">
        <v>1095</v>
      </c>
      <c r="B723" s="1" t="s">
        <v>1096</v>
      </c>
      <c r="C723" s="2">
        <v>44806.399305555555</v>
      </c>
      <c r="D723" s="4">
        <f t="shared" si="45"/>
        <v>44806</v>
      </c>
      <c r="E723" s="6">
        <v>30.661111111107601</v>
      </c>
      <c r="F723" s="6" t="str" cm="1">
        <f t="array" ref="F723">_xlfn.IFS(
     AND(HOUR(session_data[[#This Row],[Time]])&gt;5,HOUR(session_data[[#This Row],[Time]])&lt;12),"Morning",
     AND(HOUR(session_data[[#This Row],[Time]])&gt;=12,HOUR(session_data[[#This Row],[Time]])&lt;17),"Afternoon",
     AND(HOUR(session_data[[#This Row],[Time]])&gt;=17,HOUR(session_data[[#This Row],[Time]])&lt;21),"Evening",
     TRUE,"Night"
)</f>
        <v>Afternoon</v>
      </c>
      <c r="G723" s="1">
        <f t="shared" si="46"/>
        <v>2022</v>
      </c>
      <c r="H723" s="1" t="str">
        <f t="shared" si="47"/>
        <v>Sep</v>
      </c>
      <c r="I723" s="1" t="str">
        <f t="shared" si="44"/>
        <v>Fri</v>
      </c>
      <c r="J723" s="1" t="s">
        <v>18</v>
      </c>
      <c r="K723" s="1" t="s">
        <v>12</v>
      </c>
      <c r="L723" s="1" t="s">
        <v>94</v>
      </c>
      <c r="M723" s="1" t="s">
        <v>32</v>
      </c>
      <c r="N723" s="1" t="s">
        <v>14</v>
      </c>
      <c r="O723" t="s">
        <v>45</v>
      </c>
    </row>
    <row r="724" spans="1:15" x14ac:dyDescent="0.25">
      <c r="A724" s="1" t="s">
        <v>1097</v>
      </c>
      <c r="B724" s="1" t="s">
        <v>1096</v>
      </c>
      <c r="C724" s="3">
        <v>44613.857638888891</v>
      </c>
      <c r="D724" s="4">
        <f t="shared" si="45"/>
        <v>44613</v>
      </c>
      <c r="E724" s="6">
        <v>30.702777777774202</v>
      </c>
      <c r="F724" s="6" t="str" cm="1">
        <f t="array" ref="F724">_xlfn.IFS(
     AND(HOUR(session_data[[#This Row],[Time]])&gt;5,HOUR(session_data[[#This Row],[Time]])&lt;12),"Morning",
     AND(HOUR(session_data[[#This Row],[Time]])&gt;=12,HOUR(session_data[[#This Row],[Time]])&lt;17),"Afternoon",
     AND(HOUR(session_data[[#This Row],[Time]])&gt;=17,HOUR(session_data[[#This Row],[Time]])&lt;21),"Evening",
     TRUE,"Night"
)</f>
        <v>Afternoon</v>
      </c>
      <c r="G724" s="1">
        <f t="shared" si="46"/>
        <v>2022</v>
      </c>
      <c r="H724" s="1" t="str">
        <f t="shared" si="47"/>
        <v>Feb</v>
      </c>
      <c r="I724" s="1" t="str">
        <f t="shared" si="44"/>
        <v>Mon</v>
      </c>
      <c r="J724" s="1" t="s">
        <v>18</v>
      </c>
      <c r="K724" s="1" t="s">
        <v>12</v>
      </c>
      <c r="L724" s="1" t="s">
        <v>94</v>
      </c>
      <c r="M724" s="1" t="s">
        <v>32</v>
      </c>
      <c r="N724" s="1" t="s">
        <v>22</v>
      </c>
      <c r="O724" t="s">
        <v>45</v>
      </c>
    </row>
    <row r="725" spans="1:15" x14ac:dyDescent="0.25">
      <c r="A725" s="1" t="s">
        <v>1098</v>
      </c>
      <c r="B725" s="1" t="s">
        <v>1099</v>
      </c>
      <c r="C725" s="3">
        <v>44619.665972222225</v>
      </c>
      <c r="D725" s="4">
        <f t="shared" si="45"/>
        <v>44619</v>
      </c>
      <c r="E725" s="6">
        <v>30.744444444440902</v>
      </c>
      <c r="F725" s="6" t="str" cm="1">
        <f t="array" ref="F725">_xlfn.IFS(
     AND(HOUR(session_data[[#This Row],[Time]])&gt;5,HOUR(session_data[[#This Row],[Time]])&lt;12),"Morning",
     AND(HOUR(session_data[[#This Row],[Time]])&gt;=12,HOUR(session_data[[#This Row],[Time]])&lt;17),"Afternoon",
     AND(HOUR(session_data[[#This Row],[Time]])&gt;=17,HOUR(session_data[[#This Row],[Time]])&lt;21),"Evening",
     TRUE,"Night"
)</f>
        <v>Evening</v>
      </c>
      <c r="G725" s="1">
        <f t="shared" si="46"/>
        <v>2022</v>
      </c>
      <c r="H725" s="1" t="str">
        <f t="shared" si="47"/>
        <v>Feb</v>
      </c>
      <c r="I725" s="1" t="str">
        <f t="shared" si="44"/>
        <v>Sun</v>
      </c>
      <c r="J725" s="1" t="s">
        <v>28</v>
      </c>
      <c r="K725" s="1" t="s">
        <v>29</v>
      </c>
      <c r="L725" s="1" t="s">
        <v>20</v>
      </c>
      <c r="M725" s="1" t="s">
        <v>19</v>
      </c>
      <c r="N725" s="1" t="s">
        <v>14</v>
      </c>
      <c r="O725" t="s">
        <v>45</v>
      </c>
    </row>
    <row r="726" spans="1:15" x14ac:dyDescent="0.25">
      <c r="A726" s="1" t="s">
        <v>1100</v>
      </c>
      <c r="B726" s="1" t="s">
        <v>1101</v>
      </c>
      <c r="C726" s="2">
        <v>44625.167361111111</v>
      </c>
      <c r="D726" s="4">
        <f t="shared" si="45"/>
        <v>44625</v>
      </c>
      <c r="E726" s="6">
        <v>30.786111111107601</v>
      </c>
      <c r="F726" s="6" t="str" cm="1">
        <f t="array" ref="F726">_xlfn.IFS(
     AND(HOUR(session_data[[#This Row],[Time]])&gt;5,HOUR(session_data[[#This Row],[Time]])&lt;12),"Morning",
     AND(HOUR(session_data[[#This Row],[Time]])&gt;=12,HOUR(session_data[[#This Row],[Time]])&lt;17),"Afternoon",
     AND(HOUR(session_data[[#This Row],[Time]])&gt;=17,HOUR(session_data[[#This Row],[Time]])&lt;21),"Evening",
     TRUE,"Night"
)</f>
        <v>Evening</v>
      </c>
      <c r="G726" s="1">
        <f t="shared" si="46"/>
        <v>2022</v>
      </c>
      <c r="H726" s="1" t="str">
        <f t="shared" si="47"/>
        <v>Mar</v>
      </c>
      <c r="I726" s="1" t="str">
        <f t="shared" si="44"/>
        <v>Sat</v>
      </c>
      <c r="J726" s="1" t="s">
        <v>11</v>
      </c>
      <c r="K726" s="1" t="s">
        <v>36</v>
      </c>
      <c r="L726" s="1" t="s">
        <v>41</v>
      </c>
      <c r="M726" s="1" t="s">
        <v>40</v>
      </c>
      <c r="N726" s="1" t="s">
        <v>14</v>
      </c>
      <c r="O726" t="s">
        <v>15</v>
      </c>
    </row>
    <row r="727" spans="1:15" x14ac:dyDescent="0.25">
      <c r="A727" s="1" t="s">
        <v>1102</v>
      </c>
      <c r="B727" s="1" t="s">
        <v>1101</v>
      </c>
      <c r="C727" s="3">
        <v>44702.917361111111</v>
      </c>
      <c r="D727" s="4">
        <f t="shared" si="45"/>
        <v>44702</v>
      </c>
      <c r="E727" s="6">
        <v>30.827777777774202</v>
      </c>
      <c r="F727" s="6" t="str" cm="1">
        <f t="array" ref="F727">_xlfn.IFS(
     AND(HOUR(session_data[[#This Row],[Time]])&gt;5,HOUR(session_data[[#This Row],[Time]])&lt;12),"Morning",
     AND(HOUR(session_data[[#This Row],[Time]])&gt;=12,HOUR(session_data[[#This Row],[Time]])&lt;17),"Afternoon",
     AND(HOUR(session_data[[#This Row],[Time]])&gt;=17,HOUR(session_data[[#This Row],[Time]])&lt;21),"Evening",
     TRUE,"Night"
)</f>
        <v>Evening</v>
      </c>
      <c r="G727" s="1">
        <f t="shared" si="46"/>
        <v>2022</v>
      </c>
      <c r="H727" s="1" t="str">
        <f t="shared" si="47"/>
        <v>May</v>
      </c>
      <c r="I727" s="1" t="str">
        <f t="shared" si="44"/>
        <v>Sat</v>
      </c>
      <c r="J727" s="1" t="s">
        <v>11</v>
      </c>
      <c r="K727" s="1" t="s">
        <v>36</v>
      </c>
      <c r="L727" s="1" t="s">
        <v>41</v>
      </c>
      <c r="M727" s="1" t="s">
        <v>40</v>
      </c>
      <c r="N727" s="1" t="s">
        <v>22</v>
      </c>
      <c r="O727" t="s">
        <v>15</v>
      </c>
    </row>
    <row r="728" spans="1:15" x14ac:dyDescent="0.25">
      <c r="A728" s="1" t="s">
        <v>1103</v>
      </c>
      <c r="B728" s="1" t="s">
        <v>1104</v>
      </c>
      <c r="C728" s="2">
        <v>44902.271527777775</v>
      </c>
      <c r="D728" s="4">
        <f t="shared" si="45"/>
        <v>44902</v>
      </c>
      <c r="E728" s="6">
        <v>30.869444444440902</v>
      </c>
      <c r="F728" s="6" t="str" cm="1">
        <f t="array" ref="F728">_xlfn.IFS(
     AND(HOUR(session_data[[#This Row],[Time]])&gt;5,HOUR(session_data[[#This Row],[Time]])&lt;12),"Morning",
     AND(HOUR(session_data[[#This Row],[Time]])&gt;=12,HOUR(session_data[[#This Row],[Time]])&lt;17),"Afternoon",
     AND(HOUR(session_data[[#This Row],[Time]])&gt;=17,HOUR(session_data[[#This Row],[Time]])&lt;21),"Evening",
     TRUE,"Night"
)</f>
        <v>Evening</v>
      </c>
      <c r="G728" s="1">
        <f t="shared" si="46"/>
        <v>2022</v>
      </c>
      <c r="H728" s="1" t="str">
        <f t="shared" si="47"/>
        <v>Dec</v>
      </c>
      <c r="I728" s="1" t="str">
        <f t="shared" si="44"/>
        <v>Wed</v>
      </c>
      <c r="J728" s="1" t="s">
        <v>28</v>
      </c>
      <c r="K728" s="1" t="s">
        <v>12</v>
      </c>
      <c r="L728" s="1" t="s">
        <v>59</v>
      </c>
      <c r="M728" s="1" t="s">
        <v>19</v>
      </c>
      <c r="N728" s="1" t="s">
        <v>14</v>
      </c>
      <c r="O728" t="s">
        <v>45</v>
      </c>
    </row>
    <row r="729" spans="1:15" x14ac:dyDescent="0.25">
      <c r="A729" s="1" t="s">
        <v>1105</v>
      </c>
      <c r="B729" s="1" t="s">
        <v>1106</v>
      </c>
      <c r="C729" s="2">
        <v>44900.568749999999</v>
      </c>
      <c r="D729" s="4">
        <f t="shared" si="45"/>
        <v>44900</v>
      </c>
      <c r="E729" s="6">
        <v>30.911111111107601</v>
      </c>
      <c r="F729" s="6" t="str" cm="1">
        <f t="array" ref="F729">_xlfn.IFS(
     AND(HOUR(session_data[[#This Row],[Time]])&gt;5,HOUR(session_data[[#This Row],[Time]])&lt;12),"Morning",
     AND(HOUR(session_data[[#This Row],[Time]])&gt;=12,HOUR(session_data[[#This Row],[Time]])&lt;17),"Afternoon",
     AND(HOUR(session_data[[#This Row],[Time]])&gt;=17,HOUR(session_data[[#This Row],[Time]])&lt;21),"Evening",
     TRUE,"Night"
)</f>
        <v>Night</v>
      </c>
      <c r="G729" s="1">
        <f t="shared" si="46"/>
        <v>2022</v>
      </c>
      <c r="H729" s="1" t="str">
        <f t="shared" si="47"/>
        <v>Dec</v>
      </c>
      <c r="I729" s="1" t="str">
        <f t="shared" si="44"/>
        <v>Mon</v>
      </c>
      <c r="J729" s="1" t="s">
        <v>44</v>
      </c>
      <c r="K729" s="1" t="s">
        <v>29</v>
      </c>
      <c r="L729" s="1" t="s">
        <v>30</v>
      </c>
      <c r="M729" s="1" t="s">
        <v>32</v>
      </c>
      <c r="N729" s="1" t="s">
        <v>14</v>
      </c>
      <c r="O729" t="s">
        <v>45</v>
      </c>
    </row>
    <row r="730" spans="1:15" x14ac:dyDescent="0.25">
      <c r="A730" s="1" t="s">
        <v>1107</v>
      </c>
      <c r="B730" s="1" t="s">
        <v>1106</v>
      </c>
      <c r="C730" s="2">
        <v>44779.568749999999</v>
      </c>
      <c r="D730" s="4">
        <f t="shared" si="45"/>
        <v>44779</v>
      </c>
      <c r="E730" s="6">
        <v>30.952777777774202</v>
      </c>
      <c r="F730" s="6" t="str" cm="1">
        <f t="array" ref="F730">_xlfn.IFS(
     AND(HOUR(session_data[[#This Row],[Time]])&gt;5,HOUR(session_data[[#This Row],[Time]])&lt;12),"Morning",
     AND(HOUR(session_data[[#This Row],[Time]])&gt;=12,HOUR(session_data[[#This Row],[Time]])&lt;17),"Afternoon",
     AND(HOUR(session_data[[#This Row],[Time]])&gt;=17,HOUR(session_data[[#This Row],[Time]])&lt;21),"Evening",
     TRUE,"Night"
)</f>
        <v>Night</v>
      </c>
      <c r="G730" s="1">
        <f t="shared" si="46"/>
        <v>2022</v>
      </c>
      <c r="H730" s="1" t="str">
        <f t="shared" si="47"/>
        <v>Aug</v>
      </c>
      <c r="I730" s="1" t="str">
        <f t="shared" si="44"/>
        <v>Sat</v>
      </c>
      <c r="J730" s="1" t="s">
        <v>44</v>
      </c>
      <c r="K730" s="1" t="s">
        <v>29</v>
      </c>
      <c r="L730" s="1" t="s">
        <v>30</v>
      </c>
      <c r="M730" s="1" t="s">
        <v>32</v>
      </c>
      <c r="N730" s="1" t="s">
        <v>22</v>
      </c>
      <c r="O730" t="s">
        <v>45</v>
      </c>
    </row>
    <row r="731" spans="1:15" x14ac:dyDescent="0.25">
      <c r="A731" s="1" t="s">
        <v>1108</v>
      </c>
      <c r="B731" s="1" t="s">
        <v>1109</v>
      </c>
      <c r="C731" s="2">
        <v>44623.201388888891</v>
      </c>
      <c r="D731" s="4">
        <f t="shared" si="45"/>
        <v>44623</v>
      </c>
      <c r="E731" s="6">
        <v>30.994444444440902</v>
      </c>
      <c r="F731" s="6" t="str" cm="1">
        <f t="array" ref="F731">_xlfn.IFS(
     AND(HOUR(session_data[[#This Row],[Time]])&gt;5,HOUR(session_data[[#This Row],[Time]])&lt;12),"Morning",
     AND(HOUR(session_data[[#This Row],[Time]])&gt;=12,HOUR(session_data[[#This Row],[Time]])&lt;17),"Afternoon",
     AND(HOUR(session_data[[#This Row],[Time]])&gt;=17,HOUR(session_data[[#This Row],[Time]])&lt;21),"Evening",
     TRUE,"Night"
)</f>
        <v>Night</v>
      </c>
      <c r="G731" s="1">
        <f t="shared" si="46"/>
        <v>2022</v>
      </c>
      <c r="H731" s="1" t="str">
        <f t="shared" si="47"/>
        <v>Mar</v>
      </c>
      <c r="I731" s="1" t="str">
        <f t="shared" si="44"/>
        <v>Thu</v>
      </c>
      <c r="J731" s="1" t="s">
        <v>11</v>
      </c>
      <c r="K731" s="1" t="s">
        <v>12</v>
      </c>
      <c r="L731" s="1" t="s">
        <v>41</v>
      </c>
      <c r="M731" s="1" t="s">
        <v>40</v>
      </c>
      <c r="N731" s="1" t="s">
        <v>14</v>
      </c>
      <c r="O731" t="s">
        <v>15</v>
      </c>
    </row>
    <row r="732" spans="1:15" x14ac:dyDescent="0.25">
      <c r="A732" s="1" t="s">
        <v>1110</v>
      </c>
      <c r="B732" s="1" t="s">
        <v>1109</v>
      </c>
      <c r="C732" s="3">
        <v>44644.826388888891</v>
      </c>
      <c r="D732" s="4">
        <f t="shared" si="45"/>
        <v>44644</v>
      </c>
      <c r="E732" s="6">
        <v>31.036111111107601</v>
      </c>
      <c r="F732" s="6" t="str" cm="1">
        <f t="array" ref="F732">_xlfn.IFS(
     AND(HOUR(session_data[[#This Row],[Time]])&gt;5,HOUR(session_data[[#This Row],[Time]])&lt;12),"Morning",
     AND(HOUR(session_data[[#This Row],[Time]])&gt;=12,HOUR(session_data[[#This Row],[Time]])&lt;17),"Afternoon",
     AND(HOUR(session_data[[#This Row],[Time]])&gt;=17,HOUR(session_data[[#This Row],[Time]])&lt;21),"Evening",
     TRUE,"Night"
)</f>
        <v>Night</v>
      </c>
      <c r="G732" s="1">
        <f t="shared" si="46"/>
        <v>2022</v>
      </c>
      <c r="H732" s="1" t="str">
        <f t="shared" si="47"/>
        <v>Mar</v>
      </c>
      <c r="I732" s="1" t="str">
        <f t="shared" si="44"/>
        <v>Thu</v>
      </c>
      <c r="J732" s="1" t="s">
        <v>11</v>
      </c>
      <c r="K732" s="1" t="s">
        <v>12</v>
      </c>
      <c r="L732" s="1" t="s">
        <v>41</v>
      </c>
      <c r="M732" s="1" t="s">
        <v>40</v>
      </c>
      <c r="N732" s="1" t="s">
        <v>22</v>
      </c>
      <c r="O732" t="s">
        <v>15</v>
      </c>
    </row>
    <row r="733" spans="1:15" x14ac:dyDescent="0.25">
      <c r="A733" s="1" t="s">
        <v>1111</v>
      </c>
      <c r="B733" s="1" t="s">
        <v>1112</v>
      </c>
      <c r="C733" s="2">
        <v>44782.081944444442</v>
      </c>
      <c r="D733" s="4">
        <f t="shared" si="45"/>
        <v>44782</v>
      </c>
      <c r="E733" s="6">
        <v>31.077777777774202</v>
      </c>
      <c r="F733" s="6" t="str" cm="1">
        <f t="array" ref="F733">_xlfn.IFS(
     AND(HOUR(session_data[[#This Row],[Time]])&gt;5,HOUR(session_data[[#This Row],[Time]])&lt;12),"Morning",
     AND(HOUR(session_data[[#This Row],[Time]])&gt;=12,HOUR(session_data[[#This Row],[Time]])&lt;17),"Afternoon",
     AND(HOUR(session_data[[#This Row],[Time]])&gt;=17,HOUR(session_data[[#This Row],[Time]])&lt;21),"Evening",
     TRUE,"Night"
)</f>
        <v>Night</v>
      </c>
      <c r="G733" s="1">
        <f t="shared" si="46"/>
        <v>2022</v>
      </c>
      <c r="H733" s="1" t="str">
        <f t="shared" si="47"/>
        <v>Aug</v>
      </c>
      <c r="I733" s="1" t="str">
        <f t="shared" si="44"/>
        <v>Tue</v>
      </c>
      <c r="J733" s="1" t="s">
        <v>11</v>
      </c>
      <c r="K733" s="1" t="s">
        <v>12</v>
      </c>
      <c r="L733" s="1" t="s">
        <v>20</v>
      </c>
      <c r="M733" s="1" t="s">
        <v>19</v>
      </c>
      <c r="N733" s="1" t="s">
        <v>14</v>
      </c>
      <c r="O733" t="s">
        <v>45</v>
      </c>
    </row>
    <row r="734" spans="1:15" x14ac:dyDescent="0.25">
      <c r="A734" s="1" t="s">
        <v>1113</v>
      </c>
      <c r="B734" s="1" t="s">
        <v>1114</v>
      </c>
      <c r="C734" s="2">
        <v>44873.984722222223</v>
      </c>
      <c r="D734" s="4">
        <f t="shared" si="45"/>
        <v>44873</v>
      </c>
      <c r="E734" s="6">
        <v>31.119444444440902</v>
      </c>
      <c r="F734" s="6" t="str" cm="1">
        <f t="array" ref="F734">_xlfn.IFS(
     AND(HOUR(session_data[[#This Row],[Time]])&gt;5,HOUR(session_data[[#This Row],[Time]])&lt;12),"Morning",
     AND(HOUR(session_data[[#This Row],[Time]])&gt;=12,HOUR(session_data[[#This Row],[Time]])&lt;17),"Afternoon",
     AND(HOUR(session_data[[#This Row],[Time]])&gt;=17,HOUR(session_data[[#This Row],[Time]])&lt;21),"Evening",
     TRUE,"Night"
)</f>
        <v>Night</v>
      </c>
      <c r="G734" s="1">
        <f t="shared" si="46"/>
        <v>2022</v>
      </c>
      <c r="H734" s="1" t="str">
        <f t="shared" si="47"/>
        <v>Nov</v>
      </c>
      <c r="I734" s="1" t="str">
        <f t="shared" si="44"/>
        <v>Tue</v>
      </c>
      <c r="J734" s="1" t="s">
        <v>28</v>
      </c>
      <c r="K734" s="1" t="s">
        <v>12</v>
      </c>
      <c r="L734" s="1" t="s">
        <v>59</v>
      </c>
      <c r="M734" s="1" t="s">
        <v>19</v>
      </c>
      <c r="N734" s="1" t="s">
        <v>14</v>
      </c>
      <c r="O734" t="s">
        <v>45</v>
      </c>
    </row>
    <row r="735" spans="1:15" x14ac:dyDescent="0.25">
      <c r="A735" s="1" t="s">
        <v>1115</v>
      </c>
      <c r="B735" s="1" t="s">
        <v>1116</v>
      </c>
      <c r="C735" s="2">
        <v>44685.063888888886</v>
      </c>
      <c r="D735" s="4">
        <f t="shared" si="45"/>
        <v>44685</v>
      </c>
      <c r="E735" s="6">
        <v>31.161111111107601</v>
      </c>
      <c r="F735" s="6" t="str" cm="1">
        <f t="array" ref="F735">_xlfn.IFS(
     AND(HOUR(session_data[[#This Row],[Time]])&gt;5,HOUR(session_data[[#This Row],[Time]])&lt;12),"Morning",
     AND(HOUR(session_data[[#This Row],[Time]])&gt;=12,HOUR(session_data[[#This Row],[Time]])&lt;17),"Afternoon",
     AND(HOUR(session_data[[#This Row],[Time]])&gt;=17,HOUR(session_data[[#This Row],[Time]])&lt;21),"Evening",
     TRUE,"Night"
)</f>
        <v>Night</v>
      </c>
      <c r="G735" s="1">
        <f t="shared" si="46"/>
        <v>2022</v>
      </c>
      <c r="H735" s="1" t="str">
        <f t="shared" si="47"/>
        <v>May</v>
      </c>
      <c r="I735" s="1" t="str">
        <f t="shared" si="44"/>
        <v>Wed</v>
      </c>
      <c r="J735" s="1" t="s">
        <v>11</v>
      </c>
      <c r="K735" s="1" t="s">
        <v>12</v>
      </c>
      <c r="L735" s="1" t="s">
        <v>94</v>
      </c>
      <c r="M735" s="1" t="s">
        <v>32</v>
      </c>
      <c r="N735" s="1" t="s">
        <v>14</v>
      </c>
      <c r="O735" t="s">
        <v>15</v>
      </c>
    </row>
    <row r="736" spans="1:15" x14ac:dyDescent="0.25">
      <c r="A736" s="1" t="s">
        <v>1117</v>
      </c>
      <c r="B736" s="1" t="s">
        <v>1116</v>
      </c>
      <c r="C736" s="3">
        <v>44674.105555555558</v>
      </c>
      <c r="D736" s="4">
        <f t="shared" si="45"/>
        <v>44674</v>
      </c>
      <c r="E736" s="6">
        <v>31.202777777774202</v>
      </c>
      <c r="F736" s="6" t="str" cm="1">
        <f t="array" ref="F736">_xlfn.IFS(
     AND(HOUR(session_data[[#This Row],[Time]])&gt;5,HOUR(session_data[[#This Row],[Time]])&lt;12),"Morning",
     AND(HOUR(session_data[[#This Row],[Time]])&gt;=12,HOUR(session_data[[#This Row],[Time]])&lt;17),"Afternoon",
     AND(HOUR(session_data[[#This Row],[Time]])&gt;=17,HOUR(session_data[[#This Row],[Time]])&lt;21),"Evening",
     TRUE,"Night"
)</f>
        <v>Night</v>
      </c>
      <c r="G736" s="1">
        <f t="shared" si="46"/>
        <v>2022</v>
      </c>
      <c r="H736" s="1" t="str">
        <f t="shared" si="47"/>
        <v>Apr</v>
      </c>
      <c r="I736" s="1" t="str">
        <f t="shared" si="44"/>
        <v>Sat</v>
      </c>
      <c r="J736" s="1" t="s">
        <v>11</v>
      </c>
      <c r="K736" s="1" t="s">
        <v>12</v>
      </c>
      <c r="L736" s="1" t="s">
        <v>94</v>
      </c>
      <c r="M736" s="1" t="s">
        <v>32</v>
      </c>
      <c r="N736" s="1" t="s">
        <v>22</v>
      </c>
      <c r="O736" t="s">
        <v>15</v>
      </c>
    </row>
    <row r="737" spans="1:15" x14ac:dyDescent="0.25">
      <c r="A737" s="1" t="s">
        <v>1118</v>
      </c>
      <c r="B737" s="1" t="s">
        <v>1119</v>
      </c>
      <c r="C737" s="2">
        <v>44874.030555555553</v>
      </c>
      <c r="D737" s="4">
        <f t="shared" si="45"/>
        <v>44874</v>
      </c>
      <c r="E737" s="6">
        <v>31.244444444440902</v>
      </c>
      <c r="F737" s="6" t="str" cm="1">
        <f t="array" ref="F737">_xlfn.IFS(
     AND(HOUR(session_data[[#This Row],[Time]])&gt;5,HOUR(session_data[[#This Row],[Time]])&lt;12),"Morning",
     AND(HOUR(session_data[[#This Row],[Time]])&gt;=12,HOUR(session_data[[#This Row],[Time]])&lt;17),"Afternoon",
     AND(HOUR(session_data[[#This Row],[Time]])&gt;=17,HOUR(session_data[[#This Row],[Time]])&lt;21),"Evening",
     TRUE,"Night"
)</f>
        <v>Night</v>
      </c>
      <c r="G737" s="1">
        <f t="shared" si="46"/>
        <v>2022</v>
      </c>
      <c r="H737" s="1" t="str">
        <f t="shared" si="47"/>
        <v>Nov</v>
      </c>
      <c r="I737" s="1" t="str">
        <f t="shared" si="44"/>
        <v>Wed</v>
      </c>
      <c r="J737" s="1" t="s">
        <v>18</v>
      </c>
      <c r="K737" s="1" t="s">
        <v>29</v>
      </c>
      <c r="L737" s="1" t="s">
        <v>20</v>
      </c>
      <c r="M737" s="1" t="s">
        <v>19</v>
      </c>
      <c r="N737" s="1" t="s">
        <v>14</v>
      </c>
      <c r="O737" t="s">
        <v>15</v>
      </c>
    </row>
    <row r="738" spans="1:15" x14ac:dyDescent="0.25">
      <c r="A738" s="1" t="s">
        <v>1120</v>
      </c>
      <c r="B738" s="1" t="s">
        <v>1119</v>
      </c>
      <c r="C738" s="3">
        <v>44827.488888888889</v>
      </c>
      <c r="D738" s="4">
        <f t="shared" si="45"/>
        <v>44827</v>
      </c>
      <c r="E738" s="6">
        <v>31.286111111107601</v>
      </c>
      <c r="F738" s="6" t="str" cm="1">
        <f t="array" ref="F738">_xlfn.IFS(
     AND(HOUR(session_data[[#This Row],[Time]])&gt;5,HOUR(session_data[[#This Row],[Time]])&lt;12),"Morning",
     AND(HOUR(session_data[[#This Row],[Time]])&gt;=12,HOUR(session_data[[#This Row],[Time]])&lt;17),"Afternoon",
     AND(HOUR(session_data[[#This Row],[Time]])&gt;=17,HOUR(session_data[[#This Row],[Time]])&lt;21),"Evening",
     TRUE,"Night"
)</f>
        <v>Morning</v>
      </c>
      <c r="G738" s="1">
        <f t="shared" si="46"/>
        <v>2022</v>
      </c>
      <c r="H738" s="1" t="str">
        <f t="shared" si="47"/>
        <v>Sep</v>
      </c>
      <c r="I738" s="1" t="str">
        <f t="shared" si="44"/>
        <v>Fri</v>
      </c>
      <c r="J738" s="1" t="s">
        <v>18</v>
      </c>
      <c r="K738" s="1" t="s">
        <v>29</v>
      </c>
      <c r="L738" s="1" t="s">
        <v>20</v>
      </c>
      <c r="M738" s="1" t="s">
        <v>19</v>
      </c>
      <c r="N738" s="1" t="s">
        <v>22</v>
      </c>
      <c r="O738" t="s">
        <v>15</v>
      </c>
    </row>
    <row r="739" spans="1:15" x14ac:dyDescent="0.25">
      <c r="A739" s="1" t="s">
        <v>1121</v>
      </c>
      <c r="B739" s="1" t="s">
        <v>1122</v>
      </c>
      <c r="C739" s="3">
        <v>44863.77847222222</v>
      </c>
      <c r="D739" s="4">
        <f t="shared" si="45"/>
        <v>44863</v>
      </c>
      <c r="E739" s="6">
        <v>31.327777777774202</v>
      </c>
      <c r="F739" s="6" t="str" cm="1">
        <f t="array" ref="F739">_xlfn.IFS(
     AND(HOUR(session_data[[#This Row],[Time]])&gt;5,HOUR(session_data[[#This Row],[Time]])&lt;12),"Morning",
     AND(HOUR(session_data[[#This Row],[Time]])&gt;=12,HOUR(session_data[[#This Row],[Time]])&lt;17),"Afternoon",
     AND(HOUR(session_data[[#This Row],[Time]])&gt;=17,HOUR(session_data[[#This Row],[Time]])&lt;21),"Evening",
     TRUE,"Night"
)</f>
        <v>Morning</v>
      </c>
      <c r="G739" s="1">
        <f t="shared" si="46"/>
        <v>2022</v>
      </c>
      <c r="H739" s="1" t="str">
        <f t="shared" si="47"/>
        <v>Oct</v>
      </c>
      <c r="I739" s="1" t="str">
        <f t="shared" si="44"/>
        <v>Sat</v>
      </c>
      <c r="J739" s="1" t="s">
        <v>18</v>
      </c>
      <c r="K739" s="1" t="s">
        <v>12</v>
      </c>
      <c r="L739" s="1" t="s">
        <v>59</v>
      </c>
      <c r="M739" s="1" t="s">
        <v>19</v>
      </c>
      <c r="N739" s="1" t="s">
        <v>14</v>
      </c>
      <c r="O739" t="s">
        <v>15</v>
      </c>
    </row>
    <row r="740" spans="1:15" x14ac:dyDescent="0.25">
      <c r="A740" s="1" t="s">
        <v>1123</v>
      </c>
      <c r="B740" s="1" t="s">
        <v>1122</v>
      </c>
      <c r="C740" s="3">
        <v>44894.195138888892</v>
      </c>
      <c r="D740" s="4">
        <f t="shared" si="45"/>
        <v>44894</v>
      </c>
      <c r="E740" s="6">
        <v>31.369444444440902</v>
      </c>
      <c r="F740" s="6" t="str" cm="1">
        <f t="array" ref="F740">_xlfn.IFS(
     AND(HOUR(session_data[[#This Row],[Time]])&gt;5,HOUR(session_data[[#This Row],[Time]])&lt;12),"Morning",
     AND(HOUR(session_data[[#This Row],[Time]])&gt;=12,HOUR(session_data[[#This Row],[Time]])&lt;17),"Afternoon",
     AND(HOUR(session_data[[#This Row],[Time]])&gt;=17,HOUR(session_data[[#This Row],[Time]])&lt;21),"Evening",
     TRUE,"Night"
)</f>
        <v>Morning</v>
      </c>
      <c r="G740" s="1">
        <f t="shared" si="46"/>
        <v>2022</v>
      </c>
      <c r="H740" s="1" t="str">
        <f t="shared" si="47"/>
        <v>Nov</v>
      </c>
      <c r="I740" s="1" t="str">
        <f t="shared" si="44"/>
        <v>Tue</v>
      </c>
      <c r="J740" s="1" t="s">
        <v>18</v>
      </c>
      <c r="K740" s="1" t="s">
        <v>12</v>
      </c>
      <c r="L740" s="1" t="s">
        <v>59</v>
      </c>
      <c r="M740" s="1" t="s">
        <v>19</v>
      </c>
      <c r="N740" s="1" t="s">
        <v>22</v>
      </c>
      <c r="O740" t="s">
        <v>15</v>
      </c>
    </row>
    <row r="741" spans="1:15" x14ac:dyDescent="0.25">
      <c r="A741" s="1" t="s">
        <v>1124</v>
      </c>
      <c r="B741" s="1" t="s">
        <v>1122</v>
      </c>
      <c r="C741" s="3">
        <v>44915.945138888892</v>
      </c>
      <c r="D741" s="4">
        <f t="shared" si="45"/>
        <v>44915</v>
      </c>
      <c r="E741" s="6">
        <v>31.411111111107601</v>
      </c>
      <c r="F741" s="6" t="str" cm="1">
        <f t="array" ref="F741">_xlfn.IFS(
     AND(HOUR(session_data[[#This Row],[Time]])&gt;5,HOUR(session_data[[#This Row],[Time]])&lt;12),"Morning",
     AND(HOUR(session_data[[#This Row],[Time]])&gt;=12,HOUR(session_data[[#This Row],[Time]])&lt;17),"Afternoon",
     AND(HOUR(session_data[[#This Row],[Time]])&gt;=17,HOUR(session_data[[#This Row],[Time]])&lt;21),"Evening",
     TRUE,"Night"
)</f>
        <v>Morning</v>
      </c>
      <c r="G741" s="1">
        <f t="shared" si="46"/>
        <v>2022</v>
      </c>
      <c r="H741" s="1" t="str">
        <f t="shared" si="47"/>
        <v>Dec</v>
      </c>
      <c r="I741" s="1" t="str">
        <f t="shared" si="44"/>
        <v>Tue</v>
      </c>
      <c r="J741" s="1" t="s">
        <v>18</v>
      </c>
      <c r="K741" s="1" t="s">
        <v>12</v>
      </c>
      <c r="L741" s="1" t="s">
        <v>59</v>
      </c>
      <c r="M741" s="1" t="s">
        <v>19</v>
      </c>
      <c r="N741" s="1" t="s">
        <v>22</v>
      </c>
      <c r="O741" t="s">
        <v>15</v>
      </c>
    </row>
    <row r="742" spans="1:15" x14ac:dyDescent="0.25">
      <c r="A742" s="1" t="s">
        <v>1125</v>
      </c>
      <c r="B742" s="1" t="s">
        <v>1122</v>
      </c>
      <c r="C742" s="2">
        <v>45231.986805555556</v>
      </c>
      <c r="D742" s="4">
        <f t="shared" si="45"/>
        <v>45231</v>
      </c>
      <c r="E742" s="6">
        <v>31.452777777774202</v>
      </c>
      <c r="F742" s="6" t="str" cm="1">
        <f t="array" ref="F742">_xlfn.IFS(
     AND(HOUR(session_data[[#This Row],[Time]])&gt;5,HOUR(session_data[[#This Row],[Time]])&lt;12),"Morning",
     AND(HOUR(session_data[[#This Row],[Time]])&gt;=12,HOUR(session_data[[#This Row],[Time]])&lt;17),"Afternoon",
     AND(HOUR(session_data[[#This Row],[Time]])&gt;=17,HOUR(session_data[[#This Row],[Time]])&lt;21),"Evening",
     TRUE,"Night"
)</f>
        <v>Morning</v>
      </c>
      <c r="G742" s="1">
        <f t="shared" si="46"/>
        <v>2023</v>
      </c>
      <c r="H742" s="1" t="str">
        <f t="shared" si="47"/>
        <v>Nov</v>
      </c>
      <c r="I742" s="1" t="str">
        <f t="shared" si="44"/>
        <v>Wed</v>
      </c>
      <c r="J742" s="1" t="s">
        <v>18</v>
      </c>
      <c r="K742" s="1" t="s">
        <v>12</v>
      </c>
      <c r="L742" s="1" t="s">
        <v>59</v>
      </c>
      <c r="M742" s="1" t="s">
        <v>19</v>
      </c>
      <c r="N742" s="1" t="s">
        <v>22</v>
      </c>
      <c r="O742" t="s">
        <v>15</v>
      </c>
    </row>
    <row r="743" spans="1:15" x14ac:dyDescent="0.25">
      <c r="A743" s="1" t="s">
        <v>1126</v>
      </c>
      <c r="B743" s="1" t="s">
        <v>1127</v>
      </c>
      <c r="C743" s="2">
        <v>44714.292361111111</v>
      </c>
      <c r="D743" s="4">
        <f t="shared" si="45"/>
        <v>44714</v>
      </c>
      <c r="E743" s="6">
        <v>31.494444444440902</v>
      </c>
      <c r="F743" s="6" t="str" cm="1">
        <f t="array" ref="F743">_xlfn.IFS(
     AND(HOUR(session_data[[#This Row],[Time]])&gt;5,HOUR(session_data[[#This Row],[Time]])&lt;12),"Morning",
     AND(HOUR(session_data[[#This Row],[Time]])&gt;=12,HOUR(session_data[[#This Row],[Time]])&lt;17),"Afternoon",
     AND(HOUR(session_data[[#This Row],[Time]])&gt;=17,HOUR(session_data[[#This Row],[Time]])&lt;21),"Evening",
     TRUE,"Night"
)</f>
        <v>Morning</v>
      </c>
      <c r="G743" s="1">
        <f t="shared" si="46"/>
        <v>2022</v>
      </c>
      <c r="H743" s="1" t="str">
        <f t="shared" si="47"/>
        <v>Jun</v>
      </c>
      <c r="I743" s="1" t="str">
        <f t="shared" si="44"/>
        <v>Thu</v>
      </c>
      <c r="J743" s="1" t="s">
        <v>18</v>
      </c>
      <c r="K743" s="1" t="s">
        <v>12</v>
      </c>
      <c r="L743" s="1" t="s">
        <v>50</v>
      </c>
      <c r="M743" s="1" t="s">
        <v>19</v>
      </c>
      <c r="N743" s="1" t="s">
        <v>14</v>
      </c>
      <c r="O743" t="s">
        <v>45</v>
      </c>
    </row>
    <row r="744" spans="1:15" x14ac:dyDescent="0.25">
      <c r="A744" s="1" t="s">
        <v>1128</v>
      </c>
      <c r="B744" s="1" t="s">
        <v>1127</v>
      </c>
      <c r="C744" s="3">
        <v>44613.875694444447</v>
      </c>
      <c r="D744" s="4">
        <f t="shared" si="45"/>
        <v>44613</v>
      </c>
      <c r="E744" s="6">
        <v>31.536111111107601</v>
      </c>
      <c r="F744" s="6" t="str" cm="1">
        <f t="array" ref="F744">_xlfn.IFS(
     AND(HOUR(session_data[[#This Row],[Time]])&gt;5,HOUR(session_data[[#This Row],[Time]])&lt;12),"Morning",
     AND(HOUR(session_data[[#This Row],[Time]])&gt;=12,HOUR(session_data[[#This Row],[Time]])&lt;17),"Afternoon",
     AND(HOUR(session_data[[#This Row],[Time]])&gt;=17,HOUR(session_data[[#This Row],[Time]])&lt;21),"Evening",
     TRUE,"Night"
)</f>
        <v>Afternoon</v>
      </c>
      <c r="G744" s="1">
        <f t="shared" si="46"/>
        <v>2022</v>
      </c>
      <c r="H744" s="1" t="str">
        <f t="shared" si="47"/>
        <v>Feb</v>
      </c>
      <c r="I744" s="1" t="str">
        <f t="shared" si="44"/>
        <v>Mon</v>
      </c>
      <c r="J744" s="1" t="s">
        <v>18</v>
      </c>
      <c r="K744" s="1" t="s">
        <v>12</v>
      </c>
      <c r="L744" s="1" t="s">
        <v>50</v>
      </c>
      <c r="M744" s="1" t="s">
        <v>19</v>
      </c>
      <c r="N744" s="1" t="s">
        <v>22</v>
      </c>
      <c r="O744" t="s">
        <v>45</v>
      </c>
    </row>
    <row r="745" spans="1:15" x14ac:dyDescent="0.25">
      <c r="A745" s="1" t="s">
        <v>1129</v>
      </c>
      <c r="B745" s="1" t="s">
        <v>1127</v>
      </c>
      <c r="C745" s="3">
        <v>44641.375694444447</v>
      </c>
      <c r="D745" s="4">
        <f t="shared" si="45"/>
        <v>44641</v>
      </c>
      <c r="E745" s="6">
        <v>31.577777777774202</v>
      </c>
      <c r="F745" s="6" t="str" cm="1">
        <f t="array" ref="F745">_xlfn.IFS(
     AND(HOUR(session_data[[#This Row],[Time]])&gt;5,HOUR(session_data[[#This Row],[Time]])&lt;12),"Morning",
     AND(HOUR(session_data[[#This Row],[Time]])&gt;=12,HOUR(session_data[[#This Row],[Time]])&lt;17),"Afternoon",
     AND(HOUR(session_data[[#This Row],[Time]])&gt;=17,HOUR(session_data[[#This Row],[Time]])&lt;21),"Evening",
     TRUE,"Night"
)</f>
        <v>Afternoon</v>
      </c>
      <c r="G745" s="1">
        <f t="shared" si="46"/>
        <v>2022</v>
      </c>
      <c r="H745" s="1" t="str">
        <f t="shared" si="47"/>
        <v>Mar</v>
      </c>
      <c r="I745" s="1" t="str">
        <f t="shared" si="44"/>
        <v>Mon</v>
      </c>
      <c r="J745" s="1" t="s">
        <v>18</v>
      </c>
      <c r="K745" s="1" t="s">
        <v>12</v>
      </c>
      <c r="L745" s="1" t="s">
        <v>50</v>
      </c>
      <c r="M745" s="1" t="s">
        <v>19</v>
      </c>
      <c r="N745" s="1" t="s">
        <v>22</v>
      </c>
      <c r="O745" t="s">
        <v>45</v>
      </c>
    </row>
    <row r="746" spans="1:15" x14ac:dyDescent="0.25">
      <c r="A746" s="1" t="s">
        <v>1130</v>
      </c>
      <c r="B746" s="1" t="s">
        <v>1131</v>
      </c>
      <c r="C746" s="3">
        <v>44647.048611111109</v>
      </c>
      <c r="D746" s="4">
        <f t="shared" si="45"/>
        <v>44647</v>
      </c>
      <c r="E746" s="6">
        <v>31.619444444440902</v>
      </c>
      <c r="F746" s="6" t="str" cm="1">
        <f t="array" ref="F746">_xlfn.IFS(
     AND(HOUR(session_data[[#This Row],[Time]])&gt;5,HOUR(session_data[[#This Row],[Time]])&lt;12),"Morning",
     AND(HOUR(session_data[[#This Row],[Time]])&gt;=12,HOUR(session_data[[#This Row],[Time]])&lt;17),"Afternoon",
     AND(HOUR(session_data[[#This Row],[Time]])&gt;=17,HOUR(session_data[[#This Row],[Time]])&lt;21),"Evening",
     TRUE,"Night"
)</f>
        <v>Afternoon</v>
      </c>
      <c r="G746" s="1">
        <f t="shared" si="46"/>
        <v>2022</v>
      </c>
      <c r="H746" s="1" t="str">
        <f t="shared" si="47"/>
        <v>Mar</v>
      </c>
      <c r="I746" s="1" t="str">
        <f t="shared" si="44"/>
        <v>Sun</v>
      </c>
      <c r="J746" s="1" t="s">
        <v>11</v>
      </c>
      <c r="K746" s="1" t="s">
        <v>12</v>
      </c>
      <c r="L746" s="1" t="s">
        <v>59</v>
      </c>
      <c r="M746" s="1" t="s">
        <v>19</v>
      </c>
      <c r="N746" s="1" t="s">
        <v>14</v>
      </c>
      <c r="O746" t="s">
        <v>45</v>
      </c>
    </row>
    <row r="747" spans="1:15" x14ac:dyDescent="0.25">
      <c r="A747" s="1" t="s">
        <v>1132</v>
      </c>
      <c r="B747" s="1" t="s">
        <v>1133</v>
      </c>
      <c r="C747" s="2">
        <v>44689.936805555553</v>
      </c>
      <c r="D747" s="4">
        <f t="shared" si="45"/>
        <v>44689</v>
      </c>
      <c r="E747" s="6">
        <v>31.661111111107601</v>
      </c>
      <c r="F747" s="6" t="str" cm="1">
        <f t="array" ref="F747">_xlfn.IFS(
     AND(HOUR(session_data[[#This Row],[Time]])&gt;5,HOUR(session_data[[#This Row],[Time]])&lt;12),"Morning",
     AND(HOUR(session_data[[#This Row],[Time]])&gt;=12,HOUR(session_data[[#This Row],[Time]])&lt;17),"Afternoon",
     AND(HOUR(session_data[[#This Row],[Time]])&gt;=17,HOUR(session_data[[#This Row],[Time]])&lt;21),"Evening",
     TRUE,"Night"
)</f>
        <v>Afternoon</v>
      </c>
      <c r="G747" s="1">
        <f t="shared" si="46"/>
        <v>2022</v>
      </c>
      <c r="H747" s="1" t="str">
        <f t="shared" si="47"/>
        <v>May</v>
      </c>
      <c r="I747" s="1" t="str">
        <f t="shared" si="44"/>
        <v>Sun</v>
      </c>
      <c r="J747" s="1" t="s">
        <v>18</v>
      </c>
      <c r="K747" s="1" t="s">
        <v>36</v>
      </c>
      <c r="L747" s="1" t="s">
        <v>50</v>
      </c>
      <c r="M747" s="1" t="s">
        <v>19</v>
      </c>
      <c r="N747" s="1" t="s">
        <v>14</v>
      </c>
      <c r="O747" t="s">
        <v>15</v>
      </c>
    </row>
    <row r="748" spans="1:15" x14ac:dyDescent="0.25">
      <c r="A748" s="1" t="s">
        <v>1134</v>
      </c>
      <c r="B748" s="1" t="s">
        <v>1135</v>
      </c>
      <c r="C748" s="2">
        <v>44714.272222222222</v>
      </c>
      <c r="D748" s="4">
        <f t="shared" si="45"/>
        <v>44714</v>
      </c>
      <c r="E748" s="6">
        <v>31.702777777774202</v>
      </c>
      <c r="F748" s="6" t="str" cm="1">
        <f t="array" ref="F748">_xlfn.IFS(
     AND(HOUR(session_data[[#This Row],[Time]])&gt;5,HOUR(session_data[[#This Row],[Time]])&lt;12),"Morning",
     AND(HOUR(session_data[[#This Row],[Time]])&gt;=12,HOUR(session_data[[#This Row],[Time]])&lt;17),"Afternoon",
     AND(HOUR(session_data[[#This Row],[Time]])&gt;=17,HOUR(session_data[[#This Row],[Time]])&lt;21),"Evening",
     TRUE,"Night"
)</f>
        <v>Afternoon</v>
      </c>
      <c r="G748" s="1">
        <f t="shared" si="46"/>
        <v>2022</v>
      </c>
      <c r="H748" s="1" t="str">
        <f t="shared" si="47"/>
        <v>Jun</v>
      </c>
      <c r="I748" s="1" t="str">
        <f t="shared" si="44"/>
        <v>Thu</v>
      </c>
      <c r="J748" s="1" t="s">
        <v>44</v>
      </c>
      <c r="K748" s="1" t="s">
        <v>29</v>
      </c>
      <c r="L748" s="1" t="s">
        <v>30</v>
      </c>
      <c r="M748" s="1" t="s">
        <v>32</v>
      </c>
      <c r="N748" s="1" t="s">
        <v>14</v>
      </c>
      <c r="O748" t="s">
        <v>15</v>
      </c>
    </row>
    <row r="749" spans="1:15" x14ac:dyDescent="0.25">
      <c r="A749" s="1" t="s">
        <v>1136</v>
      </c>
      <c r="B749" s="1" t="s">
        <v>1135</v>
      </c>
      <c r="C749" s="3">
        <v>44619.813888888886</v>
      </c>
      <c r="D749" s="4">
        <f t="shared" si="45"/>
        <v>44619</v>
      </c>
      <c r="E749" s="6">
        <v>31.744444444440902</v>
      </c>
      <c r="F749" s="6" t="str" cm="1">
        <f t="array" ref="F749">_xlfn.IFS(
     AND(HOUR(session_data[[#This Row],[Time]])&gt;5,HOUR(session_data[[#This Row],[Time]])&lt;12),"Morning",
     AND(HOUR(session_data[[#This Row],[Time]])&gt;=12,HOUR(session_data[[#This Row],[Time]])&lt;17),"Afternoon",
     AND(HOUR(session_data[[#This Row],[Time]])&gt;=17,HOUR(session_data[[#This Row],[Time]])&lt;21),"Evening",
     TRUE,"Night"
)</f>
        <v>Evening</v>
      </c>
      <c r="G749" s="1">
        <f t="shared" si="46"/>
        <v>2022</v>
      </c>
      <c r="H749" s="1" t="str">
        <f t="shared" si="47"/>
        <v>Feb</v>
      </c>
      <c r="I749" s="1" t="str">
        <f t="shared" si="44"/>
        <v>Sun</v>
      </c>
      <c r="J749" s="1" t="s">
        <v>44</v>
      </c>
      <c r="K749" s="1" t="s">
        <v>29</v>
      </c>
      <c r="L749" s="1" t="s">
        <v>30</v>
      </c>
      <c r="M749" s="1" t="s">
        <v>32</v>
      </c>
      <c r="N749" s="1" t="s">
        <v>22</v>
      </c>
      <c r="O749" t="s">
        <v>15</v>
      </c>
    </row>
    <row r="750" spans="1:15" x14ac:dyDescent="0.25">
      <c r="A750" s="1" t="s">
        <v>1137</v>
      </c>
      <c r="B750" s="1" t="s">
        <v>1138</v>
      </c>
      <c r="C750" s="2">
        <v>44807.845138888886</v>
      </c>
      <c r="D750" s="4">
        <f t="shared" si="45"/>
        <v>44807</v>
      </c>
      <c r="E750" s="6">
        <v>31.786111111107601</v>
      </c>
      <c r="F750" s="6" t="str" cm="1">
        <f t="array" ref="F750">_xlfn.IFS(
     AND(HOUR(session_data[[#This Row],[Time]])&gt;5,HOUR(session_data[[#This Row],[Time]])&lt;12),"Morning",
     AND(HOUR(session_data[[#This Row],[Time]])&gt;=12,HOUR(session_data[[#This Row],[Time]])&lt;17),"Afternoon",
     AND(HOUR(session_data[[#This Row],[Time]])&gt;=17,HOUR(session_data[[#This Row],[Time]])&lt;21),"Evening",
     TRUE,"Night"
)</f>
        <v>Evening</v>
      </c>
      <c r="G750" s="1">
        <f t="shared" si="46"/>
        <v>2022</v>
      </c>
      <c r="H750" s="1" t="str">
        <f t="shared" si="47"/>
        <v>Sep</v>
      </c>
      <c r="I750" s="1" t="str">
        <f t="shared" si="44"/>
        <v>Sat</v>
      </c>
      <c r="J750" s="1" t="s">
        <v>44</v>
      </c>
      <c r="K750" s="1" t="s">
        <v>12</v>
      </c>
      <c r="L750" s="1" t="s">
        <v>79</v>
      </c>
      <c r="M750" s="1" t="s">
        <v>40</v>
      </c>
      <c r="N750" s="1" t="s">
        <v>14</v>
      </c>
      <c r="O750" t="s">
        <v>45</v>
      </c>
    </row>
    <row r="751" spans="1:15" x14ac:dyDescent="0.25">
      <c r="A751" s="1" t="s">
        <v>1139</v>
      </c>
      <c r="B751" s="1" t="s">
        <v>1140</v>
      </c>
      <c r="C751" s="3">
        <v>44955.771527777775</v>
      </c>
      <c r="D751" s="4">
        <f t="shared" si="45"/>
        <v>44955</v>
      </c>
      <c r="E751" s="6">
        <v>31.827777777774202</v>
      </c>
      <c r="F751" s="6" t="str" cm="1">
        <f t="array" ref="F751">_xlfn.IFS(
     AND(HOUR(session_data[[#This Row],[Time]])&gt;5,HOUR(session_data[[#This Row],[Time]])&lt;12),"Morning",
     AND(HOUR(session_data[[#This Row],[Time]])&gt;=12,HOUR(session_data[[#This Row],[Time]])&lt;17),"Afternoon",
     AND(HOUR(session_data[[#This Row],[Time]])&gt;=17,HOUR(session_data[[#This Row],[Time]])&lt;21),"Evening",
     TRUE,"Night"
)</f>
        <v>Evening</v>
      </c>
      <c r="G751" s="1">
        <f t="shared" si="46"/>
        <v>2023</v>
      </c>
      <c r="H751" s="1" t="str">
        <f t="shared" si="47"/>
        <v>Jan</v>
      </c>
      <c r="I751" s="1" t="str">
        <f t="shared" si="44"/>
        <v>Sun</v>
      </c>
      <c r="J751" s="1" t="s">
        <v>18</v>
      </c>
      <c r="K751" s="1" t="s">
        <v>29</v>
      </c>
      <c r="L751" s="1" t="s">
        <v>20</v>
      </c>
      <c r="M751" s="1" t="s">
        <v>19</v>
      </c>
      <c r="N751" s="1" t="s">
        <v>14</v>
      </c>
      <c r="O751" t="s">
        <v>45</v>
      </c>
    </row>
    <row r="752" spans="1:15" x14ac:dyDescent="0.25">
      <c r="A752" s="1" t="s">
        <v>1141</v>
      </c>
      <c r="B752" s="1" t="s">
        <v>1140</v>
      </c>
      <c r="C752" s="3">
        <v>44976.229861111111</v>
      </c>
      <c r="D752" s="4">
        <f t="shared" si="45"/>
        <v>44976</v>
      </c>
      <c r="E752" s="6">
        <v>31.869444444440902</v>
      </c>
      <c r="F752" s="6" t="str" cm="1">
        <f t="array" ref="F752">_xlfn.IFS(
     AND(HOUR(session_data[[#This Row],[Time]])&gt;5,HOUR(session_data[[#This Row],[Time]])&lt;12),"Morning",
     AND(HOUR(session_data[[#This Row],[Time]])&gt;=12,HOUR(session_data[[#This Row],[Time]])&lt;17),"Afternoon",
     AND(HOUR(session_data[[#This Row],[Time]])&gt;=17,HOUR(session_data[[#This Row],[Time]])&lt;21),"Evening",
     TRUE,"Night"
)</f>
        <v>Evening</v>
      </c>
      <c r="G752" s="1">
        <f t="shared" si="46"/>
        <v>2023</v>
      </c>
      <c r="H752" s="1" t="str">
        <f t="shared" si="47"/>
        <v>Feb</v>
      </c>
      <c r="I752" s="1" t="str">
        <f t="shared" si="44"/>
        <v>Sun</v>
      </c>
      <c r="J752" s="1" t="s">
        <v>18</v>
      </c>
      <c r="K752" s="1" t="s">
        <v>29</v>
      </c>
      <c r="L752" s="1" t="s">
        <v>20</v>
      </c>
      <c r="M752" s="1" t="s">
        <v>19</v>
      </c>
      <c r="N752" s="1" t="s">
        <v>22</v>
      </c>
      <c r="O752" t="s">
        <v>45</v>
      </c>
    </row>
    <row r="753" spans="1:15" x14ac:dyDescent="0.25">
      <c r="A753" s="1" t="s">
        <v>1142</v>
      </c>
      <c r="B753" s="1" t="s">
        <v>1143</v>
      </c>
      <c r="C753" s="3">
        <v>44763.629166666666</v>
      </c>
      <c r="D753" s="4">
        <f t="shared" si="45"/>
        <v>44763</v>
      </c>
      <c r="E753" s="6">
        <v>31.911111111107601</v>
      </c>
      <c r="F753" s="6" t="str" cm="1">
        <f t="array" ref="F753">_xlfn.IFS(
     AND(HOUR(session_data[[#This Row],[Time]])&gt;5,HOUR(session_data[[#This Row],[Time]])&lt;12),"Morning",
     AND(HOUR(session_data[[#This Row],[Time]])&gt;=12,HOUR(session_data[[#This Row],[Time]])&lt;17),"Afternoon",
     AND(HOUR(session_data[[#This Row],[Time]])&gt;=17,HOUR(session_data[[#This Row],[Time]])&lt;21),"Evening",
     TRUE,"Night"
)</f>
        <v>Night</v>
      </c>
      <c r="G753" s="1">
        <f t="shared" si="46"/>
        <v>2022</v>
      </c>
      <c r="H753" s="1" t="str">
        <f t="shared" si="47"/>
        <v>Jul</v>
      </c>
      <c r="I753" s="1" t="str">
        <f t="shared" si="44"/>
        <v>Thu</v>
      </c>
      <c r="J753" s="1" t="s">
        <v>66</v>
      </c>
      <c r="K753" s="1" t="s">
        <v>12</v>
      </c>
      <c r="L753" s="1" t="s">
        <v>79</v>
      </c>
      <c r="M753" s="1" t="s">
        <v>40</v>
      </c>
      <c r="N753" s="1" t="s">
        <v>14</v>
      </c>
      <c r="O753" t="s">
        <v>45</v>
      </c>
    </row>
    <row r="754" spans="1:15" x14ac:dyDescent="0.25">
      <c r="A754" s="1" t="s">
        <v>1144</v>
      </c>
      <c r="B754" s="1" t="s">
        <v>1143</v>
      </c>
      <c r="C754" s="3">
        <v>44790.462500000001</v>
      </c>
      <c r="D754" s="4">
        <f t="shared" si="45"/>
        <v>44790</v>
      </c>
      <c r="E754" s="6">
        <v>31.952777777774202</v>
      </c>
      <c r="F754" s="6" t="str" cm="1">
        <f t="array" ref="F754">_xlfn.IFS(
     AND(HOUR(session_data[[#This Row],[Time]])&gt;5,HOUR(session_data[[#This Row],[Time]])&lt;12),"Morning",
     AND(HOUR(session_data[[#This Row],[Time]])&gt;=12,HOUR(session_data[[#This Row],[Time]])&lt;17),"Afternoon",
     AND(HOUR(session_data[[#This Row],[Time]])&gt;=17,HOUR(session_data[[#This Row],[Time]])&lt;21),"Evening",
     TRUE,"Night"
)</f>
        <v>Night</v>
      </c>
      <c r="G754" s="1">
        <f t="shared" si="46"/>
        <v>2022</v>
      </c>
      <c r="H754" s="1" t="str">
        <f t="shared" si="47"/>
        <v>Aug</v>
      </c>
      <c r="I754" s="1" t="str">
        <f t="shared" si="44"/>
        <v>Wed</v>
      </c>
      <c r="J754" s="1" t="s">
        <v>66</v>
      </c>
      <c r="K754" s="1" t="s">
        <v>12</v>
      </c>
      <c r="L754" s="1" t="s">
        <v>79</v>
      </c>
      <c r="M754" s="1" t="s">
        <v>40</v>
      </c>
      <c r="N754" s="1" t="s">
        <v>22</v>
      </c>
      <c r="O754" t="s">
        <v>45</v>
      </c>
    </row>
    <row r="755" spans="1:15" x14ac:dyDescent="0.25">
      <c r="A755" s="1" t="s">
        <v>1145</v>
      </c>
      <c r="B755" s="1" t="s">
        <v>1143</v>
      </c>
      <c r="C755" s="2">
        <v>44782.67083333333</v>
      </c>
      <c r="D755" s="4">
        <f t="shared" si="45"/>
        <v>44782</v>
      </c>
      <c r="E755" s="6">
        <v>31.994444444440902</v>
      </c>
      <c r="F755" s="6" t="str" cm="1">
        <f t="array" ref="F755">_xlfn.IFS(
     AND(HOUR(session_data[[#This Row],[Time]])&gt;5,HOUR(session_data[[#This Row],[Time]])&lt;12),"Morning",
     AND(HOUR(session_data[[#This Row],[Time]])&gt;=12,HOUR(session_data[[#This Row],[Time]])&lt;17),"Afternoon",
     AND(HOUR(session_data[[#This Row],[Time]])&gt;=17,HOUR(session_data[[#This Row],[Time]])&lt;21),"Evening",
     TRUE,"Night"
)</f>
        <v>Night</v>
      </c>
      <c r="G755" s="1">
        <f t="shared" si="46"/>
        <v>2022</v>
      </c>
      <c r="H755" s="1" t="str">
        <f t="shared" si="47"/>
        <v>Aug</v>
      </c>
      <c r="I755" s="1" t="str">
        <f t="shared" si="44"/>
        <v>Tue</v>
      </c>
      <c r="J755" s="1" t="s">
        <v>66</v>
      </c>
      <c r="K755" s="1" t="s">
        <v>12</v>
      </c>
      <c r="L755" s="1" t="s">
        <v>79</v>
      </c>
      <c r="M755" s="1" t="s">
        <v>40</v>
      </c>
      <c r="N755" s="1" t="s">
        <v>22</v>
      </c>
      <c r="O755" t="s">
        <v>45</v>
      </c>
    </row>
    <row r="756" spans="1:15" x14ac:dyDescent="0.25">
      <c r="A756" s="1" t="s">
        <v>1146</v>
      </c>
      <c r="B756" s="1" t="s">
        <v>1143</v>
      </c>
      <c r="C756" s="2">
        <v>44875.04583333333</v>
      </c>
      <c r="D756" s="4">
        <f t="shared" si="45"/>
        <v>44875</v>
      </c>
      <c r="E756" s="6">
        <v>32.036111111107601</v>
      </c>
      <c r="F756" s="6" t="str" cm="1">
        <f t="array" ref="F756">_xlfn.IFS(
     AND(HOUR(session_data[[#This Row],[Time]])&gt;5,HOUR(session_data[[#This Row],[Time]])&lt;12),"Morning",
     AND(HOUR(session_data[[#This Row],[Time]])&gt;=12,HOUR(session_data[[#This Row],[Time]])&lt;17),"Afternoon",
     AND(HOUR(session_data[[#This Row],[Time]])&gt;=17,HOUR(session_data[[#This Row],[Time]])&lt;21),"Evening",
     TRUE,"Night"
)</f>
        <v>Night</v>
      </c>
      <c r="G756" s="1">
        <f t="shared" si="46"/>
        <v>2022</v>
      </c>
      <c r="H756" s="1" t="str">
        <f t="shared" si="47"/>
        <v>Nov</v>
      </c>
      <c r="I756" s="1" t="str">
        <f t="shared" si="44"/>
        <v>Thu</v>
      </c>
      <c r="J756" s="1" t="s">
        <v>66</v>
      </c>
      <c r="K756" s="1" t="s">
        <v>12</v>
      </c>
      <c r="L756" s="1" t="s">
        <v>79</v>
      </c>
      <c r="M756" s="1" t="s">
        <v>40</v>
      </c>
      <c r="N756" s="1" t="s">
        <v>22</v>
      </c>
      <c r="O756" t="s">
        <v>45</v>
      </c>
    </row>
    <row r="757" spans="1:15" x14ac:dyDescent="0.25">
      <c r="A757" s="1" t="s">
        <v>1147</v>
      </c>
      <c r="B757" s="1" t="s">
        <v>1148</v>
      </c>
      <c r="C757" s="3">
        <v>44885.703472222223</v>
      </c>
      <c r="D757" s="4">
        <f t="shared" si="45"/>
        <v>44885</v>
      </c>
      <c r="E757" s="6">
        <v>32.077777777774202</v>
      </c>
      <c r="F757" s="6" t="str" cm="1">
        <f t="array" ref="F757">_xlfn.IFS(
     AND(HOUR(session_data[[#This Row],[Time]])&gt;5,HOUR(session_data[[#This Row],[Time]])&lt;12),"Morning",
     AND(HOUR(session_data[[#This Row],[Time]])&gt;=12,HOUR(session_data[[#This Row],[Time]])&lt;17),"Afternoon",
     AND(HOUR(session_data[[#This Row],[Time]])&gt;=17,HOUR(session_data[[#This Row],[Time]])&lt;21),"Evening",
     TRUE,"Night"
)</f>
        <v>Night</v>
      </c>
      <c r="G757" s="1">
        <f t="shared" si="46"/>
        <v>2022</v>
      </c>
      <c r="H757" s="1" t="str">
        <f t="shared" si="47"/>
        <v>Nov</v>
      </c>
      <c r="I757" s="1" t="str">
        <f t="shared" si="44"/>
        <v>Sun</v>
      </c>
      <c r="J757" s="1" t="s">
        <v>11</v>
      </c>
      <c r="K757" s="1" t="s">
        <v>29</v>
      </c>
      <c r="L757" s="1" t="s">
        <v>50</v>
      </c>
      <c r="M757" s="1" t="s">
        <v>19</v>
      </c>
      <c r="N757" s="1" t="s">
        <v>14</v>
      </c>
      <c r="O757" t="s">
        <v>15</v>
      </c>
    </row>
    <row r="758" spans="1:15" x14ac:dyDescent="0.25">
      <c r="A758" s="1" t="s">
        <v>1149</v>
      </c>
      <c r="B758" s="1" t="s">
        <v>1148</v>
      </c>
      <c r="C758" s="3">
        <v>44912.536805555559</v>
      </c>
      <c r="D758" s="4">
        <f t="shared" si="45"/>
        <v>44912</v>
      </c>
      <c r="E758" s="6">
        <v>32.119444444440902</v>
      </c>
      <c r="F758" s="6" t="str" cm="1">
        <f t="array" ref="F758">_xlfn.IFS(
     AND(HOUR(session_data[[#This Row],[Time]])&gt;5,HOUR(session_data[[#This Row],[Time]])&lt;12),"Morning",
     AND(HOUR(session_data[[#This Row],[Time]])&gt;=12,HOUR(session_data[[#This Row],[Time]])&lt;17),"Afternoon",
     AND(HOUR(session_data[[#This Row],[Time]])&gt;=17,HOUR(session_data[[#This Row],[Time]])&lt;21),"Evening",
     TRUE,"Night"
)</f>
        <v>Night</v>
      </c>
      <c r="G758" s="1">
        <f t="shared" si="46"/>
        <v>2022</v>
      </c>
      <c r="H758" s="1" t="str">
        <f t="shared" si="47"/>
        <v>Dec</v>
      </c>
      <c r="I758" s="1" t="str">
        <f t="shared" si="44"/>
        <v>Sat</v>
      </c>
      <c r="J758" s="1" t="s">
        <v>11</v>
      </c>
      <c r="K758" s="1" t="s">
        <v>29</v>
      </c>
      <c r="L758" s="1" t="s">
        <v>50</v>
      </c>
      <c r="M758" s="1" t="s">
        <v>19</v>
      </c>
      <c r="N758" s="1" t="s">
        <v>22</v>
      </c>
      <c r="O758" t="s">
        <v>15</v>
      </c>
    </row>
    <row r="759" spans="1:15" x14ac:dyDescent="0.25">
      <c r="A759" s="1" t="s">
        <v>1150</v>
      </c>
      <c r="B759" s="1" t="s">
        <v>1151</v>
      </c>
      <c r="C759" s="2">
        <v>44876.864583333336</v>
      </c>
      <c r="D759" s="4">
        <f t="shared" si="45"/>
        <v>44876</v>
      </c>
      <c r="E759" s="6">
        <v>32.161111111107601</v>
      </c>
      <c r="F759" s="6" t="str" cm="1">
        <f t="array" ref="F759">_xlfn.IFS(
     AND(HOUR(session_data[[#This Row],[Time]])&gt;5,HOUR(session_data[[#This Row],[Time]])&lt;12),"Morning",
     AND(HOUR(session_data[[#This Row],[Time]])&gt;=12,HOUR(session_data[[#This Row],[Time]])&lt;17),"Afternoon",
     AND(HOUR(session_data[[#This Row],[Time]])&gt;=17,HOUR(session_data[[#This Row],[Time]])&lt;21),"Evening",
     TRUE,"Night"
)</f>
        <v>Night</v>
      </c>
      <c r="G759" s="1">
        <f t="shared" si="46"/>
        <v>2022</v>
      </c>
      <c r="H759" s="1" t="str">
        <f t="shared" si="47"/>
        <v>Nov</v>
      </c>
      <c r="I759" s="1" t="str">
        <f t="shared" si="44"/>
        <v>Fri</v>
      </c>
      <c r="J759" s="1" t="s">
        <v>44</v>
      </c>
      <c r="K759" s="1" t="s">
        <v>29</v>
      </c>
      <c r="L759" s="1" t="s">
        <v>41</v>
      </c>
      <c r="M759" s="1" t="s">
        <v>40</v>
      </c>
      <c r="N759" s="1" t="s">
        <v>14</v>
      </c>
      <c r="O759" t="s">
        <v>45</v>
      </c>
    </row>
    <row r="760" spans="1:15" x14ac:dyDescent="0.25">
      <c r="A760" s="1" t="s">
        <v>1152</v>
      </c>
      <c r="B760" s="1" t="s">
        <v>1153</v>
      </c>
      <c r="C760" s="2">
        <v>44807.145833333336</v>
      </c>
      <c r="D760" s="4">
        <f t="shared" si="45"/>
        <v>44807</v>
      </c>
      <c r="E760" s="6">
        <v>32.202777777774202</v>
      </c>
      <c r="F760" s="6" t="str" cm="1">
        <f t="array" ref="F760">_xlfn.IFS(
     AND(HOUR(session_data[[#This Row],[Time]])&gt;5,HOUR(session_data[[#This Row],[Time]])&lt;12),"Morning",
     AND(HOUR(session_data[[#This Row],[Time]])&gt;=12,HOUR(session_data[[#This Row],[Time]])&lt;17),"Afternoon",
     AND(HOUR(session_data[[#This Row],[Time]])&gt;=17,HOUR(session_data[[#This Row],[Time]])&lt;21),"Evening",
     TRUE,"Night"
)</f>
        <v>Night</v>
      </c>
      <c r="G760" s="1">
        <f t="shared" si="46"/>
        <v>2022</v>
      </c>
      <c r="H760" s="1" t="str">
        <f t="shared" si="47"/>
        <v>Sep</v>
      </c>
      <c r="I760" s="1" t="str">
        <f t="shared" si="44"/>
        <v>Sat</v>
      </c>
      <c r="J760" s="1" t="s">
        <v>28</v>
      </c>
      <c r="K760" s="1" t="s">
        <v>12</v>
      </c>
      <c r="L760" s="1" t="s">
        <v>59</v>
      </c>
      <c r="M760" s="1" t="s">
        <v>19</v>
      </c>
      <c r="N760" s="1" t="s">
        <v>14</v>
      </c>
      <c r="O760" t="s">
        <v>15</v>
      </c>
    </row>
    <row r="761" spans="1:15" x14ac:dyDescent="0.25">
      <c r="A761" s="1" t="s">
        <v>1154</v>
      </c>
      <c r="B761" s="1" t="s">
        <v>1153</v>
      </c>
      <c r="C761" s="2">
        <v>44685.1875</v>
      </c>
      <c r="D761" s="4">
        <f t="shared" si="45"/>
        <v>44685</v>
      </c>
      <c r="E761" s="6">
        <v>32.244444444440902</v>
      </c>
      <c r="F761" s="6" t="str" cm="1">
        <f t="array" ref="F761">_xlfn.IFS(
     AND(HOUR(session_data[[#This Row],[Time]])&gt;5,HOUR(session_data[[#This Row],[Time]])&lt;12),"Morning",
     AND(HOUR(session_data[[#This Row],[Time]])&gt;=12,HOUR(session_data[[#This Row],[Time]])&lt;17),"Afternoon",
     AND(HOUR(session_data[[#This Row],[Time]])&gt;=17,HOUR(session_data[[#This Row],[Time]])&lt;21),"Evening",
     TRUE,"Night"
)</f>
        <v>Night</v>
      </c>
      <c r="G761" s="1">
        <f t="shared" si="46"/>
        <v>2022</v>
      </c>
      <c r="H761" s="1" t="str">
        <f t="shared" si="47"/>
        <v>May</v>
      </c>
      <c r="I761" s="1" t="str">
        <f t="shared" si="44"/>
        <v>Wed</v>
      </c>
      <c r="J761" s="1" t="s">
        <v>28</v>
      </c>
      <c r="K761" s="1" t="s">
        <v>12</v>
      </c>
      <c r="L761" s="1" t="s">
        <v>59</v>
      </c>
      <c r="M761" s="1" t="s">
        <v>19</v>
      </c>
      <c r="N761" s="1" t="s">
        <v>22</v>
      </c>
      <c r="O761" t="s">
        <v>15</v>
      </c>
    </row>
    <row r="762" spans="1:15" x14ac:dyDescent="0.25">
      <c r="A762" s="1" t="s">
        <v>1155</v>
      </c>
      <c r="B762" s="1" t="s">
        <v>1156</v>
      </c>
      <c r="C762" s="3">
        <v>44592.52847222222</v>
      </c>
      <c r="D762" s="4">
        <f t="shared" si="45"/>
        <v>44592</v>
      </c>
      <c r="E762" s="6">
        <v>32.286111111107601</v>
      </c>
      <c r="F762" s="6" t="str" cm="1">
        <f t="array" ref="F762">_xlfn.IFS(
     AND(HOUR(session_data[[#This Row],[Time]])&gt;5,HOUR(session_data[[#This Row],[Time]])&lt;12),"Morning",
     AND(HOUR(session_data[[#This Row],[Time]])&gt;=12,HOUR(session_data[[#This Row],[Time]])&lt;17),"Afternoon",
     AND(HOUR(session_data[[#This Row],[Time]])&gt;=17,HOUR(session_data[[#This Row],[Time]])&lt;21),"Evening",
     TRUE,"Night"
)</f>
        <v>Morning</v>
      </c>
      <c r="G762" s="1">
        <f t="shared" si="46"/>
        <v>2022</v>
      </c>
      <c r="H762" s="1" t="str">
        <f t="shared" si="47"/>
        <v>Jan</v>
      </c>
      <c r="I762" s="1" t="str">
        <f t="shared" si="44"/>
        <v>Mon</v>
      </c>
      <c r="J762" s="1" t="s">
        <v>11</v>
      </c>
      <c r="K762" s="1" t="s">
        <v>12</v>
      </c>
      <c r="L762" s="1" t="s">
        <v>13</v>
      </c>
      <c r="M762" s="1" t="s">
        <v>32</v>
      </c>
      <c r="N762" s="1" t="s">
        <v>14</v>
      </c>
      <c r="O762" t="s">
        <v>45</v>
      </c>
    </row>
    <row r="763" spans="1:15" x14ac:dyDescent="0.25">
      <c r="A763" s="1" t="s">
        <v>1157</v>
      </c>
      <c r="B763" s="1" t="s">
        <v>1156</v>
      </c>
      <c r="C763" s="3">
        <v>44610.90347222222</v>
      </c>
      <c r="D763" s="4">
        <f t="shared" si="45"/>
        <v>44610</v>
      </c>
      <c r="E763" s="6">
        <v>32.327777777774202</v>
      </c>
      <c r="F763" s="6" t="str" cm="1">
        <f t="array" ref="F763">_xlfn.IFS(
     AND(HOUR(session_data[[#This Row],[Time]])&gt;5,HOUR(session_data[[#This Row],[Time]])&lt;12),"Morning",
     AND(HOUR(session_data[[#This Row],[Time]])&gt;=12,HOUR(session_data[[#This Row],[Time]])&lt;17),"Afternoon",
     AND(HOUR(session_data[[#This Row],[Time]])&gt;=17,HOUR(session_data[[#This Row],[Time]])&lt;21),"Evening",
     TRUE,"Night"
)</f>
        <v>Morning</v>
      </c>
      <c r="G763" s="1">
        <f t="shared" si="46"/>
        <v>2022</v>
      </c>
      <c r="H763" s="1" t="str">
        <f t="shared" si="47"/>
        <v>Feb</v>
      </c>
      <c r="I763" s="1" t="str">
        <f t="shared" si="44"/>
        <v>Fri</v>
      </c>
      <c r="J763" s="1" t="s">
        <v>11</v>
      </c>
      <c r="K763" s="1" t="s">
        <v>12</v>
      </c>
      <c r="L763" s="1" t="s">
        <v>13</v>
      </c>
      <c r="M763" s="1" t="s">
        <v>32</v>
      </c>
      <c r="N763" s="1" t="s">
        <v>22</v>
      </c>
      <c r="O763" t="s">
        <v>45</v>
      </c>
    </row>
    <row r="764" spans="1:15" x14ac:dyDescent="0.25">
      <c r="A764" s="1" t="s">
        <v>1158</v>
      </c>
      <c r="B764" s="1" t="s">
        <v>1159</v>
      </c>
      <c r="C764" s="3">
        <v>44592.214583333334</v>
      </c>
      <c r="D764" s="4">
        <f t="shared" si="45"/>
        <v>44592</v>
      </c>
      <c r="E764" s="6">
        <v>32.369444444440902</v>
      </c>
      <c r="F764" s="6" t="str" cm="1">
        <f t="array" ref="F764">_xlfn.IFS(
     AND(HOUR(session_data[[#This Row],[Time]])&gt;5,HOUR(session_data[[#This Row],[Time]])&lt;12),"Morning",
     AND(HOUR(session_data[[#This Row],[Time]])&gt;=12,HOUR(session_data[[#This Row],[Time]])&lt;17),"Afternoon",
     AND(HOUR(session_data[[#This Row],[Time]])&gt;=17,HOUR(session_data[[#This Row],[Time]])&lt;21),"Evening",
     TRUE,"Night"
)</f>
        <v>Morning</v>
      </c>
      <c r="G764" s="1">
        <f t="shared" si="46"/>
        <v>2022</v>
      </c>
      <c r="H764" s="1" t="str">
        <f t="shared" si="47"/>
        <v>Jan</v>
      </c>
      <c r="I764" s="1" t="str">
        <f t="shared" si="44"/>
        <v>Mon</v>
      </c>
      <c r="J764" s="1" t="s">
        <v>66</v>
      </c>
      <c r="K764" s="1" t="s">
        <v>12</v>
      </c>
      <c r="L764" s="1" t="s">
        <v>79</v>
      </c>
      <c r="M764" s="1" t="s">
        <v>40</v>
      </c>
      <c r="N764" s="1" t="s">
        <v>14</v>
      </c>
      <c r="O764" t="s">
        <v>45</v>
      </c>
    </row>
    <row r="765" spans="1:15" x14ac:dyDescent="0.25">
      <c r="A765" s="1" t="s">
        <v>1160</v>
      </c>
      <c r="B765" s="1" t="s">
        <v>1159</v>
      </c>
      <c r="C765" s="3">
        <v>44613.506249999999</v>
      </c>
      <c r="D765" s="4">
        <f t="shared" si="45"/>
        <v>44613</v>
      </c>
      <c r="E765" s="6">
        <v>32.411111111107601</v>
      </c>
      <c r="F765" s="6" t="str" cm="1">
        <f t="array" ref="F765">_xlfn.IFS(
     AND(HOUR(session_data[[#This Row],[Time]])&gt;5,HOUR(session_data[[#This Row],[Time]])&lt;12),"Morning",
     AND(HOUR(session_data[[#This Row],[Time]])&gt;=12,HOUR(session_data[[#This Row],[Time]])&lt;17),"Afternoon",
     AND(HOUR(session_data[[#This Row],[Time]])&gt;=17,HOUR(session_data[[#This Row],[Time]])&lt;21),"Evening",
     TRUE,"Night"
)</f>
        <v>Morning</v>
      </c>
      <c r="G765" s="1">
        <f t="shared" si="46"/>
        <v>2022</v>
      </c>
      <c r="H765" s="1" t="str">
        <f t="shared" si="47"/>
        <v>Feb</v>
      </c>
      <c r="I765" s="1" t="str">
        <f t="shared" si="44"/>
        <v>Mon</v>
      </c>
      <c r="J765" s="1" t="s">
        <v>66</v>
      </c>
      <c r="K765" s="1" t="s">
        <v>12</v>
      </c>
      <c r="L765" s="1" t="s">
        <v>79</v>
      </c>
      <c r="M765" s="1" t="s">
        <v>40</v>
      </c>
      <c r="N765" s="1" t="s">
        <v>22</v>
      </c>
      <c r="O765" t="s">
        <v>45</v>
      </c>
    </row>
    <row r="766" spans="1:15" x14ac:dyDescent="0.25">
      <c r="A766" s="1" t="s">
        <v>1161</v>
      </c>
      <c r="B766" s="1" t="s">
        <v>1162</v>
      </c>
      <c r="C766" s="2">
        <v>44715.356944444444</v>
      </c>
      <c r="D766" s="4">
        <f t="shared" si="45"/>
        <v>44715</v>
      </c>
      <c r="E766" s="6">
        <v>32.452777777774202</v>
      </c>
      <c r="F766" s="6" t="str" cm="1">
        <f t="array" ref="F766">_xlfn.IFS(
     AND(HOUR(session_data[[#This Row],[Time]])&gt;5,HOUR(session_data[[#This Row],[Time]])&lt;12),"Morning",
     AND(HOUR(session_data[[#This Row],[Time]])&gt;=12,HOUR(session_data[[#This Row],[Time]])&lt;17),"Afternoon",
     AND(HOUR(session_data[[#This Row],[Time]])&gt;=17,HOUR(session_data[[#This Row],[Time]])&lt;21),"Evening",
     TRUE,"Night"
)</f>
        <v>Morning</v>
      </c>
      <c r="G766" s="1">
        <f t="shared" si="46"/>
        <v>2022</v>
      </c>
      <c r="H766" s="1" t="str">
        <f t="shared" si="47"/>
        <v>Jun</v>
      </c>
      <c r="I766" s="1" t="str">
        <f t="shared" si="44"/>
        <v>Fri</v>
      </c>
      <c r="J766" s="1" t="s">
        <v>11</v>
      </c>
      <c r="K766" s="1" t="s">
        <v>12</v>
      </c>
      <c r="L766" s="1" t="s">
        <v>119</v>
      </c>
      <c r="M766" s="1" t="s">
        <v>40</v>
      </c>
      <c r="N766" s="1" t="s">
        <v>14</v>
      </c>
      <c r="O766" t="s">
        <v>45</v>
      </c>
    </row>
    <row r="767" spans="1:15" x14ac:dyDescent="0.25">
      <c r="A767" s="1" t="s">
        <v>1163</v>
      </c>
      <c r="B767" s="1" t="s">
        <v>1162</v>
      </c>
      <c r="C767" s="3">
        <v>44647.69027777778</v>
      </c>
      <c r="D767" s="4">
        <f t="shared" si="45"/>
        <v>44647</v>
      </c>
      <c r="E767" s="6">
        <v>32.494444444440902</v>
      </c>
      <c r="F767" s="6" t="str" cm="1">
        <f t="array" ref="F767">_xlfn.IFS(
     AND(HOUR(session_data[[#This Row],[Time]])&gt;5,HOUR(session_data[[#This Row],[Time]])&lt;12),"Morning",
     AND(HOUR(session_data[[#This Row],[Time]])&gt;=12,HOUR(session_data[[#This Row],[Time]])&lt;17),"Afternoon",
     AND(HOUR(session_data[[#This Row],[Time]])&gt;=17,HOUR(session_data[[#This Row],[Time]])&lt;21),"Evening",
     TRUE,"Night"
)</f>
        <v>Morning</v>
      </c>
      <c r="G767" s="1">
        <f t="shared" si="46"/>
        <v>2022</v>
      </c>
      <c r="H767" s="1" t="str">
        <f t="shared" si="47"/>
        <v>Mar</v>
      </c>
      <c r="I767" s="1" t="str">
        <f t="shared" si="44"/>
        <v>Sun</v>
      </c>
      <c r="J767" s="1" t="s">
        <v>11</v>
      </c>
      <c r="K767" s="1" t="s">
        <v>12</v>
      </c>
      <c r="L767" s="1" t="s">
        <v>119</v>
      </c>
      <c r="M767" s="1" t="s">
        <v>40</v>
      </c>
      <c r="N767" s="1" t="s">
        <v>22</v>
      </c>
      <c r="O767" t="s">
        <v>45</v>
      </c>
    </row>
    <row r="768" spans="1:15" x14ac:dyDescent="0.25">
      <c r="A768" s="1" t="s">
        <v>1164</v>
      </c>
      <c r="B768" s="1" t="s">
        <v>1162</v>
      </c>
      <c r="C768" s="2">
        <v>44625.148611111108</v>
      </c>
      <c r="D768" s="4">
        <f t="shared" si="45"/>
        <v>44625</v>
      </c>
      <c r="E768" s="6">
        <v>32.536111111107601</v>
      </c>
      <c r="F768" s="6" t="str" cm="1">
        <f t="array" ref="F768">_xlfn.IFS(
     AND(HOUR(session_data[[#This Row],[Time]])&gt;5,HOUR(session_data[[#This Row],[Time]])&lt;12),"Morning",
     AND(HOUR(session_data[[#This Row],[Time]])&gt;=12,HOUR(session_data[[#This Row],[Time]])&lt;17),"Afternoon",
     AND(HOUR(session_data[[#This Row],[Time]])&gt;=17,HOUR(session_data[[#This Row],[Time]])&lt;21),"Evening",
     TRUE,"Night"
)</f>
        <v>Afternoon</v>
      </c>
      <c r="G768" s="1">
        <f t="shared" si="46"/>
        <v>2022</v>
      </c>
      <c r="H768" s="1" t="str">
        <f t="shared" si="47"/>
        <v>Mar</v>
      </c>
      <c r="I768" s="1" t="str">
        <f t="shared" si="44"/>
        <v>Sat</v>
      </c>
      <c r="J768" s="1" t="s">
        <v>11</v>
      </c>
      <c r="K768" s="1" t="s">
        <v>12</v>
      </c>
      <c r="L768" s="1" t="s">
        <v>119</v>
      </c>
      <c r="M768" s="1" t="s">
        <v>40</v>
      </c>
      <c r="N768" s="1" t="s">
        <v>22</v>
      </c>
      <c r="O768" t="s">
        <v>45</v>
      </c>
    </row>
    <row r="769" spans="1:15" x14ac:dyDescent="0.25">
      <c r="A769" s="1" t="s">
        <v>1165</v>
      </c>
      <c r="B769" s="1" t="s">
        <v>1162</v>
      </c>
      <c r="C769" s="2">
        <v>44900.69027777778</v>
      </c>
      <c r="D769" s="4">
        <f t="shared" si="45"/>
        <v>44900</v>
      </c>
      <c r="E769" s="6">
        <v>32.577777777774202</v>
      </c>
      <c r="F769" s="6" t="str" cm="1">
        <f t="array" ref="F769">_xlfn.IFS(
     AND(HOUR(session_data[[#This Row],[Time]])&gt;5,HOUR(session_data[[#This Row],[Time]])&lt;12),"Morning",
     AND(HOUR(session_data[[#This Row],[Time]])&gt;=12,HOUR(session_data[[#This Row],[Time]])&lt;17),"Afternoon",
     AND(HOUR(session_data[[#This Row],[Time]])&gt;=17,HOUR(session_data[[#This Row],[Time]])&lt;21),"Evening",
     TRUE,"Night"
)</f>
        <v>Afternoon</v>
      </c>
      <c r="G769" s="1">
        <f t="shared" si="46"/>
        <v>2022</v>
      </c>
      <c r="H769" s="1" t="str">
        <f t="shared" si="47"/>
        <v>Dec</v>
      </c>
      <c r="I769" s="1" t="str">
        <f t="shared" si="44"/>
        <v>Mon</v>
      </c>
      <c r="J769" s="1" t="s">
        <v>11</v>
      </c>
      <c r="K769" s="1" t="s">
        <v>12</v>
      </c>
      <c r="L769" s="1" t="s">
        <v>119</v>
      </c>
      <c r="M769" s="1" t="s">
        <v>40</v>
      </c>
      <c r="N769" s="1" t="s">
        <v>22</v>
      </c>
      <c r="O769" t="s">
        <v>45</v>
      </c>
    </row>
    <row r="770" spans="1:15" x14ac:dyDescent="0.25">
      <c r="A770" s="1" t="s">
        <v>1166</v>
      </c>
      <c r="B770" s="1" t="s">
        <v>1167</v>
      </c>
      <c r="C770" s="2">
        <v>44875.298611111109</v>
      </c>
      <c r="D770" s="4">
        <f t="shared" si="45"/>
        <v>44875</v>
      </c>
      <c r="E770" s="6">
        <v>32.619444444440902</v>
      </c>
      <c r="F770" s="6" t="str" cm="1">
        <f t="array" ref="F770">_xlfn.IFS(
     AND(HOUR(session_data[[#This Row],[Time]])&gt;5,HOUR(session_data[[#This Row],[Time]])&lt;12),"Morning",
     AND(HOUR(session_data[[#This Row],[Time]])&gt;=12,HOUR(session_data[[#This Row],[Time]])&lt;17),"Afternoon",
     AND(HOUR(session_data[[#This Row],[Time]])&gt;=17,HOUR(session_data[[#This Row],[Time]])&lt;21),"Evening",
     TRUE,"Night"
)</f>
        <v>Afternoon</v>
      </c>
      <c r="G770" s="1">
        <f t="shared" si="46"/>
        <v>2022</v>
      </c>
      <c r="H770" s="1" t="str">
        <f t="shared" si="47"/>
        <v>Nov</v>
      </c>
      <c r="I770" s="1" t="str">
        <f t="shared" ref="I770:I833" si="48">TEXT(D770,"DDD")</f>
        <v>Thu</v>
      </c>
      <c r="J770" s="1" t="s">
        <v>66</v>
      </c>
      <c r="K770" s="1" t="s">
        <v>29</v>
      </c>
      <c r="L770" s="1" t="s">
        <v>79</v>
      </c>
      <c r="M770" s="1" t="s">
        <v>40</v>
      </c>
      <c r="N770" s="1" t="s">
        <v>14</v>
      </c>
      <c r="O770" t="s">
        <v>15</v>
      </c>
    </row>
    <row r="771" spans="1:15" x14ac:dyDescent="0.25">
      <c r="A771" s="1" t="s">
        <v>1168</v>
      </c>
      <c r="B771" s="1" t="s">
        <v>1169</v>
      </c>
      <c r="C771" s="3">
        <v>44732.674305555556</v>
      </c>
      <c r="D771" s="4">
        <f t="shared" ref="D771:D834" si="49">INT(C771)</f>
        <v>44732</v>
      </c>
      <c r="E771" s="6">
        <v>32.661111111107601</v>
      </c>
      <c r="F771" s="6" t="str" cm="1">
        <f t="array" ref="F771">_xlfn.IFS(
     AND(HOUR(session_data[[#This Row],[Time]])&gt;5,HOUR(session_data[[#This Row],[Time]])&lt;12),"Morning",
     AND(HOUR(session_data[[#This Row],[Time]])&gt;=12,HOUR(session_data[[#This Row],[Time]])&lt;17),"Afternoon",
     AND(HOUR(session_data[[#This Row],[Time]])&gt;=17,HOUR(session_data[[#This Row],[Time]])&lt;21),"Evening",
     TRUE,"Night"
)</f>
        <v>Afternoon</v>
      </c>
      <c r="G771" s="1">
        <f t="shared" ref="G771:G834" si="50">YEAR(D771)</f>
        <v>2022</v>
      </c>
      <c r="H771" s="1" t="str">
        <f t="shared" ref="H771:H834" si="51">TEXT(D771,"MMM")</f>
        <v>Jun</v>
      </c>
      <c r="I771" s="1" t="str">
        <f t="shared" si="48"/>
        <v>Mon</v>
      </c>
      <c r="J771" s="1" t="s">
        <v>28</v>
      </c>
      <c r="K771" s="1" t="s">
        <v>12</v>
      </c>
      <c r="L771" s="1" t="s">
        <v>20</v>
      </c>
      <c r="M771" s="1" t="s">
        <v>19</v>
      </c>
      <c r="N771" s="1" t="s">
        <v>14</v>
      </c>
      <c r="O771" t="s">
        <v>15</v>
      </c>
    </row>
    <row r="772" spans="1:15" x14ac:dyDescent="0.25">
      <c r="A772" s="1" t="s">
        <v>1170</v>
      </c>
      <c r="B772" s="1" t="s">
        <v>1169</v>
      </c>
      <c r="C772" s="3">
        <v>44741.549305555556</v>
      </c>
      <c r="D772" s="4">
        <f t="shared" si="49"/>
        <v>44741</v>
      </c>
      <c r="E772" s="6">
        <v>32.702777777774202</v>
      </c>
      <c r="F772" s="6" t="str" cm="1">
        <f t="array" ref="F772">_xlfn.IFS(
     AND(HOUR(session_data[[#This Row],[Time]])&gt;5,HOUR(session_data[[#This Row],[Time]])&lt;12),"Morning",
     AND(HOUR(session_data[[#This Row],[Time]])&gt;=12,HOUR(session_data[[#This Row],[Time]])&lt;17),"Afternoon",
     AND(HOUR(session_data[[#This Row],[Time]])&gt;=17,HOUR(session_data[[#This Row],[Time]])&lt;21),"Evening",
     TRUE,"Night"
)</f>
        <v>Afternoon</v>
      </c>
      <c r="G772" s="1">
        <f t="shared" si="50"/>
        <v>2022</v>
      </c>
      <c r="H772" s="1" t="str">
        <f t="shared" si="51"/>
        <v>Jun</v>
      </c>
      <c r="I772" s="1" t="str">
        <f t="shared" si="48"/>
        <v>Wed</v>
      </c>
      <c r="J772" s="1" t="s">
        <v>28</v>
      </c>
      <c r="K772" s="1" t="s">
        <v>12</v>
      </c>
      <c r="L772" s="1" t="s">
        <v>20</v>
      </c>
      <c r="M772" s="1" t="s">
        <v>19</v>
      </c>
      <c r="N772" s="1" t="s">
        <v>22</v>
      </c>
      <c r="O772" t="s">
        <v>15</v>
      </c>
    </row>
    <row r="773" spans="1:15" x14ac:dyDescent="0.25">
      <c r="A773" s="1" t="s">
        <v>1171</v>
      </c>
      <c r="B773" s="1" t="s">
        <v>1169</v>
      </c>
      <c r="C773" s="3">
        <v>44769.46597222222</v>
      </c>
      <c r="D773" s="4">
        <f t="shared" si="49"/>
        <v>44769</v>
      </c>
      <c r="E773" s="6">
        <v>32.744444444440902</v>
      </c>
      <c r="F773" s="6" t="str" cm="1">
        <f t="array" ref="F773">_xlfn.IFS(
     AND(HOUR(session_data[[#This Row],[Time]])&gt;5,HOUR(session_data[[#This Row],[Time]])&lt;12),"Morning",
     AND(HOUR(session_data[[#This Row],[Time]])&gt;=12,HOUR(session_data[[#This Row],[Time]])&lt;17),"Afternoon",
     AND(HOUR(session_data[[#This Row],[Time]])&gt;=17,HOUR(session_data[[#This Row],[Time]])&lt;21),"Evening",
     TRUE,"Night"
)</f>
        <v>Evening</v>
      </c>
      <c r="G773" s="1">
        <f t="shared" si="50"/>
        <v>2022</v>
      </c>
      <c r="H773" s="1" t="str">
        <f t="shared" si="51"/>
        <v>Jul</v>
      </c>
      <c r="I773" s="1" t="str">
        <f t="shared" si="48"/>
        <v>Wed</v>
      </c>
      <c r="J773" s="1" t="s">
        <v>28</v>
      </c>
      <c r="K773" s="1" t="s">
        <v>12</v>
      </c>
      <c r="L773" s="1" t="s">
        <v>20</v>
      </c>
      <c r="M773" s="1" t="s">
        <v>19</v>
      </c>
      <c r="N773" s="1" t="s">
        <v>22</v>
      </c>
      <c r="O773" t="s">
        <v>15</v>
      </c>
    </row>
    <row r="774" spans="1:15" x14ac:dyDescent="0.25">
      <c r="A774" s="1" t="s">
        <v>1172</v>
      </c>
      <c r="B774" s="1" t="s">
        <v>1169</v>
      </c>
      <c r="C774" s="3">
        <v>44799.59097222222</v>
      </c>
      <c r="D774" s="4">
        <f t="shared" si="49"/>
        <v>44799</v>
      </c>
      <c r="E774" s="6">
        <v>32.786111111107601</v>
      </c>
      <c r="F774" s="6" t="str" cm="1">
        <f t="array" ref="F774">_xlfn.IFS(
     AND(HOUR(session_data[[#This Row],[Time]])&gt;5,HOUR(session_data[[#This Row],[Time]])&lt;12),"Morning",
     AND(HOUR(session_data[[#This Row],[Time]])&gt;=12,HOUR(session_data[[#This Row],[Time]])&lt;17),"Afternoon",
     AND(HOUR(session_data[[#This Row],[Time]])&gt;=17,HOUR(session_data[[#This Row],[Time]])&lt;21),"Evening",
     TRUE,"Night"
)</f>
        <v>Evening</v>
      </c>
      <c r="G774" s="1">
        <f t="shared" si="50"/>
        <v>2022</v>
      </c>
      <c r="H774" s="1" t="str">
        <f t="shared" si="51"/>
        <v>Aug</v>
      </c>
      <c r="I774" s="1" t="str">
        <f t="shared" si="48"/>
        <v>Fri</v>
      </c>
      <c r="J774" s="1" t="s">
        <v>28</v>
      </c>
      <c r="K774" s="1" t="s">
        <v>12</v>
      </c>
      <c r="L774" s="1" t="s">
        <v>20</v>
      </c>
      <c r="M774" s="1" t="s">
        <v>19</v>
      </c>
      <c r="N774" s="1" t="s">
        <v>22</v>
      </c>
      <c r="O774" t="s">
        <v>15</v>
      </c>
    </row>
    <row r="775" spans="1:15" x14ac:dyDescent="0.25">
      <c r="A775" s="1" t="s">
        <v>1173</v>
      </c>
      <c r="B775" s="1" t="s">
        <v>1169</v>
      </c>
      <c r="C775" s="3">
        <v>44824.424305555556</v>
      </c>
      <c r="D775" s="4">
        <f t="shared" si="49"/>
        <v>44824</v>
      </c>
      <c r="E775" s="6">
        <v>32.827777777774202</v>
      </c>
      <c r="F775" s="6" t="str" cm="1">
        <f t="array" ref="F775">_xlfn.IFS(
     AND(HOUR(session_data[[#This Row],[Time]])&gt;5,HOUR(session_data[[#This Row],[Time]])&lt;12),"Morning",
     AND(HOUR(session_data[[#This Row],[Time]])&gt;=12,HOUR(session_data[[#This Row],[Time]])&lt;17),"Afternoon",
     AND(HOUR(session_data[[#This Row],[Time]])&gt;=17,HOUR(session_data[[#This Row],[Time]])&lt;21),"Evening",
     TRUE,"Night"
)</f>
        <v>Evening</v>
      </c>
      <c r="G775" s="1">
        <f t="shared" si="50"/>
        <v>2022</v>
      </c>
      <c r="H775" s="1" t="str">
        <f t="shared" si="51"/>
        <v>Sep</v>
      </c>
      <c r="I775" s="1" t="str">
        <f t="shared" si="48"/>
        <v>Tue</v>
      </c>
      <c r="J775" s="1" t="s">
        <v>28</v>
      </c>
      <c r="K775" s="1" t="s">
        <v>12</v>
      </c>
      <c r="L775" s="1" t="s">
        <v>20</v>
      </c>
      <c r="M775" s="1" t="s">
        <v>19</v>
      </c>
      <c r="N775" s="1" t="s">
        <v>22</v>
      </c>
      <c r="O775" t="s">
        <v>15</v>
      </c>
    </row>
    <row r="776" spans="1:15" x14ac:dyDescent="0.25">
      <c r="A776" s="1" t="s">
        <v>1174</v>
      </c>
      <c r="B776" s="1" t="s">
        <v>1175</v>
      </c>
      <c r="C776" s="2">
        <v>44715.265277777777</v>
      </c>
      <c r="D776" s="4">
        <f t="shared" si="49"/>
        <v>44715</v>
      </c>
      <c r="E776" s="6">
        <v>32.869444444440902</v>
      </c>
      <c r="F776" s="6" t="str" cm="1">
        <f t="array" ref="F776">_xlfn.IFS(
     AND(HOUR(session_data[[#This Row],[Time]])&gt;5,HOUR(session_data[[#This Row],[Time]])&lt;12),"Morning",
     AND(HOUR(session_data[[#This Row],[Time]])&gt;=12,HOUR(session_data[[#This Row],[Time]])&lt;17),"Afternoon",
     AND(HOUR(session_data[[#This Row],[Time]])&gt;=17,HOUR(session_data[[#This Row],[Time]])&lt;21),"Evening",
     TRUE,"Night"
)</f>
        <v>Evening</v>
      </c>
      <c r="G776" s="1">
        <f t="shared" si="50"/>
        <v>2022</v>
      </c>
      <c r="H776" s="1" t="str">
        <f t="shared" si="51"/>
        <v>Jun</v>
      </c>
      <c r="I776" s="1" t="str">
        <f t="shared" si="48"/>
        <v>Fri</v>
      </c>
      <c r="J776" s="1" t="s">
        <v>66</v>
      </c>
      <c r="K776" s="1" t="s">
        <v>12</v>
      </c>
      <c r="L776" s="1" t="s">
        <v>20</v>
      </c>
      <c r="M776" s="1" t="s">
        <v>19</v>
      </c>
      <c r="N776" s="1" t="s">
        <v>14</v>
      </c>
      <c r="O776" t="s">
        <v>45</v>
      </c>
    </row>
    <row r="777" spans="1:15" x14ac:dyDescent="0.25">
      <c r="A777" s="1" t="s">
        <v>1176</v>
      </c>
      <c r="B777" s="1" t="s">
        <v>1175</v>
      </c>
      <c r="C777" s="3">
        <v>44647.265277777777</v>
      </c>
      <c r="D777" s="4">
        <f t="shared" si="49"/>
        <v>44647</v>
      </c>
      <c r="E777" s="6">
        <v>32.911111111107601</v>
      </c>
      <c r="F777" s="6" t="str" cm="1">
        <f t="array" ref="F777">_xlfn.IFS(
     AND(HOUR(session_data[[#This Row],[Time]])&gt;5,HOUR(session_data[[#This Row],[Time]])&lt;12),"Morning",
     AND(HOUR(session_data[[#This Row],[Time]])&gt;=12,HOUR(session_data[[#This Row],[Time]])&lt;17),"Afternoon",
     AND(HOUR(session_data[[#This Row],[Time]])&gt;=17,HOUR(session_data[[#This Row],[Time]])&lt;21),"Evening",
     TRUE,"Night"
)</f>
        <v>Night</v>
      </c>
      <c r="G777" s="1">
        <f t="shared" si="50"/>
        <v>2022</v>
      </c>
      <c r="H777" s="1" t="str">
        <f t="shared" si="51"/>
        <v>Mar</v>
      </c>
      <c r="I777" s="1" t="str">
        <f t="shared" si="48"/>
        <v>Sun</v>
      </c>
      <c r="J777" s="1" t="s">
        <v>66</v>
      </c>
      <c r="K777" s="1" t="s">
        <v>12</v>
      </c>
      <c r="L777" s="1" t="s">
        <v>20</v>
      </c>
      <c r="M777" s="1" t="s">
        <v>19</v>
      </c>
      <c r="N777" s="1" t="s">
        <v>22</v>
      </c>
      <c r="O777" t="s">
        <v>45</v>
      </c>
    </row>
    <row r="778" spans="1:15" x14ac:dyDescent="0.25">
      <c r="A778" s="1" t="s">
        <v>1177</v>
      </c>
      <c r="B778" s="1" t="s">
        <v>1175</v>
      </c>
      <c r="C778" s="3">
        <v>44671.598611111112</v>
      </c>
      <c r="D778" s="4">
        <f t="shared" si="49"/>
        <v>44671</v>
      </c>
      <c r="E778" s="6">
        <v>32.952777777774202</v>
      </c>
      <c r="F778" s="6" t="str" cm="1">
        <f t="array" ref="F778">_xlfn.IFS(
     AND(HOUR(session_data[[#This Row],[Time]])&gt;5,HOUR(session_data[[#This Row],[Time]])&lt;12),"Morning",
     AND(HOUR(session_data[[#This Row],[Time]])&gt;=12,HOUR(session_data[[#This Row],[Time]])&lt;17),"Afternoon",
     AND(HOUR(session_data[[#This Row],[Time]])&gt;=17,HOUR(session_data[[#This Row],[Time]])&lt;21),"Evening",
     TRUE,"Night"
)</f>
        <v>Night</v>
      </c>
      <c r="G778" s="1">
        <f t="shared" si="50"/>
        <v>2022</v>
      </c>
      <c r="H778" s="1" t="str">
        <f t="shared" si="51"/>
        <v>Apr</v>
      </c>
      <c r="I778" s="1" t="str">
        <f t="shared" si="48"/>
        <v>Wed</v>
      </c>
      <c r="J778" s="1" t="s">
        <v>66</v>
      </c>
      <c r="K778" s="1" t="s">
        <v>12</v>
      </c>
      <c r="L778" s="1" t="s">
        <v>20</v>
      </c>
      <c r="M778" s="1" t="s">
        <v>19</v>
      </c>
      <c r="N778" s="1" t="s">
        <v>22</v>
      </c>
      <c r="O778" t="s">
        <v>45</v>
      </c>
    </row>
    <row r="779" spans="1:15" x14ac:dyDescent="0.25">
      <c r="A779" s="1" t="s">
        <v>1178</v>
      </c>
      <c r="B779" s="1" t="s">
        <v>1175</v>
      </c>
      <c r="C779" s="2">
        <v>44809.306944444441</v>
      </c>
      <c r="D779" s="4">
        <f t="shared" si="49"/>
        <v>44809</v>
      </c>
      <c r="E779" s="6">
        <v>32.994444444440902</v>
      </c>
      <c r="F779" s="6" t="str" cm="1">
        <f t="array" ref="F779">_xlfn.IFS(
     AND(HOUR(session_data[[#This Row],[Time]])&gt;5,HOUR(session_data[[#This Row],[Time]])&lt;12),"Morning",
     AND(HOUR(session_data[[#This Row],[Time]])&gt;=12,HOUR(session_data[[#This Row],[Time]])&lt;17),"Afternoon",
     AND(HOUR(session_data[[#This Row],[Time]])&gt;=17,HOUR(session_data[[#This Row],[Time]])&lt;21),"Evening",
     TRUE,"Night"
)</f>
        <v>Night</v>
      </c>
      <c r="G779" s="1">
        <f t="shared" si="50"/>
        <v>2022</v>
      </c>
      <c r="H779" s="1" t="str">
        <f t="shared" si="51"/>
        <v>Sep</v>
      </c>
      <c r="I779" s="1" t="str">
        <f t="shared" si="48"/>
        <v>Mon</v>
      </c>
      <c r="J779" s="1" t="s">
        <v>66</v>
      </c>
      <c r="K779" s="1" t="s">
        <v>12</v>
      </c>
      <c r="L779" s="1" t="s">
        <v>20</v>
      </c>
      <c r="M779" s="1" t="s">
        <v>19</v>
      </c>
      <c r="N779" s="1" t="s">
        <v>22</v>
      </c>
      <c r="O779" t="s">
        <v>45</v>
      </c>
    </row>
    <row r="780" spans="1:15" x14ac:dyDescent="0.25">
      <c r="A780" s="1" t="s">
        <v>1179</v>
      </c>
      <c r="B780" s="1" t="s">
        <v>1180</v>
      </c>
      <c r="C780" s="2">
        <v>44685.399305555555</v>
      </c>
      <c r="D780" s="4">
        <f t="shared" si="49"/>
        <v>44685</v>
      </c>
      <c r="E780" s="6">
        <v>33.036111111107601</v>
      </c>
      <c r="F780" s="6" t="str" cm="1">
        <f t="array" ref="F780">_xlfn.IFS(
     AND(HOUR(session_data[[#This Row],[Time]])&gt;5,HOUR(session_data[[#This Row],[Time]])&lt;12),"Morning",
     AND(HOUR(session_data[[#This Row],[Time]])&gt;=12,HOUR(session_data[[#This Row],[Time]])&lt;17),"Afternoon",
     AND(HOUR(session_data[[#This Row],[Time]])&gt;=17,HOUR(session_data[[#This Row],[Time]])&lt;21),"Evening",
     TRUE,"Night"
)</f>
        <v>Night</v>
      </c>
      <c r="G780" s="1">
        <f t="shared" si="50"/>
        <v>2022</v>
      </c>
      <c r="H780" s="1" t="str">
        <f t="shared" si="51"/>
        <v>May</v>
      </c>
      <c r="I780" s="1" t="str">
        <f t="shared" si="48"/>
        <v>Wed</v>
      </c>
      <c r="J780" s="1" t="s">
        <v>18</v>
      </c>
      <c r="K780" s="1" t="s">
        <v>12</v>
      </c>
      <c r="L780" s="1" t="s">
        <v>94</v>
      </c>
      <c r="M780" s="1" t="s">
        <v>32</v>
      </c>
      <c r="N780" s="1" t="s">
        <v>14</v>
      </c>
      <c r="O780" t="s">
        <v>45</v>
      </c>
    </row>
    <row r="781" spans="1:15" x14ac:dyDescent="0.25">
      <c r="A781" s="1" t="s">
        <v>1181</v>
      </c>
      <c r="B781" s="1" t="s">
        <v>1182</v>
      </c>
      <c r="C781" s="2">
        <v>44900.618750000001</v>
      </c>
      <c r="D781" s="4">
        <f t="shared" si="49"/>
        <v>44900</v>
      </c>
      <c r="E781" s="6">
        <v>33.077777777774202</v>
      </c>
      <c r="F781" s="6" t="str" cm="1">
        <f t="array" ref="F781">_xlfn.IFS(
     AND(HOUR(session_data[[#This Row],[Time]])&gt;5,HOUR(session_data[[#This Row],[Time]])&lt;12),"Morning",
     AND(HOUR(session_data[[#This Row],[Time]])&gt;=12,HOUR(session_data[[#This Row],[Time]])&lt;17),"Afternoon",
     AND(HOUR(session_data[[#This Row],[Time]])&gt;=17,HOUR(session_data[[#This Row],[Time]])&lt;21),"Evening",
     TRUE,"Night"
)</f>
        <v>Night</v>
      </c>
      <c r="G781" s="1">
        <f t="shared" si="50"/>
        <v>2022</v>
      </c>
      <c r="H781" s="1" t="str">
        <f t="shared" si="51"/>
        <v>Dec</v>
      </c>
      <c r="I781" s="1" t="str">
        <f t="shared" si="48"/>
        <v>Mon</v>
      </c>
      <c r="J781" s="1" t="s">
        <v>28</v>
      </c>
      <c r="K781" s="1" t="s">
        <v>12</v>
      </c>
      <c r="L781" s="1" t="s">
        <v>119</v>
      </c>
      <c r="M781" s="1" t="s">
        <v>40</v>
      </c>
      <c r="N781" s="1" t="s">
        <v>14</v>
      </c>
      <c r="O781" t="s">
        <v>45</v>
      </c>
    </row>
    <row r="782" spans="1:15" x14ac:dyDescent="0.25">
      <c r="A782" s="1" t="s">
        <v>1183</v>
      </c>
      <c r="B782" s="1" t="s">
        <v>1184</v>
      </c>
      <c r="C782" s="3">
        <v>44708.569444444445</v>
      </c>
      <c r="D782" s="4">
        <f t="shared" si="49"/>
        <v>44708</v>
      </c>
      <c r="E782" s="6">
        <v>33.119444444440902</v>
      </c>
      <c r="F782" s="6" t="str" cm="1">
        <f t="array" ref="F782">_xlfn.IFS(
     AND(HOUR(session_data[[#This Row],[Time]])&gt;5,HOUR(session_data[[#This Row],[Time]])&lt;12),"Morning",
     AND(HOUR(session_data[[#This Row],[Time]])&gt;=12,HOUR(session_data[[#This Row],[Time]])&lt;17),"Afternoon",
     AND(HOUR(session_data[[#This Row],[Time]])&gt;=17,HOUR(session_data[[#This Row],[Time]])&lt;21),"Evening",
     TRUE,"Night"
)</f>
        <v>Night</v>
      </c>
      <c r="G782" s="1">
        <f t="shared" si="50"/>
        <v>2022</v>
      </c>
      <c r="H782" s="1" t="str">
        <f t="shared" si="51"/>
        <v>May</v>
      </c>
      <c r="I782" s="1" t="str">
        <f t="shared" si="48"/>
        <v>Fri</v>
      </c>
      <c r="J782" s="1" t="s">
        <v>66</v>
      </c>
      <c r="K782" s="1" t="s">
        <v>12</v>
      </c>
      <c r="L782" s="1" t="s">
        <v>20</v>
      </c>
      <c r="M782" s="1" t="s">
        <v>19</v>
      </c>
      <c r="N782" s="1" t="s">
        <v>14</v>
      </c>
      <c r="O782" t="s">
        <v>45</v>
      </c>
    </row>
    <row r="783" spans="1:15" x14ac:dyDescent="0.25">
      <c r="A783" s="1" t="s">
        <v>1185</v>
      </c>
      <c r="B783" s="1" t="s">
        <v>1186</v>
      </c>
      <c r="C783" s="3">
        <v>44729.102777777778</v>
      </c>
      <c r="D783" s="4">
        <f t="shared" si="49"/>
        <v>44729</v>
      </c>
      <c r="E783" s="6">
        <v>33.161111111107601</v>
      </c>
      <c r="F783" s="6" t="str" cm="1">
        <f t="array" ref="F783">_xlfn.IFS(
     AND(HOUR(session_data[[#This Row],[Time]])&gt;5,HOUR(session_data[[#This Row],[Time]])&lt;12),"Morning",
     AND(HOUR(session_data[[#This Row],[Time]])&gt;=12,HOUR(session_data[[#This Row],[Time]])&lt;17),"Afternoon",
     AND(HOUR(session_data[[#This Row],[Time]])&gt;=17,HOUR(session_data[[#This Row],[Time]])&lt;21),"Evening",
     TRUE,"Night"
)</f>
        <v>Night</v>
      </c>
      <c r="G783" s="1">
        <f t="shared" si="50"/>
        <v>2022</v>
      </c>
      <c r="H783" s="1" t="str">
        <f t="shared" si="51"/>
        <v>Jun</v>
      </c>
      <c r="I783" s="1" t="str">
        <f t="shared" si="48"/>
        <v>Fri</v>
      </c>
      <c r="J783" s="1" t="s">
        <v>28</v>
      </c>
      <c r="K783" s="1" t="s">
        <v>29</v>
      </c>
      <c r="L783" s="1" t="s">
        <v>119</v>
      </c>
      <c r="M783" s="1" t="s">
        <v>40</v>
      </c>
      <c r="N783" s="1" t="s">
        <v>14</v>
      </c>
      <c r="O783" t="s">
        <v>15</v>
      </c>
    </row>
    <row r="784" spans="1:15" x14ac:dyDescent="0.25">
      <c r="A784" s="1" t="s">
        <v>1187</v>
      </c>
      <c r="B784" s="1" t="s">
        <v>1188</v>
      </c>
      <c r="C784" s="3">
        <v>44702.162499999999</v>
      </c>
      <c r="D784" s="4">
        <f t="shared" si="49"/>
        <v>44702</v>
      </c>
      <c r="E784" s="6">
        <v>33.202777777774202</v>
      </c>
      <c r="F784" s="6" t="str" cm="1">
        <f t="array" ref="F784">_xlfn.IFS(
     AND(HOUR(session_data[[#This Row],[Time]])&gt;5,HOUR(session_data[[#This Row],[Time]])&lt;12),"Morning",
     AND(HOUR(session_data[[#This Row],[Time]])&gt;=12,HOUR(session_data[[#This Row],[Time]])&lt;17),"Afternoon",
     AND(HOUR(session_data[[#This Row],[Time]])&gt;=17,HOUR(session_data[[#This Row],[Time]])&lt;21),"Evening",
     TRUE,"Night"
)</f>
        <v>Night</v>
      </c>
      <c r="G784" s="1">
        <f t="shared" si="50"/>
        <v>2022</v>
      </c>
      <c r="H784" s="1" t="str">
        <f t="shared" si="51"/>
        <v>May</v>
      </c>
      <c r="I784" s="1" t="str">
        <f t="shared" si="48"/>
        <v>Sat</v>
      </c>
      <c r="J784" s="1" t="s">
        <v>18</v>
      </c>
      <c r="K784" s="1" t="s">
        <v>29</v>
      </c>
      <c r="L784" s="1" t="s">
        <v>30</v>
      </c>
      <c r="M784" s="1" t="s">
        <v>32</v>
      </c>
      <c r="N784" s="1" t="s">
        <v>14</v>
      </c>
      <c r="O784" t="s">
        <v>15</v>
      </c>
    </row>
    <row r="785" spans="1:15" x14ac:dyDescent="0.25">
      <c r="A785" s="1" t="s">
        <v>1189</v>
      </c>
      <c r="B785" s="1" t="s">
        <v>1190</v>
      </c>
      <c r="C785" s="3">
        <v>44702.145833333336</v>
      </c>
      <c r="D785" s="4">
        <f t="shared" si="49"/>
        <v>44702</v>
      </c>
      <c r="E785" s="6">
        <v>33.244444444440902</v>
      </c>
      <c r="F785" s="6" t="str" cm="1">
        <f t="array" ref="F785">_xlfn.IFS(
     AND(HOUR(session_data[[#This Row],[Time]])&gt;5,HOUR(session_data[[#This Row],[Time]])&lt;12),"Morning",
     AND(HOUR(session_data[[#This Row],[Time]])&gt;=12,HOUR(session_data[[#This Row],[Time]])&lt;17),"Afternoon",
     AND(HOUR(session_data[[#This Row],[Time]])&gt;=17,HOUR(session_data[[#This Row],[Time]])&lt;21),"Evening",
     TRUE,"Night"
)</f>
        <v>Night</v>
      </c>
      <c r="G785" s="1">
        <f t="shared" si="50"/>
        <v>2022</v>
      </c>
      <c r="H785" s="1" t="str">
        <f t="shared" si="51"/>
        <v>May</v>
      </c>
      <c r="I785" s="1" t="str">
        <f t="shared" si="48"/>
        <v>Sat</v>
      </c>
      <c r="J785" s="1" t="s">
        <v>66</v>
      </c>
      <c r="K785" s="1" t="s">
        <v>29</v>
      </c>
      <c r="L785" s="1" t="s">
        <v>79</v>
      </c>
      <c r="M785" s="1" t="s">
        <v>40</v>
      </c>
      <c r="N785" s="1" t="s">
        <v>14</v>
      </c>
      <c r="O785" t="s">
        <v>45</v>
      </c>
    </row>
    <row r="786" spans="1:15" x14ac:dyDescent="0.25">
      <c r="A786" s="1" t="s">
        <v>1191</v>
      </c>
      <c r="B786" s="1" t="s">
        <v>1190</v>
      </c>
      <c r="C786" s="2">
        <v>44871.520833333336</v>
      </c>
      <c r="D786" s="4">
        <f t="shared" si="49"/>
        <v>44871</v>
      </c>
      <c r="E786" s="6">
        <v>33.286111111107601</v>
      </c>
      <c r="F786" s="6" t="str" cm="1">
        <f t="array" ref="F786">_xlfn.IFS(
     AND(HOUR(session_data[[#This Row],[Time]])&gt;5,HOUR(session_data[[#This Row],[Time]])&lt;12),"Morning",
     AND(HOUR(session_data[[#This Row],[Time]])&gt;=12,HOUR(session_data[[#This Row],[Time]])&lt;17),"Afternoon",
     AND(HOUR(session_data[[#This Row],[Time]])&gt;=17,HOUR(session_data[[#This Row],[Time]])&lt;21),"Evening",
     TRUE,"Night"
)</f>
        <v>Morning</v>
      </c>
      <c r="G786" s="1">
        <f t="shared" si="50"/>
        <v>2022</v>
      </c>
      <c r="H786" s="1" t="str">
        <f t="shared" si="51"/>
        <v>Nov</v>
      </c>
      <c r="I786" s="1" t="str">
        <f t="shared" si="48"/>
        <v>Sun</v>
      </c>
      <c r="J786" s="1" t="s">
        <v>66</v>
      </c>
      <c r="K786" s="1" t="s">
        <v>29</v>
      </c>
      <c r="L786" s="1" t="s">
        <v>79</v>
      </c>
      <c r="M786" s="1" t="s">
        <v>40</v>
      </c>
      <c r="N786" s="1" t="s">
        <v>22</v>
      </c>
      <c r="O786" t="s">
        <v>45</v>
      </c>
    </row>
    <row r="787" spans="1:15" x14ac:dyDescent="0.25">
      <c r="A787" s="1" t="s">
        <v>1192</v>
      </c>
      <c r="B787" s="1" t="s">
        <v>1190</v>
      </c>
      <c r="C787" s="2">
        <v>44719.270833333336</v>
      </c>
      <c r="D787" s="4">
        <f t="shared" si="49"/>
        <v>44719</v>
      </c>
      <c r="E787" s="6">
        <v>33.327777777774202</v>
      </c>
      <c r="F787" s="6" t="str" cm="1">
        <f t="array" ref="F787">_xlfn.IFS(
     AND(HOUR(session_data[[#This Row],[Time]])&gt;5,HOUR(session_data[[#This Row],[Time]])&lt;12),"Morning",
     AND(HOUR(session_data[[#This Row],[Time]])&gt;=12,HOUR(session_data[[#This Row],[Time]])&lt;17),"Afternoon",
     AND(HOUR(session_data[[#This Row],[Time]])&gt;=17,HOUR(session_data[[#This Row],[Time]])&lt;21),"Evening",
     TRUE,"Night"
)</f>
        <v>Morning</v>
      </c>
      <c r="G787" s="1">
        <f t="shared" si="50"/>
        <v>2022</v>
      </c>
      <c r="H787" s="1" t="str">
        <f t="shared" si="51"/>
        <v>Jun</v>
      </c>
      <c r="I787" s="1" t="str">
        <f t="shared" si="48"/>
        <v>Tue</v>
      </c>
      <c r="J787" s="1" t="s">
        <v>66</v>
      </c>
      <c r="K787" s="1" t="s">
        <v>29</v>
      </c>
      <c r="L787" s="1" t="s">
        <v>79</v>
      </c>
      <c r="M787" s="1" t="s">
        <v>40</v>
      </c>
      <c r="N787" s="1" t="s">
        <v>22</v>
      </c>
      <c r="O787" t="s">
        <v>45</v>
      </c>
    </row>
    <row r="788" spans="1:15" x14ac:dyDescent="0.25">
      <c r="A788" s="1" t="s">
        <v>1193</v>
      </c>
      <c r="B788" s="1" t="s">
        <v>1194</v>
      </c>
      <c r="C788" s="3">
        <v>44790.218055555553</v>
      </c>
      <c r="D788" s="4">
        <f t="shared" si="49"/>
        <v>44790</v>
      </c>
      <c r="E788" s="6">
        <v>33.369444444440902</v>
      </c>
      <c r="F788" s="6" t="str" cm="1">
        <f t="array" ref="F788">_xlfn.IFS(
     AND(HOUR(session_data[[#This Row],[Time]])&gt;5,HOUR(session_data[[#This Row],[Time]])&lt;12),"Morning",
     AND(HOUR(session_data[[#This Row],[Time]])&gt;=12,HOUR(session_data[[#This Row],[Time]])&lt;17),"Afternoon",
     AND(HOUR(session_data[[#This Row],[Time]])&gt;=17,HOUR(session_data[[#This Row],[Time]])&lt;21),"Evening",
     TRUE,"Night"
)</f>
        <v>Morning</v>
      </c>
      <c r="G788" s="1">
        <f t="shared" si="50"/>
        <v>2022</v>
      </c>
      <c r="H788" s="1" t="str">
        <f t="shared" si="51"/>
        <v>Aug</v>
      </c>
      <c r="I788" s="1" t="str">
        <f t="shared" si="48"/>
        <v>Wed</v>
      </c>
      <c r="J788" s="1" t="s">
        <v>11</v>
      </c>
      <c r="K788" s="1" t="s">
        <v>12</v>
      </c>
      <c r="L788" s="1" t="s">
        <v>30</v>
      </c>
      <c r="M788" s="1" t="s">
        <v>32</v>
      </c>
      <c r="N788" s="1" t="s">
        <v>14</v>
      </c>
      <c r="O788" t="s">
        <v>45</v>
      </c>
    </row>
    <row r="789" spans="1:15" x14ac:dyDescent="0.25">
      <c r="A789" s="1" t="s">
        <v>1195</v>
      </c>
      <c r="B789" s="1" t="s">
        <v>1196</v>
      </c>
      <c r="C789" s="2">
        <v>44685.396527777775</v>
      </c>
      <c r="D789" s="4">
        <f t="shared" si="49"/>
        <v>44685</v>
      </c>
      <c r="E789" s="6">
        <v>33.411111111107601</v>
      </c>
      <c r="F789" s="6" t="str" cm="1">
        <f t="array" ref="F789">_xlfn.IFS(
     AND(HOUR(session_data[[#This Row],[Time]])&gt;5,HOUR(session_data[[#This Row],[Time]])&lt;12),"Morning",
     AND(HOUR(session_data[[#This Row],[Time]])&gt;=12,HOUR(session_data[[#This Row],[Time]])&lt;17),"Afternoon",
     AND(HOUR(session_data[[#This Row],[Time]])&gt;=17,HOUR(session_data[[#This Row],[Time]])&lt;21),"Evening",
     TRUE,"Night"
)</f>
        <v>Morning</v>
      </c>
      <c r="G789" s="1">
        <f t="shared" si="50"/>
        <v>2022</v>
      </c>
      <c r="H789" s="1" t="str">
        <f t="shared" si="51"/>
        <v>May</v>
      </c>
      <c r="I789" s="1" t="str">
        <f t="shared" si="48"/>
        <v>Wed</v>
      </c>
      <c r="J789" s="1" t="s">
        <v>18</v>
      </c>
      <c r="K789" s="1" t="s">
        <v>12</v>
      </c>
      <c r="L789" s="1" t="s">
        <v>41</v>
      </c>
      <c r="M789" s="1" t="s">
        <v>40</v>
      </c>
      <c r="N789" s="1" t="s">
        <v>14</v>
      </c>
      <c r="O789" t="s">
        <v>15</v>
      </c>
    </row>
    <row r="790" spans="1:15" x14ac:dyDescent="0.25">
      <c r="A790" s="1" t="s">
        <v>1197</v>
      </c>
      <c r="B790" s="1" t="s">
        <v>1198</v>
      </c>
      <c r="C790" s="2">
        <v>44869.275000000001</v>
      </c>
      <c r="D790" s="4">
        <f t="shared" si="49"/>
        <v>44869</v>
      </c>
      <c r="E790" s="6">
        <v>33.452777777774202</v>
      </c>
      <c r="F790" s="6" t="str" cm="1">
        <f t="array" ref="F790">_xlfn.IFS(
     AND(HOUR(session_data[[#This Row],[Time]])&gt;5,HOUR(session_data[[#This Row],[Time]])&lt;12),"Morning",
     AND(HOUR(session_data[[#This Row],[Time]])&gt;=12,HOUR(session_data[[#This Row],[Time]])&lt;17),"Afternoon",
     AND(HOUR(session_data[[#This Row],[Time]])&gt;=17,HOUR(session_data[[#This Row],[Time]])&lt;21),"Evening",
     TRUE,"Night"
)</f>
        <v>Morning</v>
      </c>
      <c r="G790" s="1">
        <f t="shared" si="50"/>
        <v>2022</v>
      </c>
      <c r="H790" s="1" t="str">
        <f t="shared" si="51"/>
        <v>Nov</v>
      </c>
      <c r="I790" s="1" t="str">
        <f t="shared" si="48"/>
        <v>Fri</v>
      </c>
      <c r="J790" s="1" t="s">
        <v>18</v>
      </c>
      <c r="K790" s="1" t="s">
        <v>12</v>
      </c>
      <c r="L790" s="1" t="s">
        <v>41</v>
      </c>
      <c r="M790" s="1" t="s">
        <v>40</v>
      </c>
      <c r="N790" s="1" t="s">
        <v>14</v>
      </c>
      <c r="O790" t="s">
        <v>15</v>
      </c>
    </row>
    <row r="791" spans="1:15" x14ac:dyDescent="0.25">
      <c r="A791" s="1" t="s">
        <v>1199</v>
      </c>
      <c r="B791" s="1" t="s">
        <v>1198</v>
      </c>
      <c r="C791" s="2">
        <v>44625.9</v>
      </c>
      <c r="D791" s="4">
        <f t="shared" si="49"/>
        <v>44625</v>
      </c>
      <c r="E791" s="6">
        <v>33.494444444440902</v>
      </c>
      <c r="F791" s="6" t="str" cm="1">
        <f t="array" ref="F791">_xlfn.IFS(
     AND(HOUR(session_data[[#This Row],[Time]])&gt;5,HOUR(session_data[[#This Row],[Time]])&lt;12),"Morning",
     AND(HOUR(session_data[[#This Row],[Time]])&gt;=12,HOUR(session_data[[#This Row],[Time]])&lt;17),"Afternoon",
     AND(HOUR(session_data[[#This Row],[Time]])&gt;=17,HOUR(session_data[[#This Row],[Time]])&lt;21),"Evening",
     TRUE,"Night"
)</f>
        <v>Morning</v>
      </c>
      <c r="G791" s="1">
        <f t="shared" si="50"/>
        <v>2022</v>
      </c>
      <c r="H791" s="1" t="str">
        <f t="shared" si="51"/>
        <v>Mar</v>
      </c>
      <c r="I791" s="1" t="str">
        <f t="shared" si="48"/>
        <v>Sat</v>
      </c>
      <c r="J791" s="1" t="s">
        <v>18</v>
      </c>
      <c r="K791" s="1" t="s">
        <v>12</v>
      </c>
      <c r="L791" s="1" t="s">
        <v>41</v>
      </c>
      <c r="M791" s="1" t="s">
        <v>40</v>
      </c>
      <c r="N791" s="1" t="s">
        <v>22</v>
      </c>
      <c r="O791" t="s">
        <v>15</v>
      </c>
    </row>
    <row r="792" spans="1:15" x14ac:dyDescent="0.25">
      <c r="A792" s="1" t="s">
        <v>1200</v>
      </c>
      <c r="B792" s="1" t="s">
        <v>1198</v>
      </c>
      <c r="C792" s="3">
        <v>44702.816666666666</v>
      </c>
      <c r="D792" s="4">
        <f t="shared" si="49"/>
        <v>44702</v>
      </c>
      <c r="E792" s="6">
        <v>33.536111111107601</v>
      </c>
      <c r="F792" s="6" t="str" cm="1">
        <f t="array" ref="F792">_xlfn.IFS(
     AND(HOUR(session_data[[#This Row],[Time]])&gt;5,HOUR(session_data[[#This Row],[Time]])&lt;12),"Morning",
     AND(HOUR(session_data[[#This Row],[Time]])&gt;=12,HOUR(session_data[[#This Row],[Time]])&lt;17),"Afternoon",
     AND(HOUR(session_data[[#This Row],[Time]])&gt;=17,HOUR(session_data[[#This Row],[Time]])&lt;21),"Evening",
     TRUE,"Night"
)</f>
        <v>Afternoon</v>
      </c>
      <c r="G792" s="1">
        <f t="shared" si="50"/>
        <v>2022</v>
      </c>
      <c r="H792" s="1" t="str">
        <f t="shared" si="51"/>
        <v>May</v>
      </c>
      <c r="I792" s="1" t="str">
        <f t="shared" si="48"/>
        <v>Sat</v>
      </c>
      <c r="J792" s="1" t="s">
        <v>18</v>
      </c>
      <c r="K792" s="1" t="s">
        <v>12</v>
      </c>
      <c r="L792" s="1" t="s">
        <v>41</v>
      </c>
      <c r="M792" s="1" t="s">
        <v>40</v>
      </c>
      <c r="N792" s="1" t="s">
        <v>22</v>
      </c>
      <c r="O792" t="s">
        <v>15</v>
      </c>
    </row>
    <row r="793" spans="1:15" x14ac:dyDescent="0.25">
      <c r="A793" s="1" t="s">
        <v>1201</v>
      </c>
      <c r="B793" s="1" t="s">
        <v>1202</v>
      </c>
      <c r="C793" s="3">
        <v>44665.456250000003</v>
      </c>
      <c r="D793" s="4">
        <f t="shared" si="49"/>
        <v>44665</v>
      </c>
      <c r="E793" s="6">
        <v>33.577777777774202</v>
      </c>
      <c r="F793" s="6" t="str" cm="1">
        <f t="array" ref="F793">_xlfn.IFS(
     AND(HOUR(session_data[[#This Row],[Time]])&gt;5,HOUR(session_data[[#This Row],[Time]])&lt;12),"Morning",
     AND(HOUR(session_data[[#This Row],[Time]])&gt;=12,HOUR(session_data[[#This Row],[Time]])&lt;17),"Afternoon",
     AND(HOUR(session_data[[#This Row],[Time]])&gt;=17,HOUR(session_data[[#This Row],[Time]])&lt;21),"Evening",
     TRUE,"Night"
)</f>
        <v>Afternoon</v>
      </c>
      <c r="G793" s="1">
        <f t="shared" si="50"/>
        <v>2022</v>
      </c>
      <c r="H793" s="1" t="str">
        <f t="shared" si="51"/>
        <v>Apr</v>
      </c>
      <c r="I793" s="1" t="str">
        <f t="shared" si="48"/>
        <v>Thu</v>
      </c>
      <c r="J793" s="1" t="s">
        <v>11</v>
      </c>
      <c r="K793" s="1" t="s">
        <v>12</v>
      </c>
      <c r="L793" s="1" t="s">
        <v>13</v>
      </c>
      <c r="M793" s="1" t="s">
        <v>32</v>
      </c>
      <c r="N793" s="1" t="s">
        <v>14</v>
      </c>
      <c r="O793" t="s">
        <v>15</v>
      </c>
    </row>
    <row r="794" spans="1:15" x14ac:dyDescent="0.25">
      <c r="A794" s="1" t="s">
        <v>1203</v>
      </c>
      <c r="B794" s="1" t="s">
        <v>1204</v>
      </c>
      <c r="C794" s="2">
        <v>44627.513194444444</v>
      </c>
      <c r="D794" s="4">
        <f t="shared" si="49"/>
        <v>44627</v>
      </c>
      <c r="E794" s="6">
        <v>33.619444444440902</v>
      </c>
      <c r="F794" s="6" t="str" cm="1">
        <f t="array" ref="F794">_xlfn.IFS(
     AND(HOUR(session_data[[#This Row],[Time]])&gt;5,HOUR(session_data[[#This Row],[Time]])&lt;12),"Morning",
     AND(HOUR(session_data[[#This Row],[Time]])&gt;=12,HOUR(session_data[[#This Row],[Time]])&lt;17),"Afternoon",
     AND(HOUR(session_data[[#This Row],[Time]])&gt;=17,HOUR(session_data[[#This Row],[Time]])&lt;21),"Evening",
     TRUE,"Night"
)</f>
        <v>Afternoon</v>
      </c>
      <c r="G794" s="1">
        <f t="shared" si="50"/>
        <v>2022</v>
      </c>
      <c r="H794" s="1" t="str">
        <f t="shared" si="51"/>
        <v>Mar</v>
      </c>
      <c r="I794" s="1" t="str">
        <f t="shared" si="48"/>
        <v>Mon</v>
      </c>
      <c r="J794" s="1" t="s">
        <v>11</v>
      </c>
      <c r="K794" s="1" t="s">
        <v>12</v>
      </c>
      <c r="L794" s="1" t="s">
        <v>79</v>
      </c>
      <c r="M794" s="1" t="s">
        <v>40</v>
      </c>
      <c r="N794" s="1" t="s">
        <v>14</v>
      </c>
      <c r="O794" t="s">
        <v>15</v>
      </c>
    </row>
    <row r="795" spans="1:15" x14ac:dyDescent="0.25">
      <c r="A795" s="1" t="s">
        <v>1205</v>
      </c>
      <c r="B795" s="1" t="s">
        <v>1204</v>
      </c>
      <c r="C795" s="3">
        <v>44760.429861111108</v>
      </c>
      <c r="D795" s="4">
        <f t="shared" si="49"/>
        <v>44760</v>
      </c>
      <c r="E795" s="6">
        <v>33.661111111107601</v>
      </c>
      <c r="F795" s="6" t="str" cm="1">
        <f t="array" ref="F795">_xlfn.IFS(
     AND(HOUR(session_data[[#This Row],[Time]])&gt;5,HOUR(session_data[[#This Row],[Time]])&lt;12),"Morning",
     AND(HOUR(session_data[[#This Row],[Time]])&gt;=12,HOUR(session_data[[#This Row],[Time]])&lt;17),"Afternoon",
     AND(HOUR(session_data[[#This Row],[Time]])&gt;=17,HOUR(session_data[[#This Row],[Time]])&lt;21),"Evening",
     TRUE,"Night"
)</f>
        <v>Afternoon</v>
      </c>
      <c r="G795" s="1">
        <f t="shared" si="50"/>
        <v>2022</v>
      </c>
      <c r="H795" s="1" t="str">
        <f t="shared" si="51"/>
        <v>Jul</v>
      </c>
      <c r="I795" s="1" t="str">
        <f t="shared" si="48"/>
        <v>Mon</v>
      </c>
      <c r="J795" s="1" t="s">
        <v>11</v>
      </c>
      <c r="K795" s="1" t="s">
        <v>12</v>
      </c>
      <c r="L795" s="1" t="s">
        <v>79</v>
      </c>
      <c r="M795" s="1" t="s">
        <v>40</v>
      </c>
      <c r="N795" s="1" t="s">
        <v>22</v>
      </c>
      <c r="O795" t="s">
        <v>15</v>
      </c>
    </row>
    <row r="796" spans="1:15" x14ac:dyDescent="0.25">
      <c r="A796" s="1" t="s">
        <v>1206</v>
      </c>
      <c r="B796" s="1" t="s">
        <v>1204</v>
      </c>
      <c r="C796" s="2">
        <v>44873.763194444444</v>
      </c>
      <c r="D796" s="4">
        <f t="shared" si="49"/>
        <v>44873</v>
      </c>
      <c r="E796" s="6">
        <v>33.702777777774202</v>
      </c>
      <c r="F796" s="6" t="str" cm="1">
        <f t="array" ref="F796">_xlfn.IFS(
     AND(HOUR(session_data[[#This Row],[Time]])&gt;5,HOUR(session_data[[#This Row],[Time]])&lt;12),"Morning",
     AND(HOUR(session_data[[#This Row],[Time]])&gt;=12,HOUR(session_data[[#This Row],[Time]])&lt;17),"Afternoon",
     AND(HOUR(session_data[[#This Row],[Time]])&gt;=17,HOUR(session_data[[#This Row],[Time]])&lt;21),"Evening",
     TRUE,"Night"
)</f>
        <v>Afternoon</v>
      </c>
      <c r="G796" s="1">
        <f t="shared" si="50"/>
        <v>2022</v>
      </c>
      <c r="H796" s="1" t="str">
        <f t="shared" si="51"/>
        <v>Nov</v>
      </c>
      <c r="I796" s="1" t="str">
        <f t="shared" si="48"/>
        <v>Tue</v>
      </c>
      <c r="J796" s="1" t="s">
        <v>11</v>
      </c>
      <c r="K796" s="1" t="s">
        <v>12</v>
      </c>
      <c r="L796" s="1" t="s">
        <v>79</v>
      </c>
      <c r="M796" s="1" t="s">
        <v>40</v>
      </c>
      <c r="N796" s="1" t="s">
        <v>22</v>
      </c>
      <c r="O796" t="s">
        <v>15</v>
      </c>
    </row>
    <row r="797" spans="1:15" x14ac:dyDescent="0.25">
      <c r="A797" s="1" t="s">
        <v>1207</v>
      </c>
      <c r="B797" s="1" t="s">
        <v>1208</v>
      </c>
      <c r="C797" s="2">
        <v>44623.373611111114</v>
      </c>
      <c r="D797" s="4">
        <f t="shared" si="49"/>
        <v>44623</v>
      </c>
      <c r="E797" s="6">
        <v>33.744444444440902</v>
      </c>
      <c r="F797" s="6" t="str" cm="1">
        <f t="array" ref="F797">_xlfn.IFS(
     AND(HOUR(session_data[[#This Row],[Time]])&gt;5,HOUR(session_data[[#This Row],[Time]])&lt;12),"Morning",
     AND(HOUR(session_data[[#This Row],[Time]])&gt;=12,HOUR(session_data[[#This Row],[Time]])&lt;17),"Afternoon",
     AND(HOUR(session_data[[#This Row],[Time]])&gt;=17,HOUR(session_data[[#This Row],[Time]])&lt;21),"Evening",
     TRUE,"Night"
)</f>
        <v>Evening</v>
      </c>
      <c r="G797" s="1">
        <f t="shared" si="50"/>
        <v>2022</v>
      </c>
      <c r="H797" s="1" t="str">
        <f t="shared" si="51"/>
        <v>Mar</v>
      </c>
      <c r="I797" s="1" t="str">
        <f t="shared" si="48"/>
        <v>Thu</v>
      </c>
      <c r="J797" s="1" t="s">
        <v>66</v>
      </c>
      <c r="K797" s="1" t="s">
        <v>29</v>
      </c>
      <c r="L797" s="1" t="s">
        <v>94</v>
      </c>
      <c r="M797" s="1" t="s">
        <v>32</v>
      </c>
      <c r="N797" s="1" t="s">
        <v>14</v>
      </c>
      <c r="O797" t="s">
        <v>45</v>
      </c>
    </row>
    <row r="798" spans="1:15" x14ac:dyDescent="0.25">
      <c r="A798" s="1" t="s">
        <v>1209</v>
      </c>
      <c r="B798" s="1" t="s">
        <v>1210</v>
      </c>
      <c r="C798" s="2">
        <v>44691.724305555559</v>
      </c>
      <c r="D798" s="4">
        <f t="shared" si="49"/>
        <v>44691</v>
      </c>
      <c r="E798" s="6">
        <v>33.786111111107601</v>
      </c>
      <c r="F798" s="6" t="str" cm="1">
        <f t="array" ref="F798">_xlfn.IFS(
     AND(HOUR(session_data[[#This Row],[Time]])&gt;5,HOUR(session_data[[#This Row],[Time]])&lt;12),"Morning",
     AND(HOUR(session_data[[#This Row],[Time]])&gt;=12,HOUR(session_data[[#This Row],[Time]])&lt;17),"Afternoon",
     AND(HOUR(session_data[[#This Row],[Time]])&gt;=17,HOUR(session_data[[#This Row],[Time]])&lt;21),"Evening",
     TRUE,"Night"
)</f>
        <v>Evening</v>
      </c>
      <c r="G798" s="1">
        <f t="shared" si="50"/>
        <v>2022</v>
      </c>
      <c r="H798" s="1" t="str">
        <f t="shared" si="51"/>
        <v>May</v>
      </c>
      <c r="I798" s="1" t="str">
        <f t="shared" si="48"/>
        <v>Tue</v>
      </c>
      <c r="J798" s="1" t="s">
        <v>28</v>
      </c>
      <c r="K798" s="1" t="s">
        <v>12</v>
      </c>
      <c r="L798" s="1" t="s">
        <v>94</v>
      </c>
      <c r="M798" s="1" t="s">
        <v>32</v>
      </c>
      <c r="N798" s="1" t="s">
        <v>14</v>
      </c>
      <c r="O798" t="s">
        <v>45</v>
      </c>
    </row>
    <row r="799" spans="1:15" x14ac:dyDescent="0.25">
      <c r="A799" s="1" t="s">
        <v>1211</v>
      </c>
      <c r="B799" s="1" t="s">
        <v>1212</v>
      </c>
      <c r="C799" s="2">
        <v>44719.695833333331</v>
      </c>
      <c r="D799" s="4">
        <f t="shared" si="49"/>
        <v>44719</v>
      </c>
      <c r="E799" s="6">
        <v>33.827777777774202</v>
      </c>
      <c r="F799" s="6" t="str" cm="1">
        <f t="array" ref="F799">_xlfn.IFS(
     AND(HOUR(session_data[[#This Row],[Time]])&gt;5,HOUR(session_data[[#This Row],[Time]])&lt;12),"Morning",
     AND(HOUR(session_data[[#This Row],[Time]])&gt;=12,HOUR(session_data[[#This Row],[Time]])&lt;17),"Afternoon",
     AND(HOUR(session_data[[#This Row],[Time]])&gt;=17,HOUR(session_data[[#This Row],[Time]])&lt;21),"Evening",
     TRUE,"Night"
)</f>
        <v>Evening</v>
      </c>
      <c r="G799" s="1">
        <f t="shared" si="50"/>
        <v>2022</v>
      </c>
      <c r="H799" s="1" t="str">
        <f t="shared" si="51"/>
        <v>Jun</v>
      </c>
      <c r="I799" s="1" t="str">
        <f t="shared" si="48"/>
        <v>Tue</v>
      </c>
      <c r="J799" s="1" t="s">
        <v>44</v>
      </c>
      <c r="K799" s="1" t="s">
        <v>29</v>
      </c>
      <c r="L799" s="1" t="s">
        <v>119</v>
      </c>
      <c r="M799" s="1" t="s">
        <v>40</v>
      </c>
      <c r="N799" s="1" t="s">
        <v>14</v>
      </c>
      <c r="O799" t="s">
        <v>45</v>
      </c>
    </row>
    <row r="800" spans="1:15" x14ac:dyDescent="0.25">
      <c r="A800" s="1" t="s">
        <v>1213</v>
      </c>
      <c r="B800" s="1" t="s">
        <v>1212</v>
      </c>
      <c r="C800" s="3">
        <v>44760.362500000003</v>
      </c>
      <c r="D800" s="4">
        <f t="shared" si="49"/>
        <v>44760</v>
      </c>
      <c r="E800" s="6">
        <v>33.869444444440902</v>
      </c>
      <c r="F800" s="6" t="str" cm="1">
        <f t="array" ref="F800">_xlfn.IFS(
     AND(HOUR(session_data[[#This Row],[Time]])&gt;5,HOUR(session_data[[#This Row],[Time]])&lt;12),"Morning",
     AND(HOUR(session_data[[#This Row],[Time]])&gt;=12,HOUR(session_data[[#This Row],[Time]])&lt;17),"Afternoon",
     AND(HOUR(session_data[[#This Row],[Time]])&gt;=17,HOUR(session_data[[#This Row],[Time]])&lt;21),"Evening",
     TRUE,"Night"
)</f>
        <v>Evening</v>
      </c>
      <c r="G800" s="1">
        <f t="shared" si="50"/>
        <v>2022</v>
      </c>
      <c r="H800" s="1" t="str">
        <f t="shared" si="51"/>
        <v>Jul</v>
      </c>
      <c r="I800" s="1" t="str">
        <f t="shared" si="48"/>
        <v>Mon</v>
      </c>
      <c r="J800" s="1" t="s">
        <v>44</v>
      </c>
      <c r="K800" s="1" t="s">
        <v>29</v>
      </c>
      <c r="L800" s="1" t="s">
        <v>119</v>
      </c>
      <c r="M800" s="1" t="s">
        <v>40</v>
      </c>
      <c r="N800" s="1" t="s">
        <v>22</v>
      </c>
      <c r="O800" t="s">
        <v>45</v>
      </c>
    </row>
    <row r="801" spans="1:15" x14ac:dyDescent="0.25">
      <c r="A801" s="1" t="s">
        <v>1214</v>
      </c>
      <c r="B801" s="1" t="s">
        <v>1212</v>
      </c>
      <c r="C801" s="3">
        <v>44793.529166666667</v>
      </c>
      <c r="D801" s="4">
        <f t="shared" si="49"/>
        <v>44793</v>
      </c>
      <c r="E801" s="6">
        <v>33.911111111107601</v>
      </c>
      <c r="F801" s="6" t="str" cm="1">
        <f t="array" ref="F801">_xlfn.IFS(
     AND(HOUR(session_data[[#This Row],[Time]])&gt;5,HOUR(session_data[[#This Row],[Time]])&lt;12),"Morning",
     AND(HOUR(session_data[[#This Row],[Time]])&gt;=12,HOUR(session_data[[#This Row],[Time]])&lt;17),"Afternoon",
     AND(HOUR(session_data[[#This Row],[Time]])&gt;=17,HOUR(session_data[[#This Row],[Time]])&lt;21),"Evening",
     TRUE,"Night"
)</f>
        <v>Night</v>
      </c>
      <c r="G801" s="1">
        <f t="shared" si="50"/>
        <v>2022</v>
      </c>
      <c r="H801" s="1" t="str">
        <f t="shared" si="51"/>
        <v>Aug</v>
      </c>
      <c r="I801" s="1" t="str">
        <f t="shared" si="48"/>
        <v>Sat</v>
      </c>
      <c r="J801" s="1" t="s">
        <v>44</v>
      </c>
      <c r="K801" s="1" t="s">
        <v>29</v>
      </c>
      <c r="L801" s="1" t="s">
        <v>119</v>
      </c>
      <c r="M801" s="1" t="s">
        <v>40</v>
      </c>
      <c r="N801" s="1" t="s">
        <v>22</v>
      </c>
      <c r="O801" t="s">
        <v>45</v>
      </c>
    </row>
    <row r="802" spans="1:15" x14ac:dyDescent="0.25">
      <c r="A802" s="1" t="s">
        <v>1215</v>
      </c>
      <c r="B802" s="1" t="s">
        <v>1216</v>
      </c>
      <c r="C802" s="2">
        <v>44777.9</v>
      </c>
      <c r="D802" s="4">
        <f t="shared" si="49"/>
        <v>44777</v>
      </c>
      <c r="E802" s="6">
        <v>33.952777777774202</v>
      </c>
      <c r="F802" s="6" t="str" cm="1">
        <f t="array" ref="F802">_xlfn.IFS(
     AND(HOUR(session_data[[#This Row],[Time]])&gt;5,HOUR(session_data[[#This Row],[Time]])&lt;12),"Morning",
     AND(HOUR(session_data[[#This Row],[Time]])&gt;=12,HOUR(session_data[[#This Row],[Time]])&lt;17),"Afternoon",
     AND(HOUR(session_data[[#This Row],[Time]])&gt;=17,HOUR(session_data[[#This Row],[Time]])&lt;21),"Evening",
     TRUE,"Night"
)</f>
        <v>Night</v>
      </c>
      <c r="G802" s="1">
        <f t="shared" si="50"/>
        <v>2022</v>
      </c>
      <c r="H802" s="1" t="str">
        <f t="shared" si="51"/>
        <v>Aug</v>
      </c>
      <c r="I802" s="1" t="str">
        <f t="shared" si="48"/>
        <v>Thu</v>
      </c>
      <c r="J802" s="1" t="s">
        <v>18</v>
      </c>
      <c r="K802" s="1" t="s">
        <v>12</v>
      </c>
      <c r="L802" s="1" t="s">
        <v>119</v>
      </c>
      <c r="M802" s="1" t="s">
        <v>40</v>
      </c>
      <c r="N802" s="1" t="s">
        <v>14</v>
      </c>
      <c r="O802" t="s">
        <v>45</v>
      </c>
    </row>
    <row r="803" spans="1:15" x14ac:dyDescent="0.25">
      <c r="A803" s="1" t="s">
        <v>1217</v>
      </c>
      <c r="B803" s="1" t="s">
        <v>1216</v>
      </c>
      <c r="C803" s="2">
        <v>44625.9</v>
      </c>
      <c r="D803" s="4">
        <f t="shared" si="49"/>
        <v>44625</v>
      </c>
      <c r="E803" s="6">
        <v>33.994444444440902</v>
      </c>
      <c r="F803" s="6" t="str" cm="1">
        <f t="array" ref="F803">_xlfn.IFS(
     AND(HOUR(session_data[[#This Row],[Time]])&gt;5,HOUR(session_data[[#This Row],[Time]])&lt;12),"Morning",
     AND(HOUR(session_data[[#This Row],[Time]])&gt;=12,HOUR(session_data[[#This Row],[Time]])&lt;17),"Afternoon",
     AND(HOUR(session_data[[#This Row],[Time]])&gt;=17,HOUR(session_data[[#This Row],[Time]])&lt;21),"Evening",
     TRUE,"Night"
)</f>
        <v>Night</v>
      </c>
      <c r="G803" s="1">
        <f t="shared" si="50"/>
        <v>2022</v>
      </c>
      <c r="H803" s="1" t="str">
        <f t="shared" si="51"/>
        <v>Mar</v>
      </c>
      <c r="I803" s="1" t="str">
        <f t="shared" si="48"/>
        <v>Sat</v>
      </c>
      <c r="J803" s="1" t="s">
        <v>18</v>
      </c>
      <c r="K803" s="1" t="s">
        <v>12</v>
      </c>
      <c r="L803" s="1" t="s">
        <v>119</v>
      </c>
      <c r="M803" s="1" t="s">
        <v>40</v>
      </c>
      <c r="N803" s="1" t="s">
        <v>22</v>
      </c>
      <c r="O803" t="s">
        <v>45</v>
      </c>
    </row>
    <row r="804" spans="1:15" x14ac:dyDescent="0.25">
      <c r="A804" s="1" t="s">
        <v>1218</v>
      </c>
      <c r="B804" s="1" t="s">
        <v>1219</v>
      </c>
      <c r="C804" s="3">
        <v>45495.411111111112</v>
      </c>
      <c r="D804" s="4">
        <f t="shared" si="49"/>
        <v>45495</v>
      </c>
      <c r="E804" s="6">
        <v>34.036111111107601</v>
      </c>
      <c r="F804" s="6" t="str" cm="1">
        <f t="array" ref="F804">_xlfn.IFS(
     AND(HOUR(session_data[[#This Row],[Time]])&gt;5,HOUR(session_data[[#This Row],[Time]])&lt;12),"Morning",
     AND(HOUR(session_data[[#This Row],[Time]])&gt;=12,HOUR(session_data[[#This Row],[Time]])&lt;17),"Afternoon",
     AND(HOUR(session_data[[#This Row],[Time]])&gt;=17,HOUR(session_data[[#This Row],[Time]])&lt;21),"Evening",
     TRUE,"Night"
)</f>
        <v>Night</v>
      </c>
      <c r="G804" s="1">
        <f t="shared" si="50"/>
        <v>2024</v>
      </c>
      <c r="H804" s="1" t="str">
        <f t="shared" si="51"/>
        <v>Jul</v>
      </c>
      <c r="I804" s="1" t="str">
        <f t="shared" si="48"/>
        <v>Mon</v>
      </c>
      <c r="J804" s="1" t="s">
        <v>18</v>
      </c>
      <c r="K804" s="1" t="s">
        <v>29</v>
      </c>
      <c r="L804" s="1" t="s">
        <v>41</v>
      </c>
      <c r="M804" s="1" t="s">
        <v>40</v>
      </c>
      <c r="N804" s="1" t="s">
        <v>14</v>
      </c>
      <c r="O804" t="s">
        <v>45</v>
      </c>
    </row>
    <row r="805" spans="1:15" x14ac:dyDescent="0.25">
      <c r="A805" s="1" t="s">
        <v>1220</v>
      </c>
      <c r="B805" s="1" t="s">
        <v>1219</v>
      </c>
      <c r="C805" s="3">
        <v>45522.827777777777</v>
      </c>
      <c r="D805" s="4">
        <f t="shared" si="49"/>
        <v>45522</v>
      </c>
      <c r="E805" s="6">
        <v>34.077777777774202</v>
      </c>
      <c r="F805" s="6" t="str" cm="1">
        <f t="array" ref="F805">_xlfn.IFS(
     AND(HOUR(session_data[[#This Row],[Time]])&gt;5,HOUR(session_data[[#This Row],[Time]])&lt;12),"Morning",
     AND(HOUR(session_data[[#This Row],[Time]])&gt;=12,HOUR(session_data[[#This Row],[Time]])&lt;17),"Afternoon",
     AND(HOUR(session_data[[#This Row],[Time]])&gt;=17,HOUR(session_data[[#This Row],[Time]])&lt;21),"Evening",
     TRUE,"Night"
)</f>
        <v>Night</v>
      </c>
      <c r="G805" s="1">
        <f t="shared" si="50"/>
        <v>2024</v>
      </c>
      <c r="H805" s="1" t="str">
        <f t="shared" si="51"/>
        <v>Aug</v>
      </c>
      <c r="I805" s="1" t="str">
        <f t="shared" si="48"/>
        <v>Sun</v>
      </c>
      <c r="J805" s="1" t="s">
        <v>18</v>
      </c>
      <c r="K805" s="1" t="s">
        <v>29</v>
      </c>
      <c r="L805" s="1" t="s">
        <v>41</v>
      </c>
      <c r="M805" s="1" t="s">
        <v>40</v>
      </c>
      <c r="N805" s="1" t="s">
        <v>22</v>
      </c>
      <c r="O805" t="s">
        <v>45</v>
      </c>
    </row>
    <row r="806" spans="1:15" x14ac:dyDescent="0.25">
      <c r="A806" s="1" t="s">
        <v>1221</v>
      </c>
      <c r="B806" s="1" t="s">
        <v>1219</v>
      </c>
      <c r="C806" s="3">
        <v>45556.994444444441</v>
      </c>
      <c r="D806" s="4">
        <f t="shared" si="49"/>
        <v>45556</v>
      </c>
      <c r="E806" s="6">
        <v>34.119444444440902</v>
      </c>
      <c r="F806" s="6" t="str" cm="1">
        <f t="array" ref="F806">_xlfn.IFS(
     AND(HOUR(session_data[[#This Row],[Time]])&gt;5,HOUR(session_data[[#This Row],[Time]])&lt;12),"Morning",
     AND(HOUR(session_data[[#This Row],[Time]])&gt;=12,HOUR(session_data[[#This Row],[Time]])&lt;17),"Afternoon",
     AND(HOUR(session_data[[#This Row],[Time]])&gt;=17,HOUR(session_data[[#This Row],[Time]])&lt;21),"Evening",
     TRUE,"Night"
)</f>
        <v>Night</v>
      </c>
      <c r="G806" s="1">
        <f t="shared" si="50"/>
        <v>2024</v>
      </c>
      <c r="H806" s="1" t="str">
        <f t="shared" si="51"/>
        <v>Sep</v>
      </c>
      <c r="I806" s="1" t="str">
        <f t="shared" si="48"/>
        <v>Sat</v>
      </c>
      <c r="J806" s="1" t="s">
        <v>18</v>
      </c>
      <c r="K806" s="1" t="s">
        <v>29</v>
      </c>
      <c r="L806" s="1" t="s">
        <v>41</v>
      </c>
      <c r="M806" s="1" t="s">
        <v>40</v>
      </c>
      <c r="N806" s="1" t="s">
        <v>22</v>
      </c>
      <c r="O806" t="s">
        <v>45</v>
      </c>
    </row>
    <row r="807" spans="1:15" x14ac:dyDescent="0.25">
      <c r="A807" s="1" t="s">
        <v>1222</v>
      </c>
      <c r="B807" s="1" t="s">
        <v>1219</v>
      </c>
      <c r="C807" s="3">
        <v>45556.161111111112</v>
      </c>
      <c r="D807" s="4">
        <f t="shared" si="49"/>
        <v>45556</v>
      </c>
      <c r="E807" s="6">
        <v>34.161111111107601</v>
      </c>
      <c r="F807" s="6" t="str" cm="1">
        <f t="array" ref="F807">_xlfn.IFS(
     AND(HOUR(session_data[[#This Row],[Time]])&gt;5,HOUR(session_data[[#This Row],[Time]])&lt;12),"Morning",
     AND(HOUR(session_data[[#This Row],[Time]])&gt;=12,HOUR(session_data[[#This Row],[Time]])&lt;17),"Afternoon",
     AND(HOUR(session_data[[#This Row],[Time]])&gt;=17,HOUR(session_data[[#This Row],[Time]])&lt;21),"Evening",
     TRUE,"Night"
)</f>
        <v>Night</v>
      </c>
      <c r="G807" s="1">
        <f t="shared" si="50"/>
        <v>2024</v>
      </c>
      <c r="H807" s="1" t="str">
        <f t="shared" si="51"/>
        <v>Sep</v>
      </c>
      <c r="I807" s="1" t="str">
        <f t="shared" si="48"/>
        <v>Sat</v>
      </c>
      <c r="J807" s="1" t="s">
        <v>18</v>
      </c>
      <c r="K807" s="1" t="s">
        <v>29</v>
      </c>
      <c r="L807" s="1" t="s">
        <v>41</v>
      </c>
      <c r="M807" s="1" t="s">
        <v>40</v>
      </c>
      <c r="N807" s="1" t="s">
        <v>22</v>
      </c>
      <c r="O807" t="s">
        <v>45</v>
      </c>
    </row>
    <row r="808" spans="1:15" x14ac:dyDescent="0.25">
      <c r="A808" s="1" t="s">
        <v>1223</v>
      </c>
      <c r="B808" s="1" t="s">
        <v>1224</v>
      </c>
      <c r="C808" s="2">
        <v>44873.338888888888</v>
      </c>
      <c r="D808" s="4">
        <f t="shared" si="49"/>
        <v>44873</v>
      </c>
      <c r="E808" s="6">
        <v>34.202777777774202</v>
      </c>
      <c r="F808" s="6" t="str" cm="1">
        <f t="array" ref="F808">_xlfn.IFS(
     AND(HOUR(session_data[[#This Row],[Time]])&gt;5,HOUR(session_data[[#This Row],[Time]])&lt;12),"Morning",
     AND(HOUR(session_data[[#This Row],[Time]])&gt;=12,HOUR(session_data[[#This Row],[Time]])&lt;17),"Afternoon",
     AND(HOUR(session_data[[#This Row],[Time]])&gt;=17,HOUR(session_data[[#This Row],[Time]])&lt;21),"Evening",
     TRUE,"Night"
)</f>
        <v>Night</v>
      </c>
      <c r="G808" s="1">
        <f t="shared" si="50"/>
        <v>2022</v>
      </c>
      <c r="H808" s="1" t="str">
        <f t="shared" si="51"/>
        <v>Nov</v>
      </c>
      <c r="I808" s="1" t="str">
        <f t="shared" si="48"/>
        <v>Tue</v>
      </c>
      <c r="J808" s="1" t="s">
        <v>11</v>
      </c>
      <c r="K808" s="1" t="s">
        <v>12</v>
      </c>
      <c r="L808" s="1" t="s">
        <v>41</v>
      </c>
      <c r="M808" s="1" t="s">
        <v>40</v>
      </c>
      <c r="N808" s="1" t="s">
        <v>14</v>
      </c>
      <c r="O808" t="s">
        <v>15</v>
      </c>
    </row>
    <row r="809" spans="1:15" x14ac:dyDescent="0.25">
      <c r="A809" s="1" t="s">
        <v>1225</v>
      </c>
      <c r="B809" s="1" t="s">
        <v>1224</v>
      </c>
      <c r="C809" s="2">
        <v>44690.797222222223</v>
      </c>
      <c r="D809" s="4">
        <f t="shared" si="49"/>
        <v>44690</v>
      </c>
      <c r="E809" s="6">
        <v>34.244444444440902</v>
      </c>
      <c r="F809" s="6" t="str" cm="1">
        <f t="array" ref="F809">_xlfn.IFS(
     AND(HOUR(session_data[[#This Row],[Time]])&gt;5,HOUR(session_data[[#This Row],[Time]])&lt;12),"Morning",
     AND(HOUR(session_data[[#This Row],[Time]])&gt;=12,HOUR(session_data[[#This Row],[Time]])&lt;17),"Afternoon",
     AND(HOUR(session_data[[#This Row],[Time]])&gt;=17,HOUR(session_data[[#This Row],[Time]])&lt;21),"Evening",
     TRUE,"Night"
)</f>
        <v>Night</v>
      </c>
      <c r="G809" s="1">
        <f t="shared" si="50"/>
        <v>2022</v>
      </c>
      <c r="H809" s="1" t="str">
        <f t="shared" si="51"/>
        <v>May</v>
      </c>
      <c r="I809" s="1" t="str">
        <f t="shared" si="48"/>
        <v>Mon</v>
      </c>
      <c r="J809" s="1" t="s">
        <v>11</v>
      </c>
      <c r="K809" s="1" t="s">
        <v>12</v>
      </c>
      <c r="L809" s="1" t="s">
        <v>41</v>
      </c>
      <c r="M809" s="1" t="s">
        <v>40</v>
      </c>
      <c r="N809" s="1" t="s">
        <v>22</v>
      </c>
      <c r="O809" t="s">
        <v>15</v>
      </c>
    </row>
    <row r="810" spans="1:15" x14ac:dyDescent="0.25">
      <c r="A810" s="1" t="s">
        <v>1226</v>
      </c>
      <c r="B810" s="1" t="s">
        <v>1224</v>
      </c>
      <c r="C810" s="3">
        <v>44824.213888888888</v>
      </c>
      <c r="D810" s="4">
        <f t="shared" si="49"/>
        <v>44824</v>
      </c>
      <c r="E810" s="6">
        <v>34.286111111107601</v>
      </c>
      <c r="F810" s="6" t="str" cm="1">
        <f t="array" ref="F810">_xlfn.IFS(
     AND(HOUR(session_data[[#This Row],[Time]])&gt;5,HOUR(session_data[[#This Row],[Time]])&lt;12),"Morning",
     AND(HOUR(session_data[[#This Row],[Time]])&gt;=12,HOUR(session_data[[#This Row],[Time]])&lt;17),"Afternoon",
     AND(HOUR(session_data[[#This Row],[Time]])&gt;=17,HOUR(session_data[[#This Row],[Time]])&lt;21),"Evening",
     TRUE,"Night"
)</f>
        <v>Morning</v>
      </c>
      <c r="G810" s="1">
        <f t="shared" si="50"/>
        <v>2022</v>
      </c>
      <c r="H810" s="1" t="str">
        <f t="shared" si="51"/>
        <v>Sep</v>
      </c>
      <c r="I810" s="1" t="str">
        <f t="shared" si="48"/>
        <v>Tue</v>
      </c>
      <c r="J810" s="1" t="s">
        <v>11</v>
      </c>
      <c r="K810" s="1" t="s">
        <v>12</v>
      </c>
      <c r="L810" s="1" t="s">
        <v>41</v>
      </c>
      <c r="M810" s="1" t="s">
        <v>40</v>
      </c>
      <c r="N810" s="1" t="s">
        <v>22</v>
      </c>
      <c r="O810" t="s">
        <v>15</v>
      </c>
    </row>
    <row r="811" spans="1:15" x14ac:dyDescent="0.25">
      <c r="A811" s="1" t="s">
        <v>1227</v>
      </c>
      <c r="B811" s="1" t="s">
        <v>1228</v>
      </c>
      <c r="C811" s="3">
        <v>44787.606249999997</v>
      </c>
      <c r="D811" s="4">
        <f t="shared" si="49"/>
        <v>44787</v>
      </c>
      <c r="E811" s="6">
        <v>34.327777777774202</v>
      </c>
      <c r="F811" s="6" t="str" cm="1">
        <f t="array" ref="F811">_xlfn.IFS(
     AND(HOUR(session_data[[#This Row],[Time]])&gt;5,HOUR(session_data[[#This Row],[Time]])&lt;12),"Morning",
     AND(HOUR(session_data[[#This Row],[Time]])&gt;=12,HOUR(session_data[[#This Row],[Time]])&lt;17),"Afternoon",
     AND(HOUR(session_data[[#This Row],[Time]])&gt;=17,HOUR(session_data[[#This Row],[Time]])&lt;21),"Evening",
     TRUE,"Night"
)</f>
        <v>Morning</v>
      </c>
      <c r="G811" s="1">
        <f t="shared" si="50"/>
        <v>2022</v>
      </c>
      <c r="H811" s="1" t="str">
        <f t="shared" si="51"/>
        <v>Aug</v>
      </c>
      <c r="I811" s="1" t="str">
        <f t="shared" si="48"/>
        <v>Sun</v>
      </c>
      <c r="J811" s="1" t="s">
        <v>44</v>
      </c>
      <c r="K811" s="1" t="s">
        <v>12</v>
      </c>
      <c r="L811" s="1" t="s">
        <v>94</v>
      </c>
      <c r="M811" s="1" t="s">
        <v>32</v>
      </c>
      <c r="N811" s="1" t="s">
        <v>14</v>
      </c>
      <c r="O811" t="s">
        <v>15</v>
      </c>
    </row>
    <row r="812" spans="1:15" x14ac:dyDescent="0.25">
      <c r="A812" s="1" t="s">
        <v>1229</v>
      </c>
      <c r="B812" s="1" t="s">
        <v>1228</v>
      </c>
      <c r="C812" s="3">
        <v>44802.231249999997</v>
      </c>
      <c r="D812" s="4">
        <f t="shared" si="49"/>
        <v>44802</v>
      </c>
      <c r="E812" s="6">
        <v>34.369444444440902</v>
      </c>
      <c r="F812" s="6" t="str" cm="1">
        <f t="array" ref="F812">_xlfn.IFS(
     AND(HOUR(session_data[[#This Row],[Time]])&gt;5,HOUR(session_data[[#This Row],[Time]])&lt;12),"Morning",
     AND(HOUR(session_data[[#This Row],[Time]])&gt;=12,HOUR(session_data[[#This Row],[Time]])&lt;17),"Afternoon",
     AND(HOUR(session_data[[#This Row],[Time]])&gt;=17,HOUR(session_data[[#This Row],[Time]])&lt;21),"Evening",
     TRUE,"Night"
)</f>
        <v>Morning</v>
      </c>
      <c r="G812" s="1">
        <f t="shared" si="50"/>
        <v>2022</v>
      </c>
      <c r="H812" s="1" t="str">
        <f t="shared" si="51"/>
        <v>Aug</v>
      </c>
      <c r="I812" s="1" t="str">
        <f t="shared" si="48"/>
        <v>Mon</v>
      </c>
      <c r="J812" s="1" t="s">
        <v>44</v>
      </c>
      <c r="K812" s="1" t="s">
        <v>12</v>
      </c>
      <c r="L812" s="1" t="s">
        <v>94</v>
      </c>
      <c r="M812" s="1" t="s">
        <v>32</v>
      </c>
      <c r="N812" s="1" t="s">
        <v>22</v>
      </c>
      <c r="O812" t="s">
        <v>15</v>
      </c>
    </row>
    <row r="813" spans="1:15" x14ac:dyDescent="0.25">
      <c r="A813" s="1" t="s">
        <v>1230</v>
      </c>
      <c r="B813" s="1" t="s">
        <v>1228</v>
      </c>
      <c r="C813" s="3">
        <v>44830.356249999997</v>
      </c>
      <c r="D813" s="4">
        <f t="shared" si="49"/>
        <v>44830</v>
      </c>
      <c r="E813" s="6">
        <v>34.411111111107601</v>
      </c>
      <c r="F813" s="6" t="str" cm="1">
        <f t="array" ref="F813">_xlfn.IFS(
     AND(HOUR(session_data[[#This Row],[Time]])&gt;5,HOUR(session_data[[#This Row],[Time]])&lt;12),"Morning",
     AND(HOUR(session_data[[#This Row],[Time]])&gt;=12,HOUR(session_data[[#This Row],[Time]])&lt;17),"Afternoon",
     AND(HOUR(session_data[[#This Row],[Time]])&gt;=17,HOUR(session_data[[#This Row],[Time]])&lt;21),"Evening",
     TRUE,"Night"
)</f>
        <v>Morning</v>
      </c>
      <c r="G813" s="1">
        <f t="shared" si="50"/>
        <v>2022</v>
      </c>
      <c r="H813" s="1" t="str">
        <f t="shared" si="51"/>
        <v>Sep</v>
      </c>
      <c r="I813" s="1" t="str">
        <f t="shared" si="48"/>
        <v>Mon</v>
      </c>
      <c r="J813" s="1" t="s">
        <v>44</v>
      </c>
      <c r="K813" s="1" t="s">
        <v>12</v>
      </c>
      <c r="L813" s="1" t="s">
        <v>94</v>
      </c>
      <c r="M813" s="1" t="s">
        <v>32</v>
      </c>
      <c r="N813" s="1" t="s">
        <v>22</v>
      </c>
      <c r="O813" t="s">
        <v>15</v>
      </c>
    </row>
    <row r="814" spans="1:15" x14ac:dyDescent="0.25">
      <c r="A814" s="1" t="s">
        <v>1231</v>
      </c>
      <c r="B814" s="1" t="s">
        <v>1232</v>
      </c>
      <c r="C814" s="3">
        <v>45534.613888888889</v>
      </c>
      <c r="D814" s="4">
        <f t="shared" si="49"/>
        <v>45534</v>
      </c>
      <c r="E814" s="6">
        <v>34.452777777774202</v>
      </c>
      <c r="F814" s="6" t="str" cm="1">
        <f t="array" ref="F814">_xlfn.IFS(
     AND(HOUR(session_data[[#This Row],[Time]])&gt;5,HOUR(session_data[[#This Row],[Time]])&lt;12),"Morning",
     AND(HOUR(session_data[[#This Row],[Time]])&gt;=12,HOUR(session_data[[#This Row],[Time]])&lt;17),"Afternoon",
     AND(HOUR(session_data[[#This Row],[Time]])&gt;=17,HOUR(session_data[[#This Row],[Time]])&lt;21),"Evening",
     TRUE,"Night"
)</f>
        <v>Morning</v>
      </c>
      <c r="G814" s="1">
        <f t="shared" si="50"/>
        <v>2024</v>
      </c>
      <c r="H814" s="1" t="str">
        <f t="shared" si="51"/>
        <v>Aug</v>
      </c>
      <c r="I814" s="1" t="str">
        <f t="shared" si="48"/>
        <v>Fri</v>
      </c>
      <c r="J814" s="1" t="s">
        <v>11</v>
      </c>
      <c r="K814" s="1" t="s">
        <v>29</v>
      </c>
      <c r="L814" s="1" t="s">
        <v>30</v>
      </c>
      <c r="M814" s="1" t="s">
        <v>32</v>
      </c>
      <c r="N814" s="1" t="s">
        <v>14</v>
      </c>
      <c r="O814" t="s">
        <v>45</v>
      </c>
    </row>
    <row r="815" spans="1:15" x14ac:dyDescent="0.25">
      <c r="A815" s="1" t="s">
        <v>1233</v>
      </c>
      <c r="B815" s="1" t="s">
        <v>1234</v>
      </c>
      <c r="C815" s="3">
        <v>44677.143750000003</v>
      </c>
      <c r="D815" s="4">
        <f t="shared" si="49"/>
        <v>44677</v>
      </c>
      <c r="E815" s="6">
        <v>34.494444444440902</v>
      </c>
      <c r="F815" s="6" t="str" cm="1">
        <f t="array" ref="F815">_xlfn.IFS(
     AND(HOUR(session_data[[#This Row],[Time]])&gt;5,HOUR(session_data[[#This Row],[Time]])&lt;12),"Morning",
     AND(HOUR(session_data[[#This Row],[Time]])&gt;=12,HOUR(session_data[[#This Row],[Time]])&lt;17),"Afternoon",
     AND(HOUR(session_data[[#This Row],[Time]])&gt;=17,HOUR(session_data[[#This Row],[Time]])&lt;21),"Evening",
     TRUE,"Night"
)</f>
        <v>Morning</v>
      </c>
      <c r="G815" s="1">
        <f t="shared" si="50"/>
        <v>2022</v>
      </c>
      <c r="H815" s="1" t="str">
        <f t="shared" si="51"/>
        <v>Apr</v>
      </c>
      <c r="I815" s="1" t="str">
        <f t="shared" si="48"/>
        <v>Tue</v>
      </c>
      <c r="J815" s="1" t="s">
        <v>11</v>
      </c>
      <c r="K815" s="1" t="s">
        <v>12</v>
      </c>
      <c r="L815" s="1" t="s">
        <v>30</v>
      </c>
      <c r="M815" s="1" t="s">
        <v>32</v>
      </c>
      <c r="N815" s="1" t="s">
        <v>14</v>
      </c>
      <c r="O815" t="s">
        <v>15</v>
      </c>
    </row>
    <row r="816" spans="1:15" x14ac:dyDescent="0.25">
      <c r="A816" s="1" t="s">
        <v>1235</v>
      </c>
      <c r="B816" s="1" t="s">
        <v>1236</v>
      </c>
      <c r="C816" s="2">
        <v>44994.643750000003</v>
      </c>
      <c r="D816" s="4">
        <f t="shared" si="49"/>
        <v>44994</v>
      </c>
      <c r="E816" s="6">
        <v>34.536111111107601</v>
      </c>
      <c r="F816" s="6" t="str" cm="1">
        <f t="array" ref="F816">_xlfn.IFS(
     AND(HOUR(session_data[[#This Row],[Time]])&gt;5,HOUR(session_data[[#This Row],[Time]])&lt;12),"Morning",
     AND(HOUR(session_data[[#This Row],[Time]])&gt;=12,HOUR(session_data[[#This Row],[Time]])&lt;17),"Afternoon",
     AND(HOUR(session_data[[#This Row],[Time]])&gt;=17,HOUR(session_data[[#This Row],[Time]])&lt;21),"Evening",
     TRUE,"Night"
)</f>
        <v>Afternoon</v>
      </c>
      <c r="G816" s="1">
        <f t="shared" si="50"/>
        <v>2023</v>
      </c>
      <c r="H816" s="1" t="str">
        <f t="shared" si="51"/>
        <v>Mar</v>
      </c>
      <c r="I816" s="1" t="str">
        <f t="shared" si="48"/>
        <v>Thu</v>
      </c>
      <c r="J816" s="1" t="s">
        <v>44</v>
      </c>
      <c r="K816" s="1" t="s">
        <v>12</v>
      </c>
      <c r="L816" s="1" t="s">
        <v>13</v>
      </c>
      <c r="M816" s="1" t="s">
        <v>32</v>
      </c>
      <c r="N816" s="1" t="s">
        <v>14</v>
      </c>
      <c r="O816" t="s">
        <v>15</v>
      </c>
    </row>
    <row r="817" spans="1:15" x14ac:dyDescent="0.25">
      <c r="A817" s="1" t="s">
        <v>1237</v>
      </c>
      <c r="B817" s="1" t="s">
        <v>1236</v>
      </c>
      <c r="C817" s="3">
        <v>45199.768750000003</v>
      </c>
      <c r="D817" s="4">
        <f t="shared" si="49"/>
        <v>45199</v>
      </c>
      <c r="E817" s="6">
        <v>34.577777777774202</v>
      </c>
      <c r="F817" s="6" t="str" cm="1">
        <f t="array" ref="F817">_xlfn.IFS(
     AND(HOUR(session_data[[#This Row],[Time]])&gt;5,HOUR(session_data[[#This Row],[Time]])&lt;12),"Morning",
     AND(HOUR(session_data[[#This Row],[Time]])&gt;=12,HOUR(session_data[[#This Row],[Time]])&lt;17),"Afternoon",
     AND(HOUR(session_data[[#This Row],[Time]])&gt;=17,HOUR(session_data[[#This Row],[Time]])&lt;21),"Evening",
     TRUE,"Night"
)</f>
        <v>Afternoon</v>
      </c>
      <c r="G817" s="1">
        <f t="shared" si="50"/>
        <v>2023</v>
      </c>
      <c r="H817" s="1" t="str">
        <f t="shared" si="51"/>
        <v>Sep</v>
      </c>
      <c r="I817" s="1" t="str">
        <f t="shared" si="48"/>
        <v>Sat</v>
      </c>
      <c r="J817" s="1" t="s">
        <v>44</v>
      </c>
      <c r="K817" s="1" t="s">
        <v>12</v>
      </c>
      <c r="L817" s="1" t="s">
        <v>13</v>
      </c>
      <c r="M817" s="1" t="s">
        <v>32</v>
      </c>
      <c r="N817" s="1" t="s">
        <v>22</v>
      </c>
      <c r="O817" t="s">
        <v>15</v>
      </c>
    </row>
    <row r="818" spans="1:15" x14ac:dyDescent="0.25">
      <c r="A818" s="1" t="s">
        <v>1238</v>
      </c>
      <c r="B818" s="1" t="s">
        <v>1236</v>
      </c>
      <c r="C818" s="3">
        <v>45217.435416666667</v>
      </c>
      <c r="D818" s="4">
        <f t="shared" si="49"/>
        <v>45217</v>
      </c>
      <c r="E818" s="6">
        <v>34.619444444440902</v>
      </c>
      <c r="F818" s="6" t="str" cm="1">
        <f t="array" ref="F818">_xlfn.IFS(
     AND(HOUR(session_data[[#This Row],[Time]])&gt;5,HOUR(session_data[[#This Row],[Time]])&lt;12),"Morning",
     AND(HOUR(session_data[[#This Row],[Time]])&gt;=12,HOUR(session_data[[#This Row],[Time]])&lt;17),"Afternoon",
     AND(HOUR(session_data[[#This Row],[Time]])&gt;=17,HOUR(session_data[[#This Row],[Time]])&lt;21),"Evening",
     TRUE,"Night"
)</f>
        <v>Afternoon</v>
      </c>
      <c r="G818" s="1">
        <f t="shared" si="50"/>
        <v>2023</v>
      </c>
      <c r="H818" s="1" t="str">
        <f t="shared" si="51"/>
        <v>Oct</v>
      </c>
      <c r="I818" s="1" t="str">
        <f t="shared" si="48"/>
        <v>Wed</v>
      </c>
      <c r="J818" s="1" t="s">
        <v>44</v>
      </c>
      <c r="K818" s="1" t="s">
        <v>12</v>
      </c>
      <c r="L818" s="1" t="s">
        <v>13</v>
      </c>
      <c r="M818" s="1" t="s">
        <v>32</v>
      </c>
      <c r="N818" s="1" t="s">
        <v>22</v>
      </c>
      <c r="O818" t="s">
        <v>15</v>
      </c>
    </row>
    <row r="819" spans="1:15" x14ac:dyDescent="0.25">
      <c r="A819" s="1" t="s">
        <v>1239</v>
      </c>
      <c r="B819" s="1" t="s">
        <v>1240</v>
      </c>
      <c r="C819" s="2">
        <v>44685.978472222225</v>
      </c>
      <c r="D819" s="4">
        <f t="shared" si="49"/>
        <v>44685</v>
      </c>
      <c r="E819" s="6">
        <v>34.661111111107601</v>
      </c>
      <c r="F819" s="6" t="str" cm="1">
        <f t="array" ref="F819">_xlfn.IFS(
     AND(HOUR(session_data[[#This Row],[Time]])&gt;5,HOUR(session_data[[#This Row],[Time]])&lt;12),"Morning",
     AND(HOUR(session_data[[#This Row],[Time]])&gt;=12,HOUR(session_data[[#This Row],[Time]])&lt;17),"Afternoon",
     AND(HOUR(session_data[[#This Row],[Time]])&gt;=17,HOUR(session_data[[#This Row],[Time]])&lt;21),"Evening",
     TRUE,"Night"
)</f>
        <v>Afternoon</v>
      </c>
      <c r="G819" s="1">
        <f t="shared" si="50"/>
        <v>2022</v>
      </c>
      <c r="H819" s="1" t="str">
        <f t="shared" si="51"/>
        <v>May</v>
      </c>
      <c r="I819" s="1" t="str">
        <f t="shared" si="48"/>
        <v>Wed</v>
      </c>
      <c r="J819" s="1" t="s">
        <v>18</v>
      </c>
      <c r="K819" s="1" t="s">
        <v>12</v>
      </c>
      <c r="L819" s="1" t="s">
        <v>20</v>
      </c>
      <c r="M819" s="1" t="s">
        <v>19</v>
      </c>
      <c r="N819" s="1" t="s">
        <v>14</v>
      </c>
      <c r="O819" t="s">
        <v>45</v>
      </c>
    </row>
    <row r="820" spans="1:15" x14ac:dyDescent="0.25">
      <c r="A820" s="1" t="s">
        <v>1241</v>
      </c>
      <c r="B820" s="1" t="s">
        <v>1240</v>
      </c>
      <c r="C820" s="3">
        <v>44668.770138888889</v>
      </c>
      <c r="D820" s="4">
        <f t="shared" si="49"/>
        <v>44668</v>
      </c>
      <c r="E820" s="6">
        <v>34.702777777774202</v>
      </c>
      <c r="F820" s="6" t="str" cm="1">
        <f t="array" ref="F820">_xlfn.IFS(
     AND(HOUR(session_data[[#This Row],[Time]])&gt;5,HOUR(session_data[[#This Row],[Time]])&lt;12),"Morning",
     AND(HOUR(session_data[[#This Row],[Time]])&gt;=12,HOUR(session_data[[#This Row],[Time]])&lt;17),"Afternoon",
     AND(HOUR(session_data[[#This Row],[Time]])&gt;=17,HOUR(session_data[[#This Row],[Time]])&lt;21),"Evening",
     TRUE,"Night"
)</f>
        <v>Afternoon</v>
      </c>
      <c r="G820" s="1">
        <f t="shared" si="50"/>
        <v>2022</v>
      </c>
      <c r="H820" s="1" t="str">
        <f t="shared" si="51"/>
        <v>Apr</v>
      </c>
      <c r="I820" s="1" t="str">
        <f t="shared" si="48"/>
        <v>Sun</v>
      </c>
      <c r="J820" s="1" t="s">
        <v>18</v>
      </c>
      <c r="K820" s="1" t="s">
        <v>12</v>
      </c>
      <c r="L820" s="1" t="s">
        <v>20</v>
      </c>
      <c r="M820" s="1" t="s">
        <v>19</v>
      </c>
      <c r="N820" s="1" t="s">
        <v>22</v>
      </c>
      <c r="O820" t="s">
        <v>45</v>
      </c>
    </row>
    <row r="821" spans="1:15" x14ac:dyDescent="0.25">
      <c r="A821" s="1" t="s">
        <v>1242</v>
      </c>
      <c r="B821" s="1" t="s">
        <v>1240</v>
      </c>
      <c r="C821" s="2">
        <v>44900.770138888889</v>
      </c>
      <c r="D821" s="4">
        <f t="shared" si="49"/>
        <v>44900</v>
      </c>
      <c r="E821" s="6">
        <v>34.744444444440902</v>
      </c>
      <c r="F821" s="6" t="str" cm="1">
        <f t="array" ref="F821">_xlfn.IFS(
     AND(HOUR(session_data[[#This Row],[Time]])&gt;5,HOUR(session_data[[#This Row],[Time]])&lt;12),"Morning",
     AND(HOUR(session_data[[#This Row],[Time]])&gt;=12,HOUR(session_data[[#This Row],[Time]])&lt;17),"Afternoon",
     AND(HOUR(session_data[[#This Row],[Time]])&gt;=17,HOUR(session_data[[#This Row],[Time]])&lt;21),"Evening",
     TRUE,"Night"
)</f>
        <v>Evening</v>
      </c>
      <c r="G821" s="1">
        <f t="shared" si="50"/>
        <v>2022</v>
      </c>
      <c r="H821" s="1" t="str">
        <f t="shared" si="51"/>
        <v>Dec</v>
      </c>
      <c r="I821" s="1" t="str">
        <f t="shared" si="48"/>
        <v>Mon</v>
      </c>
      <c r="J821" s="1" t="s">
        <v>18</v>
      </c>
      <c r="K821" s="1" t="s">
        <v>12</v>
      </c>
      <c r="L821" s="1" t="s">
        <v>20</v>
      </c>
      <c r="M821" s="1" t="s">
        <v>19</v>
      </c>
      <c r="N821" s="1" t="s">
        <v>22</v>
      </c>
      <c r="O821" t="s">
        <v>45</v>
      </c>
    </row>
    <row r="822" spans="1:15" x14ac:dyDescent="0.25">
      <c r="A822" s="1" t="s">
        <v>1243</v>
      </c>
      <c r="B822" s="1" t="s">
        <v>1244</v>
      </c>
      <c r="C822" s="2">
        <v>45139.922222222223</v>
      </c>
      <c r="D822" s="4">
        <f t="shared" si="49"/>
        <v>45139</v>
      </c>
      <c r="E822" s="6">
        <v>34.786111111107601</v>
      </c>
      <c r="F822" s="6" t="str" cm="1">
        <f t="array" ref="F822">_xlfn.IFS(
     AND(HOUR(session_data[[#This Row],[Time]])&gt;5,HOUR(session_data[[#This Row],[Time]])&lt;12),"Morning",
     AND(HOUR(session_data[[#This Row],[Time]])&gt;=12,HOUR(session_data[[#This Row],[Time]])&lt;17),"Afternoon",
     AND(HOUR(session_data[[#This Row],[Time]])&gt;=17,HOUR(session_data[[#This Row],[Time]])&lt;21),"Evening",
     TRUE,"Night"
)</f>
        <v>Evening</v>
      </c>
      <c r="G822" s="1">
        <f t="shared" si="50"/>
        <v>2023</v>
      </c>
      <c r="H822" s="1" t="str">
        <f t="shared" si="51"/>
        <v>Aug</v>
      </c>
      <c r="I822" s="1" t="str">
        <f t="shared" si="48"/>
        <v>Tue</v>
      </c>
      <c r="J822" s="1" t="s">
        <v>44</v>
      </c>
      <c r="K822" s="1" t="s">
        <v>12</v>
      </c>
      <c r="L822" s="1" t="s">
        <v>119</v>
      </c>
      <c r="M822" s="1" t="s">
        <v>40</v>
      </c>
      <c r="N822" s="1" t="s">
        <v>14</v>
      </c>
      <c r="O822" t="s">
        <v>45</v>
      </c>
    </row>
    <row r="823" spans="1:15" x14ac:dyDescent="0.25">
      <c r="A823" s="1" t="s">
        <v>1245</v>
      </c>
      <c r="B823" s="1" t="s">
        <v>1244</v>
      </c>
      <c r="C823" s="3">
        <v>44955.047222222223</v>
      </c>
      <c r="D823" s="4">
        <f t="shared" si="49"/>
        <v>44955</v>
      </c>
      <c r="E823" s="6">
        <v>34.827777777774202</v>
      </c>
      <c r="F823" s="6" t="str" cm="1">
        <f t="array" ref="F823">_xlfn.IFS(
     AND(HOUR(session_data[[#This Row],[Time]])&gt;5,HOUR(session_data[[#This Row],[Time]])&lt;12),"Morning",
     AND(HOUR(session_data[[#This Row],[Time]])&gt;=12,HOUR(session_data[[#This Row],[Time]])&lt;17),"Afternoon",
     AND(HOUR(session_data[[#This Row],[Time]])&gt;=17,HOUR(session_data[[#This Row],[Time]])&lt;21),"Evening",
     TRUE,"Night"
)</f>
        <v>Evening</v>
      </c>
      <c r="G823" s="1">
        <f t="shared" si="50"/>
        <v>2023</v>
      </c>
      <c r="H823" s="1" t="str">
        <f t="shared" si="51"/>
        <v>Jan</v>
      </c>
      <c r="I823" s="1" t="str">
        <f t="shared" si="48"/>
        <v>Sun</v>
      </c>
      <c r="J823" s="1" t="s">
        <v>44</v>
      </c>
      <c r="K823" s="1" t="s">
        <v>12</v>
      </c>
      <c r="L823" s="1" t="s">
        <v>119</v>
      </c>
      <c r="M823" s="1" t="s">
        <v>40</v>
      </c>
      <c r="N823" s="1" t="s">
        <v>22</v>
      </c>
      <c r="O823" t="s">
        <v>45</v>
      </c>
    </row>
    <row r="824" spans="1:15" x14ac:dyDescent="0.25">
      <c r="A824" s="1" t="s">
        <v>1246</v>
      </c>
      <c r="B824" s="1" t="s">
        <v>1244</v>
      </c>
      <c r="C824" s="3">
        <v>44982.505555555559</v>
      </c>
      <c r="D824" s="4">
        <f t="shared" si="49"/>
        <v>44982</v>
      </c>
      <c r="E824" s="6">
        <v>34.869444444440902</v>
      </c>
      <c r="F824" s="6" t="str" cm="1">
        <f t="array" ref="F824">_xlfn.IFS(
     AND(HOUR(session_data[[#This Row],[Time]])&gt;5,HOUR(session_data[[#This Row],[Time]])&lt;12),"Morning",
     AND(HOUR(session_data[[#This Row],[Time]])&gt;=12,HOUR(session_data[[#This Row],[Time]])&lt;17),"Afternoon",
     AND(HOUR(session_data[[#This Row],[Time]])&gt;=17,HOUR(session_data[[#This Row],[Time]])&lt;21),"Evening",
     TRUE,"Night"
)</f>
        <v>Evening</v>
      </c>
      <c r="G824" s="1">
        <f t="shared" si="50"/>
        <v>2023</v>
      </c>
      <c r="H824" s="1" t="str">
        <f t="shared" si="51"/>
        <v>Feb</v>
      </c>
      <c r="I824" s="1" t="str">
        <f t="shared" si="48"/>
        <v>Sat</v>
      </c>
      <c r="J824" s="1" t="s">
        <v>44</v>
      </c>
      <c r="K824" s="1" t="s">
        <v>12</v>
      </c>
      <c r="L824" s="1" t="s">
        <v>119</v>
      </c>
      <c r="M824" s="1" t="s">
        <v>40</v>
      </c>
      <c r="N824" s="1" t="s">
        <v>22</v>
      </c>
      <c r="O824" t="s">
        <v>45</v>
      </c>
    </row>
    <row r="825" spans="1:15" x14ac:dyDescent="0.25">
      <c r="A825" s="1" t="s">
        <v>1247</v>
      </c>
      <c r="B825" s="1" t="s">
        <v>1244</v>
      </c>
      <c r="C825" s="3">
        <v>44985.130555555559</v>
      </c>
      <c r="D825" s="4">
        <f t="shared" si="49"/>
        <v>44985</v>
      </c>
      <c r="E825" s="6">
        <v>34.911111111107601</v>
      </c>
      <c r="F825" s="6" t="str" cm="1">
        <f t="array" ref="F825">_xlfn.IFS(
     AND(HOUR(session_data[[#This Row],[Time]])&gt;5,HOUR(session_data[[#This Row],[Time]])&lt;12),"Morning",
     AND(HOUR(session_data[[#This Row],[Time]])&gt;=12,HOUR(session_data[[#This Row],[Time]])&lt;17),"Afternoon",
     AND(HOUR(session_data[[#This Row],[Time]])&gt;=17,HOUR(session_data[[#This Row],[Time]])&lt;21),"Evening",
     TRUE,"Night"
)</f>
        <v>Night</v>
      </c>
      <c r="G825" s="1">
        <f t="shared" si="50"/>
        <v>2023</v>
      </c>
      <c r="H825" s="1" t="str">
        <f t="shared" si="51"/>
        <v>Feb</v>
      </c>
      <c r="I825" s="1" t="str">
        <f t="shared" si="48"/>
        <v>Tue</v>
      </c>
      <c r="J825" s="1" t="s">
        <v>44</v>
      </c>
      <c r="K825" s="1" t="s">
        <v>12</v>
      </c>
      <c r="L825" s="1" t="s">
        <v>119</v>
      </c>
      <c r="M825" s="1" t="s">
        <v>40</v>
      </c>
      <c r="N825" s="1" t="s">
        <v>22</v>
      </c>
      <c r="O825" t="s">
        <v>45</v>
      </c>
    </row>
    <row r="826" spans="1:15" x14ac:dyDescent="0.25">
      <c r="A826" s="1" t="s">
        <v>1248</v>
      </c>
      <c r="B826" s="1" t="s">
        <v>1244</v>
      </c>
      <c r="C826" s="3">
        <v>45016.297222222223</v>
      </c>
      <c r="D826" s="4">
        <f t="shared" si="49"/>
        <v>45016</v>
      </c>
      <c r="E826" s="6">
        <v>34.952777777774202</v>
      </c>
      <c r="F826" s="6" t="str" cm="1">
        <f t="array" ref="F826">_xlfn.IFS(
     AND(HOUR(session_data[[#This Row],[Time]])&gt;5,HOUR(session_data[[#This Row],[Time]])&lt;12),"Morning",
     AND(HOUR(session_data[[#This Row],[Time]])&gt;=12,HOUR(session_data[[#This Row],[Time]])&lt;17),"Afternoon",
     AND(HOUR(session_data[[#This Row],[Time]])&gt;=17,HOUR(session_data[[#This Row],[Time]])&lt;21),"Evening",
     TRUE,"Night"
)</f>
        <v>Night</v>
      </c>
      <c r="G826" s="1">
        <f t="shared" si="50"/>
        <v>2023</v>
      </c>
      <c r="H826" s="1" t="str">
        <f t="shared" si="51"/>
        <v>Mar</v>
      </c>
      <c r="I826" s="1" t="str">
        <f t="shared" si="48"/>
        <v>Fri</v>
      </c>
      <c r="J826" s="1" t="s">
        <v>44</v>
      </c>
      <c r="K826" s="1" t="s">
        <v>12</v>
      </c>
      <c r="L826" s="1" t="s">
        <v>119</v>
      </c>
      <c r="M826" s="1" t="s">
        <v>40</v>
      </c>
      <c r="N826" s="1" t="s">
        <v>22</v>
      </c>
      <c r="O826" t="s">
        <v>45</v>
      </c>
    </row>
    <row r="827" spans="1:15" x14ac:dyDescent="0.25">
      <c r="A827" s="1" t="s">
        <v>1249</v>
      </c>
      <c r="B827" s="1" t="s">
        <v>1250</v>
      </c>
      <c r="C827" s="3">
        <v>45275.69027777778</v>
      </c>
      <c r="D827" s="4">
        <f t="shared" si="49"/>
        <v>45275</v>
      </c>
      <c r="E827" s="6">
        <v>34.994444444440902</v>
      </c>
      <c r="F827" s="6" t="str" cm="1">
        <f t="array" ref="F827">_xlfn.IFS(
     AND(HOUR(session_data[[#This Row],[Time]])&gt;5,HOUR(session_data[[#This Row],[Time]])&lt;12),"Morning",
     AND(HOUR(session_data[[#This Row],[Time]])&gt;=12,HOUR(session_data[[#This Row],[Time]])&lt;17),"Afternoon",
     AND(HOUR(session_data[[#This Row],[Time]])&gt;=17,HOUR(session_data[[#This Row],[Time]])&lt;21),"Evening",
     TRUE,"Night"
)</f>
        <v>Night</v>
      </c>
      <c r="G827" s="1">
        <f t="shared" si="50"/>
        <v>2023</v>
      </c>
      <c r="H827" s="1" t="str">
        <f t="shared" si="51"/>
        <v>Dec</v>
      </c>
      <c r="I827" s="1" t="str">
        <f t="shared" si="48"/>
        <v>Fri</v>
      </c>
      <c r="J827" s="1" t="s">
        <v>18</v>
      </c>
      <c r="K827" s="1" t="s">
        <v>12</v>
      </c>
      <c r="L827" s="1" t="s">
        <v>41</v>
      </c>
      <c r="M827" s="1" t="s">
        <v>40</v>
      </c>
      <c r="N827" s="1" t="s">
        <v>14</v>
      </c>
      <c r="O827" t="s">
        <v>45</v>
      </c>
    </row>
    <row r="828" spans="1:15" x14ac:dyDescent="0.25">
      <c r="A828" s="1" t="s">
        <v>1251</v>
      </c>
      <c r="B828" s="1" t="s">
        <v>1250</v>
      </c>
      <c r="C828" s="3">
        <v>45306.231944444444</v>
      </c>
      <c r="D828" s="4">
        <f t="shared" si="49"/>
        <v>45306</v>
      </c>
      <c r="E828" s="6">
        <v>35.036111111107601</v>
      </c>
      <c r="F828" s="6" t="str" cm="1">
        <f t="array" ref="F828">_xlfn.IFS(
     AND(HOUR(session_data[[#This Row],[Time]])&gt;5,HOUR(session_data[[#This Row],[Time]])&lt;12),"Morning",
     AND(HOUR(session_data[[#This Row],[Time]])&gt;=12,HOUR(session_data[[#This Row],[Time]])&lt;17),"Afternoon",
     AND(HOUR(session_data[[#This Row],[Time]])&gt;=17,HOUR(session_data[[#This Row],[Time]])&lt;21),"Evening",
     TRUE,"Night"
)</f>
        <v>Night</v>
      </c>
      <c r="G828" s="1">
        <f t="shared" si="50"/>
        <v>2024</v>
      </c>
      <c r="H828" s="1" t="str">
        <f t="shared" si="51"/>
        <v>Jan</v>
      </c>
      <c r="I828" s="1" t="str">
        <f t="shared" si="48"/>
        <v>Mon</v>
      </c>
      <c r="J828" s="1" t="s">
        <v>18</v>
      </c>
      <c r="K828" s="1" t="s">
        <v>12</v>
      </c>
      <c r="L828" s="1" t="s">
        <v>41</v>
      </c>
      <c r="M828" s="1" t="s">
        <v>40</v>
      </c>
      <c r="N828" s="1" t="s">
        <v>22</v>
      </c>
      <c r="O828" t="s">
        <v>45</v>
      </c>
    </row>
    <row r="829" spans="1:15" x14ac:dyDescent="0.25">
      <c r="A829" s="1" t="s">
        <v>1252</v>
      </c>
      <c r="B829" s="1" t="s">
        <v>1253</v>
      </c>
      <c r="C829" s="2">
        <v>44898.443749999999</v>
      </c>
      <c r="D829" s="4">
        <f t="shared" si="49"/>
        <v>44898</v>
      </c>
      <c r="E829" s="6">
        <v>35.077777777774202</v>
      </c>
      <c r="F829" s="6" t="str" cm="1">
        <f t="array" ref="F829">_xlfn.IFS(
     AND(HOUR(session_data[[#This Row],[Time]])&gt;5,HOUR(session_data[[#This Row],[Time]])&lt;12),"Morning",
     AND(HOUR(session_data[[#This Row],[Time]])&gt;=12,HOUR(session_data[[#This Row],[Time]])&lt;17),"Afternoon",
     AND(HOUR(session_data[[#This Row],[Time]])&gt;=17,HOUR(session_data[[#This Row],[Time]])&lt;21),"Evening",
     TRUE,"Night"
)</f>
        <v>Night</v>
      </c>
      <c r="G829" s="1">
        <f t="shared" si="50"/>
        <v>2022</v>
      </c>
      <c r="H829" s="1" t="str">
        <f t="shared" si="51"/>
        <v>Dec</v>
      </c>
      <c r="I829" s="1" t="str">
        <f t="shared" si="48"/>
        <v>Sat</v>
      </c>
      <c r="J829" s="1" t="s">
        <v>44</v>
      </c>
      <c r="K829" s="1" t="s">
        <v>12</v>
      </c>
      <c r="L829" s="1" t="s">
        <v>94</v>
      </c>
      <c r="M829" s="1" t="s">
        <v>32</v>
      </c>
      <c r="N829" s="1" t="s">
        <v>14</v>
      </c>
      <c r="O829" t="s">
        <v>45</v>
      </c>
    </row>
    <row r="830" spans="1:15" x14ac:dyDescent="0.25">
      <c r="A830" s="1" t="s">
        <v>1254</v>
      </c>
      <c r="B830" s="1" t="s">
        <v>1255</v>
      </c>
      <c r="C830" s="2">
        <v>44806.581250000003</v>
      </c>
      <c r="D830" s="4">
        <f t="shared" si="49"/>
        <v>44806</v>
      </c>
      <c r="E830" s="6">
        <v>35.119444444440902</v>
      </c>
      <c r="F830" s="6" t="str" cm="1">
        <f t="array" ref="F830">_xlfn.IFS(
     AND(HOUR(session_data[[#This Row],[Time]])&gt;5,HOUR(session_data[[#This Row],[Time]])&lt;12),"Morning",
     AND(HOUR(session_data[[#This Row],[Time]])&gt;=12,HOUR(session_data[[#This Row],[Time]])&lt;17),"Afternoon",
     AND(HOUR(session_data[[#This Row],[Time]])&gt;=17,HOUR(session_data[[#This Row],[Time]])&lt;21),"Evening",
     TRUE,"Night"
)</f>
        <v>Night</v>
      </c>
      <c r="G830" s="1">
        <f t="shared" si="50"/>
        <v>2022</v>
      </c>
      <c r="H830" s="1" t="str">
        <f t="shared" si="51"/>
        <v>Sep</v>
      </c>
      <c r="I830" s="1" t="str">
        <f t="shared" si="48"/>
        <v>Fri</v>
      </c>
      <c r="J830" s="1" t="s">
        <v>11</v>
      </c>
      <c r="K830" s="1" t="s">
        <v>29</v>
      </c>
      <c r="L830" s="1" t="s">
        <v>94</v>
      </c>
      <c r="M830" s="1" t="s">
        <v>32</v>
      </c>
      <c r="N830" s="1" t="s">
        <v>14</v>
      </c>
      <c r="O830" t="s">
        <v>45</v>
      </c>
    </row>
    <row r="831" spans="1:15" x14ac:dyDescent="0.25">
      <c r="A831" s="1" t="s">
        <v>1256</v>
      </c>
      <c r="B831" s="1" t="s">
        <v>1255</v>
      </c>
      <c r="C831" s="3">
        <v>44619.206250000003</v>
      </c>
      <c r="D831" s="4">
        <f t="shared" si="49"/>
        <v>44619</v>
      </c>
      <c r="E831" s="6">
        <v>35.161111111107601</v>
      </c>
      <c r="F831" s="6" t="str" cm="1">
        <f t="array" ref="F831">_xlfn.IFS(
     AND(HOUR(session_data[[#This Row],[Time]])&gt;5,HOUR(session_data[[#This Row],[Time]])&lt;12),"Morning",
     AND(HOUR(session_data[[#This Row],[Time]])&gt;=12,HOUR(session_data[[#This Row],[Time]])&lt;17),"Afternoon",
     AND(HOUR(session_data[[#This Row],[Time]])&gt;=17,HOUR(session_data[[#This Row],[Time]])&lt;21),"Evening",
     TRUE,"Night"
)</f>
        <v>Night</v>
      </c>
      <c r="G831" s="1">
        <f t="shared" si="50"/>
        <v>2022</v>
      </c>
      <c r="H831" s="1" t="str">
        <f t="shared" si="51"/>
        <v>Feb</v>
      </c>
      <c r="I831" s="1" t="str">
        <f t="shared" si="48"/>
        <v>Sun</v>
      </c>
      <c r="J831" s="1" t="s">
        <v>11</v>
      </c>
      <c r="K831" s="1" t="s">
        <v>29</v>
      </c>
      <c r="L831" s="1" t="s">
        <v>94</v>
      </c>
      <c r="M831" s="1" t="s">
        <v>32</v>
      </c>
      <c r="N831" s="1" t="s">
        <v>22</v>
      </c>
      <c r="O831" t="s">
        <v>45</v>
      </c>
    </row>
    <row r="832" spans="1:15" x14ac:dyDescent="0.25">
      <c r="A832" s="1" t="s">
        <v>1257</v>
      </c>
      <c r="B832" s="1" t="s">
        <v>1255</v>
      </c>
      <c r="C832" s="3">
        <v>44644.456250000003</v>
      </c>
      <c r="D832" s="4">
        <f t="shared" si="49"/>
        <v>44644</v>
      </c>
      <c r="E832" s="6">
        <v>35.202777777774202</v>
      </c>
      <c r="F832" s="6" t="str" cm="1">
        <f t="array" ref="F832">_xlfn.IFS(
     AND(HOUR(session_data[[#This Row],[Time]])&gt;5,HOUR(session_data[[#This Row],[Time]])&lt;12),"Morning",
     AND(HOUR(session_data[[#This Row],[Time]])&gt;=12,HOUR(session_data[[#This Row],[Time]])&lt;17),"Afternoon",
     AND(HOUR(session_data[[#This Row],[Time]])&gt;=17,HOUR(session_data[[#This Row],[Time]])&lt;21),"Evening",
     TRUE,"Night"
)</f>
        <v>Night</v>
      </c>
      <c r="G832" s="1">
        <f t="shared" si="50"/>
        <v>2022</v>
      </c>
      <c r="H832" s="1" t="str">
        <f t="shared" si="51"/>
        <v>Mar</v>
      </c>
      <c r="I832" s="1" t="str">
        <f t="shared" si="48"/>
        <v>Thu</v>
      </c>
      <c r="J832" s="1" t="s">
        <v>11</v>
      </c>
      <c r="K832" s="1" t="s">
        <v>29</v>
      </c>
      <c r="L832" s="1" t="s">
        <v>94</v>
      </c>
      <c r="M832" s="1" t="s">
        <v>32</v>
      </c>
      <c r="N832" s="1" t="s">
        <v>22</v>
      </c>
      <c r="O832" t="s">
        <v>45</v>
      </c>
    </row>
    <row r="833" spans="1:15" x14ac:dyDescent="0.25">
      <c r="A833" s="1" t="s">
        <v>1258</v>
      </c>
      <c r="B833" s="1" t="s">
        <v>1259</v>
      </c>
      <c r="C833" s="3">
        <v>44943.020833333336</v>
      </c>
      <c r="D833" s="4">
        <f t="shared" si="49"/>
        <v>44943</v>
      </c>
      <c r="E833" s="6">
        <v>35.244444444440902</v>
      </c>
      <c r="F833" s="6" t="str" cm="1">
        <f t="array" ref="F833">_xlfn.IFS(
     AND(HOUR(session_data[[#This Row],[Time]])&gt;5,HOUR(session_data[[#This Row],[Time]])&lt;12),"Morning",
     AND(HOUR(session_data[[#This Row],[Time]])&gt;=12,HOUR(session_data[[#This Row],[Time]])&lt;17),"Afternoon",
     AND(HOUR(session_data[[#This Row],[Time]])&gt;=17,HOUR(session_data[[#This Row],[Time]])&lt;21),"Evening",
     TRUE,"Night"
)</f>
        <v>Night</v>
      </c>
      <c r="G833" s="1">
        <f t="shared" si="50"/>
        <v>2023</v>
      </c>
      <c r="H833" s="1" t="str">
        <f t="shared" si="51"/>
        <v>Jan</v>
      </c>
      <c r="I833" s="1" t="str">
        <f t="shared" si="48"/>
        <v>Tue</v>
      </c>
      <c r="J833" s="1" t="s">
        <v>66</v>
      </c>
      <c r="K833" s="1" t="s">
        <v>29</v>
      </c>
      <c r="L833" s="1" t="s">
        <v>94</v>
      </c>
      <c r="M833" s="1" t="s">
        <v>32</v>
      </c>
      <c r="N833" s="1" t="s">
        <v>14</v>
      </c>
      <c r="O833" t="s">
        <v>15</v>
      </c>
    </row>
    <row r="834" spans="1:15" x14ac:dyDescent="0.25">
      <c r="A834" s="1" t="s">
        <v>1260</v>
      </c>
      <c r="B834" s="1" t="s">
        <v>1261</v>
      </c>
      <c r="C834" s="2">
        <v>44622.156944444447</v>
      </c>
      <c r="D834" s="4">
        <f t="shared" si="49"/>
        <v>44622</v>
      </c>
      <c r="E834" s="6">
        <v>35.286111111107601</v>
      </c>
      <c r="F834" s="6" t="str" cm="1">
        <f t="array" ref="F834">_xlfn.IFS(
     AND(HOUR(session_data[[#This Row],[Time]])&gt;5,HOUR(session_data[[#This Row],[Time]])&lt;12),"Morning",
     AND(HOUR(session_data[[#This Row],[Time]])&gt;=12,HOUR(session_data[[#This Row],[Time]])&lt;17),"Afternoon",
     AND(HOUR(session_data[[#This Row],[Time]])&gt;=17,HOUR(session_data[[#This Row],[Time]])&lt;21),"Evening",
     TRUE,"Night"
)</f>
        <v>Morning</v>
      </c>
      <c r="G834" s="1">
        <f t="shared" si="50"/>
        <v>2022</v>
      </c>
      <c r="H834" s="1" t="str">
        <f t="shared" si="51"/>
        <v>Mar</v>
      </c>
      <c r="I834" s="1" t="str">
        <f t="shared" ref="I834:I897" si="52">TEXT(D834,"DDD")</f>
        <v>Wed</v>
      </c>
      <c r="J834" s="1" t="s">
        <v>11</v>
      </c>
      <c r="K834" s="1" t="s">
        <v>29</v>
      </c>
      <c r="L834" s="1" t="s">
        <v>13</v>
      </c>
      <c r="M834" s="1" t="s">
        <v>32</v>
      </c>
      <c r="N834" s="1" t="s">
        <v>14</v>
      </c>
      <c r="O834" t="s">
        <v>15</v>
      </c>
    </row>
    <row r="835" spans="1:15" x14ac:dyDescent="0.25">
      <c r="A835" s="1" t="s">
        <v>1262</v>
      </c>
      <c r="B835" s="1" t="s">
        <v>1261</v>
      </c>
      <c r="C835" s="3">
        <v>44607.198611111111</v>
      </c>
      <c r="D835" s="4">
        <f t="shared" ref="D835:D898" si="53">INT(C835)</f>
        <v>44607</v>
      </c>
      <c r="E835" s="6">
        <v>35.327777777774202</v>
      </c>
      <c r="F835" s="6" t="str" cm="1">
        <f t="array" ref="F835">_xlfn.IFS(
     AND(HOUR(session_data[[#This Row],[Time]])&gt;5,HOUR(session_data[[#This Row],[Time]])&lt;12),"Morning",
     AND(HOUR(session_data[[#This Row],[Time]])&gt;=12,HOUR(session_data[[#This Row],[Time]])&lt;17),"Afternoon",
     AND(HOUR(session_data[[#This Row],[Time]])&gt;=17,HOUR(session_data[[#This Row],[Time]])&lt;21),"Evening",
     TRUE,"Night"
)</f>
        <v>Morning</v>
      </c>
      <c r="G835" s="1">
        <f t="shared" ref="G835:G898" si="54">YEAR(D835)</f>
        <v>2022</v>
      </c>
      <c r="H835" s="1" t="str">
        <f t="shared" ref="H835:H898" si="55">TEXT(D835,"MMM")</f>
        <v>Feb</v>
      </c>
      <c r="I835" s="1" t="str">
        <f t="shared" si="52"/>
        <v>Tue</v>
      </c>
      <c r="J835" s="1" t="s">
        <v>11</v>
      </c>
      <c r="K835" s="1" t="s">
        <v>29</v>
      </c>
      <c r="L835" s="1" t="s">
        <v>13</v>
      </c>
      <c r="M835" s="1" t="s">
        <v>32</v>
      </c>
      <c r="N835" s="1" t="s">
        <v>22</v>
      </c>
      <c r="O835" t="s">
        <v>15</v>
      </c>
    </row>
    <row r="836" spans="1:15" x14ac:dyDescent="0.25">
      <c r="A836" s="1" t="s">
        <v>1263</v>
      </c>
      <c r="B836" s="1" t="s">
        <v>1261</v>
      </c>
      <c r="C836" s="3">
        <v>44635.906944444447</v>
      </c>
      <c r="D836" s="4">
        <f t="shared" si="53"/>
        <v>44635</v>
      </c>
      <c r="E836" s="6">
        <v>35.369444444440902</v>
      </c>
      <c r="F836" s="6" t="str" cm="1">
        <f t="array" ref="F836">_xlfn.IFS(
     AND(HOUR(session_data[[#This Row],[Time]])&gt;5,HOUR(session_data[[#This Row],[Time]])&lt;12),"Morning",
     AND(HOUR(session_data[[#This Row],[Time]])&gt;=12,HOUR(session_data[[#This Row],[Time]])&lt;17),"Afternoon",
     AND(HOUR(session_data[[#This Row],[Time]])&gt;=17,HOUR(session_data[[#This Row],[Time]])&lt;21),"Evening",
     TRUE,"Night"
)</f>
        <v>Morning</v>
      </c>
      <c r="G836" s="1">
        <f t="shared" si="54"/>
        <v>2022</v>
      </c>
      <c r="H836" s="1" t="str">
        <f t="shared" si="55"/>
        <v>Mar</v>
      </c>
      <c r="I836" s="1" t="str">
        <f t="shared" si="52"/>
        <v>Tue</v>
      </c>
      <c r="J836" s="1" t="s">
        <v>11</v>
      </c>
      <c r="K836" s="1" t="s">
        <v>29</v>
      </c>
      <c r="L836" s="1" t="s">
        <v>13</v>
      </c>
      <c r="M836" s="1" t="s">
        <v>32</v>
      </c>
      <c r="N836" s="1" t="s">
        <v>22</v>
      </c>
      <c r="O836" t="s">
        <v>15</v>
      </c>
    </row>
    <row r="837" spans="1:15" x14ac:dyDescent="0.25">
      <c r="A837" s="1" t="s">
        <v>1264</v>
      </c>
      <c r="B837" s="1" t="s">
        <v>1261</v>
      </c>
      <c r="C837" s="3">
        <v>44665.740277777775</v>
      </c>
      <c r="D837" s="4">
        <f t="shared" si="53"/>
        <v>44665</v>
      </c>
      <c r="E837" s="6">
        <v>35.411111111107601</v>
      </c>
      <c r="F837" s="6" t="str" cm="1">
        <f t="array" ref="F837">_xlfn.IFS(
     AND(HOUR(session_data[[#This Row],[Time]])&gt;5,HOUR(session_data[[#This Row],[Time]])&lt;12),"Morning",
     AND(HOUR(session_data[[#This Row],[Time]])&gt;=12,HOUR(session_data[[#This Row],[Time]])&lt;17),"Afternoon",
     AND(HOUR(session_data[[#This Row],[Time]])&gt;=17,HOUR(session_data[[#This Row],[Time]])&lt;21),"Evening",
     TRUE,"Night"
)</f>
        <v>Morning</v>
      </c>
      <c r="G837" s="1">
        <f t="shared" si="54"/>
        <v>2022</v>
      </c>
      <c r="H837" s="1" t="str">
        <f t="shared" si="55"/>
        <v>Apr</v>
      </c>
      <c r="I837" s="1" t="str">
        <f t="shared" si="52"/>
        <v>Thu</v>
      </c>
      <c r="J837" s="1" t="s">
        <v>11</v>
      </c>
      <c r="K837" s="1" t="s">
        <v>29</v>
      </c>
      <c r="L837" s="1" t="s">
        <v>13</v>
      </c>
      <c r="M837" s="1" t="s">
        <v>32</v>
      </c>
      <c r="N837" s="1" t="s">
        <v>22</v>
      </c>
      <c r="O837" t="s">
        <v>15</v>
      </c>
    </row>
    <row r="838" spans="1:15" x14ac:dyDescent="0.25">
      <c r="A838" s="1" t="s">
        <v>1265</v>
      </c>
      <c r="B838" s="1" t="s">
        <v>1266</v>
      </c>
      <c r="C838" s="3">
        <v>44647.284722222219</v>
      </c>
      <c r="D838" s="4">
        <f t="shared" si="53"/>
        <v>44647</v>
      </c>
      <c r="E838" s="6">
        <v>35.452777777774202</v>
      </c>
      <c r="F838" s="6" t="str" cm="1">
        <f t="array" ref="F838">_xlfn.IFS(
     AND(HOUR(session_data[[#This Row],[Time]])&gt;5,HOUR(session_data[[#This Row],[Time]])&lt;12),"Morning",
     AND(HOUR(session_data[[#This Row],[Time]])&gt;=12,HOUR(session_data[[#This Row],[Time]])&lt;17),"Afternoon",
     AND(HOUR(session_data[[#This Row],[Time]])&gt;=17,HOUR(session_data[[#This Row],[Time]])&lt;21),"Evening",
     TRUE,"Night"
)</f>
        <v>Morning</v>
      </c>
      <c r="G838" s="1">
        <f t="shared" si="54"/>
        <v>2022</v>
      </c>
      <c r="H838" s="1" t="str">
        <f t="shared" si="55"/>
        <v>Mar</v>
      </c>
      <c r="I838" s="1" t="str">
        <f t="shared" si="52"/>
        <v>Sun</v>
      </c>
      <c r="J838" s="1" t="s">
        <v>18</v>
      </c>
      <c r="K838" s="1" t="s">
        <v>12</v>
      </c>
      <c r="L838" s="1" t="s">
        <v>50</v>
      </c>
      <c r="M838" s="1" t="s">
        <v>19</v>
      </c>
      <c r="N838" s="1" t="s">
        <v>14</v>
      </c>
      <c r="O838" t="s">
        <v>45</v>
      </c>
    </row>
    <row r="839" spans="1:15" x14ac:dyDescent="0.25">
      <c r="A839" s="1" t="s">
        <v>1267</v>
      </c>
      <c r="B839" s="1" t="s">
        <v>1266</v>
      </c>
      <c r="C839" s="3">
        <v>44668.034722222219</v>
      </c>
      <c r="D839" s="4">
        <f t="shared" si="53"/>
        <v>44668</v>
      </c>
      <c r="E839" s="6">
        <v>35.494444444440902</v>
      </c>
      <c r="F839" s="6" t="str" cm="1">
        <f t="array" ref="F839">_xlfn.IFS(
     AND(HOUR(session_data[[#This Row],[Time]])&gt;5,HOUR(session_data[[#This Row],[Time]])&lt;12),"Morning",
     AND(HOUR(session_data[[#This Row],[Time]])&gt;=12,HOUR(session_data[[#This Row],[Time]])&lt;17),"Afternoon",
     AND(HOUR(session_data[[#This Row],[Time]])&gt;=17,HOUR(session_data[[#This Row],[Time]])&lt;21),"Evening",
     TRUE,"Night"
)</f>
        <v>Morning</v>
      </c>
      <c r="G839" s="1">
        <f t="shared" si="54"/>
        <v>2022</v>
      </c>
      <c r="H839" s="1" t="str">
        <f t="shared" si="55"/>
        <v>Apr</v>
      </c>
      <c r="I839" s="1" t="str">
        <f t="shared" si="52"/>
        <v>Sun</v>
      </c>
      <c r="J839" s="1" t="s">
        <v>18</v>
      </c>
      <c r="K839" s="1" t="s">
        <v>12</v>
      </c>
      <c r="L839" s="1" t="s">
        <v>50</v>
      </c>
      <c r="M839" s="1" t="s">
        <v>19</v>
      </c>
      <c r="N839" s="1" t="s">
        <v>22</v>
      </c>
      <c r="O839" t="s">
        <v>45</v>
      </c>
    </row>
    <row r="840" spans="1:15" x14ac:dyDescent="0.25">
      <c r="A840" s="1" t="s">
        <v>1268</v>
      </c>
      <c r="B840" s="1" t="s">
        <v>1266</v>
      </c>
      <c r="C840" s="3">
        <v>44702.826388888891</v>
      </c>
      <c r="D840" s="4">
        <f t="shared" si="53"/>
        <v>44702</v>
      </c>
      <c r="E840" s="6">
        <v>35.536111111107601</v>
      </c>
      <c r="F840" s="6" t="str" cm="1">
        <f t="array" ref="F840">_xlfn.IFS(
     AND(HOUR(session_data[[#This Row],[Time]])&gt;5,HOUR(session_data[[#This Row],[Time]])&lt;12),"Morning",
     AND(HOUR(session_data[[#This Row],[Time]])&gt;=12,HOUR(session_data[[#This Row],[Time]])&lt;17),"Afternoon",
     AND(HOUR(session_data[[#This Row],[Time]])&gt;=17,HOUR(session_data[[#This Row],[Time]])&lt;21),"Evening",
     TRUE,"Night"
)</f>
        <v>Afternoon</v>
      </c>
      <c r="G840" s="1">
        <f t="shared" si="54"/>
        <v>2022</v>
      </c>
      <c r="H840" s="1" t="str">
        <f t="shared" si="55"/>
        <v>May</v>
      </c>
      <c r="I840" s="1" t="str">
        <f t="shared" si="52"/>
        <v>Sat</v>
      </c>
      <c r="J840" s="1" t="s">
        <v>18</v>
      </c>
      <c r="K840" s="1" t="s">
        <v>12</v>
      </c>
      <c r="L840" s="1" t="s">
        <v>50</v>
      </c>
      <c r="M840" s="1" t="s">
        <v>19</v>
      </c>
      <c r="N840" s="1" t="s">
        <v>22</v>
      </c>
      <c r="O840" t="s">
        <v>45</v>
      </c>
    </row>
    <row r="841" spans="1:15" x14ac:dyDescent="0.25">
      <c r="A841" s="1" t="s">
        <v>1269</v>
      </c>
      <c r="B841" s="1" t="s">
        <v>1266</v>
      </c>
      <c r="C841" s="3">
        <v>44711.826388888891</v>
      </c>
      <c r="D841" s="4">
        <f t="shared" si="53"/>
        <v>44711</v>
      </c>
      <c r="E841" s="6">
        <v>35.577777777774202</v>
      </c>
      <c r="F841" s="6" t="str" cm="1">
        <f t="array" ref="F841">_xlfn.IFS(
     AND(HOUR(session_data[[#This Row],[Time]])&gt;5,HOUR(session_data[[#This Row],[Time]])&lt;12),"Morning",
     AND(HOUR(session_data[[#This Row],[Time]])&gt;=12,HOUR(session_data[[#This Row],[Time]])&lt;17),"Afternoon",
     AND(HOUR(session_data[[#This Row],[Time]])&gt;=17,HOUR(session_data[[#This Row],[Time]])&lt;21),"Evening",
     TRUE,"Night"
)</f>
        <v>Afternoon</v>
      </c>
      <c r="G841" s="1">
        <f t="shared" si="54"/>
        <v>2022</v>
      </c>
      <c r="H841" s="1" t="str">
        <f t="shared" si="55"/>
        <v>May</v>
      </c>
      <c r="I841" s="1" t="str">
        <f t="shared" si="52"/>
        <v>Mon</v>
      </c>
      <c r="J841" s="1" t="s">
        <v>18</v>
      </c>
      <c r="K841" s="1" t="s">
        <v>12</v>
      </c>
      <c r="L841" s="1" t="s">
        <v>50</v>
      </c>
      <c r="M841" s="1" t="s">
        <v>19</v>
      </c>
      <c r="N841" s="1" t="s">
        <v>22</v>
      </c>
      <c r="O841" t="s">
        <v>45</v>
      </c>
    </row>
    <row r="842" spans="1:15" x14ac:dyDescent="0.25">
      <c r="A842" s="1" t="s">
        <v>1270</v>
      </c>
      <c r="B842" s="1" t="s">
        <v>1271</v>
      </c>
      <c r="C842" s="2">
        <v>44622.75277777778</v>
      </c>
      <c r="D842" s="4">
        <f t="shared" si="53"/>
        <v>44622</v>
      </c>
      <c r="E842" s="6">
        <v>35.619444444440902</v>
      </c>
      <c r="F842" s="6" t="str" cm="1">
        <f t="array" ref="F842">_xlfn.IFS(
     AND(HOUR(session_data[[#This Row],[Time]])&gt;5,HOUR(session_data[[#This Row],[Time]])&lt;12),"Morning",
     AND(HOUR(session_data[[#This Row],[Time]])&gt;=12,HOUR(session_data[[#This Row],[Time]])&lt;17),"Afternoon",
     AND(HOUR(session_data[[#This Row],[Time]])&gt;=17,HOUR(session_data[[#This Row],[Time]])&lt;21),"Evening",
     TRUE,"Night"
)</f>
        <v>Afternoon</v>
      </c>
      <c r="G842" s="1">
        <f t="shared" si="54"/>
        <v>2022</v>
      </c>
      <c r="H842" s="1" t="str">
        <f t="shared" si="55"/>
        <v>Mar</v>
      </c>
      <c r="I842" s="1" t="str">
        <f t="shared" si="52"/>
        <v>Wed</v>
      </c>
      <c r="J842" s="1" t="s">
        <v>66</v>
      </c>
      <c r="K842" s="1" t="s">
        <v>12</v>
      </c>
      <c r="L842" s="1" t="s">
        <v>20</v>
      </c>
      <c r="M842" s="1" t="s">
        <v>19</v>
      </c>
      <c r="N842" s="1" t="s">
        <v>14</v>
      </c>
      <c r="O842" t="s">
        <v>45</v>
      </c>
    </row>
    <row r="843" spans="1:15" x14ac:dyDescent="0.25">
      <c r="A843" s="1" t="s">
        <v>1272</v>
      </c>
      <c r="B843" s="1" t="s">
        <v>1271</v>
      </c>
      <c r="C843" s="2">
        <v>44806.669444444444</v>
      </c>
      <c r="D843" s="4">
        <f t="shared" si="53"/>
        <v>44806</v>
      </c>
      <c r="E843" s="6">
        <v>35.661111111107601</v>
      </c>
      <c r="F843" s="6" t="str" cm="1">
        <f t="array" ref="F843">_xlfn.IFS(
     AND(HOUR(session_data[[#This Row],[Time]])&gt;5,HOUR(session_data[[#This Row],[Time]])&lt;12),"Morning",
     AND(HOUR(session_data[[#This Row],[Time]])&gt;=12,HOUR(session_data[[#This Row],[Time]])&lt;17),"Afternoon",
     AND(HOUR(session_data[[#This Row],[Time]])&gt;=17,HOUR(session_data[[#This Row],[Time]])&lt;21),"Evening",
     TRUE,"Night"
)</f>
        <v>Afternoon</v>
      </c>
      <c r="G843" s="1">
        <f t="shared" si="54"/>
        <v>2022</v>
      </c>
      <c r="H843" s="1" t="str">
        <f t="shared" si="55"/>
        <v>Sep</v>
      </c>
      <c r="I843" s="1" t="str">
        <f t="shared" si="52"/>
        <v>Fri</v>
      </c>
      <c r="J843" s="1" t="s">
        <v>66</v>
      </c>
      <c r="K843" s="1" t="s">
        <v>12</v>
      </c>
      <c r="L843" s="1" t="s">
        <v>20</v>
      </c>
      <c r="M843" s="1" t="s">
        <v>19</v>
      </c>
      <c r="N843" s="1" t="s">
        <v>22</v>
      </c>
      <c r="O843" t="s">
        <v>45</v>
      </c>
    </row>
    <row r="844" spans="1:15" x14ac:dyDescent="0.25">
      <c r="A844" s="1" t="s">
        <v>1273</v>
      </c>
      <c r="B844" s="1" t="s">
        <v>1274</v>
      </c>
      <c r="C844" s="2">
        <v>44874.204861111109</v>
      </c>
      <c r="D844" s="4">
        <f t="shared" si="53"/>
        <v>44874</v>
      </c>
      <c r="E844" s="6">
        <v>35.702777777774202</v>
      </c>
      <c r="F844" s="6" t="str" cm="1">
        <f t="array" ref="F844">_xlfn.IFS(
     AND(HOUR(session_data[[#This Row],[Time]])&gt;5,HOUR(session_data[[#This Row],[Time]])&lt;12),"Morning",
     AND(HOUR(session_data[[#This Row],[Time]])&gt;=12,HOUR(session_data[[#This Row],[Time]])&lt;17),"Afternoon",
     AND(HOUR(session_data[[#This Row],[Time]])&gt;=17,HOUR(session_data[[#This Row],[Time]])&lt;21),"Evening",
     TRUE,"Night"
)</f>
        <v>Afternoon</v>
      </c>
      <c r="G844" s="1">
        <f t="shared" si="54"/>
        <v>2022</v>
      </c>
      <c r="H844" s="1" t="str">
        <f t="shared" si="55"/>
        <v>Nov</v>
      </c>
      <c r="I844" s="1" t="str">
        <f t="shared" si="52"/>
        <v>Wed</v>
      </c>
      <c r="J844" s="1" t="s">
        <v>66</v>
      </c>
      <c r="K844" s="1" t="s">
        <v>29</v>
      </c>
      <c r="L844" s="1" t="s">
        <v>94</v>
      </c>
      <c r="M844" s="1" t="s">
        <v>32</v>
      </c>
      <c r="N844" s="1" t="s">
        <v>14</v>
      </c>
      <c r="O844" t="s">
        <v>15</v>
      </c>
    </row>
    <row r="845" spans="1:15" x14ac:dyDescent="0.25">
      <c r="A845" s="1" t="s">
        <v>1275</v>
      </c>
      <c r="B845" s="1" t="s">
        <v>1274</v>
      </c>
      <c r="C845" s="3">
        <v>44830.329861111109</v>
      </c>
      <c r="D845" s="4">
        <f t="shared" si="53"/>
        <v>44830</v>
      </c>
      <c r="E845" s="6">
        <v>35.744444444440902</v>
      </c>
      <c r="F845" s="6" t="str" cm="1">
        <f t="array" ref="F845">_xlfn.IFS(
     AND(HOUR(session_data[[#This Row],[Time]])&gt;5,HOUR(session_data[[#This Row],[Time]])&lt;12),"Morning",
     AND(HOUR(session_data[[#This Row],[Time]])&gt;=12,HOUR(session_data[[#This Row],[Time]])&lt;17),"Afternoon",
     AND(HOUR(session_data[[#This Row],[Time]])&gt;=17,HOUR(session_data[[#This Row],[Time]])&lt;21),"Evening",
     TRUE,"Night"
)</f>
        <v>Evening</v>
      </c>
      <c r="G845" s="1">
        <f t="shared" si="54"/>
        <v>2022</v>
      </c>
      <c r="H845" s="1" t="str">
        <f t="shared" si="55"/>
        <v>Sep</v>
      </c>
      <c r="I845" s="1" t="str">
        <f t="shared" si="52"/>
        <v>Mon</v>
      </c>
      <c r="J845" s="1" t="s">
        <v>66</v>
      </c>
      <c r="K845" s="1" t="s">
        <v>29</v>
      </c>
      <c r="L845" s="1" t="s">
        <v>94</v>
      </c>
      <c r="M845" s="1" t="s">
        <v>32</v>
      </c>
      <c r="N845" s="1" t="s">
        <v>22</v>
      </c>
      <c r="O845" t="s">
        <v>15</v>
      </c>
    </row>
    <row r="846" spans="1:15" x14ac:dyDescent="0.25">
      <c r="A846" s="1" t="s">
        <v>1276</v>
      </c>
      <c r="B846" s="1" t="s">
        <v>1274</v>
      </c>
      <c r="C846" s="3">
        <v>44851.329861111109</v>
      </c>
      <c r="D846" s="4">
        <f t="shared" si="53"/>
        <v>44851</v>
      </c>
      <c r="E846" s="6">
        <v>35.786111111107601</v>
      </c>
      <c r="F846" s="6" t="str" cm="1">
        <f t="array" ref="F846">_xlfn.IFS(
     AND(HOUR(session_data[[#This Row],[Time]])&gt;5,HOUR(session_data[[#This Row],[Time]])&lt;12),"Morning",
     AND(HOUR(session_data[[#This Row],[Time]])&gt;=12,HOUR(session_data[[#This Row],[Time]])&lt;17),"Afternoon",
     AND(HOUR(session_data[[#This Row],[Time]])&gt;=17,HOUR(session_data[[#This Row],[Time]])&lt;21),"Evening",
     TRUE,"Night"
)</f>
        <v>Evening</v>
      </c>
      <c r="G846" s="1">
        <f t="shared" si="54"/>
        <v>2022</v>
      </c>
      <c r="H846" s="1" t="str">
        <f t="shared" si="55"/>
        <v>Oct</v>
      </c>
      <c r="I846" s="1" t="str">
        <f t="shared" si="52"/>
        <v>Mon</v>
      </c>
      <c r="J846" s="1" t="s">
        <v>66</v>
      </c>
      <c r="K846" s="1" t="s">
        <v>29</v>
      </c>
      <c r="L846" s="1" t="s">
        <v>94</v>
      </c>
      <c r="M846" s="1" t="s">
        <v>32</v>
      </c>
      <c r="N846" s="1" t="s">
        <v>22</v>
      </c>
      <c r="O846" t="s">
        <v>15</v>
      </c>
    </row>
    <row r="847" spans="1:15" x14ac:dyDescent="0.25">
      <c r="A847" s="1" t="s">
        <v>1277</v>
      </c>
      <c r="B847" s="1" t="s">
        <v>1278</v>
      </c>
      <c r="C847" s="2">
        <v>44869.747916666667</v>
      </c>
      <c r="D847" s="4">
        <f t="shared" si="53"/>
        <v>44869</v>
      </c>
      <c r="E847" s="6">
        <v>35.827777777774202</v>
      </c>
      <c r="F847" s="6" t="str" cm="1">
        <f t="array" ref="F847">_xlfn.IFS(
     AND(HOUR(session_data[[#This Row],[Time]])&gt;5,HOUR(session_data[[#This Row],[Time]])&lt;12),"Morning",
     AND(HOUR(session_data[[#This Row],[Time]])&gt;=12,HOUR(session_data[[#This Row],[Time]])&lt;17),"Afternoon",
     AND(HOUR(session_data[[#This Row],[Time]])&gt;=17,HOUR(session_data[[#This Row],[Time]])&lt;21),"Evening",
     TRUE,"Night"
)</f>
        <v>Evening</v>
      </c>
      <c r="G847" s="1">
        <f t="shared" si="54"/>
        <v>2022</v>
      </c>
      <c r="H847" s="1" t="str">
        <f t="shared" si="55"/>
        <v>Nov</v>
      </c>
      <c r="I847" s="1" t="str">
        <f t="shared" si="52"/>
        <v>Fri</v>
      </c>
      <c r="J847" s="1" t="s">
        <v>28</v>
      </c>
      <c r="K847" s="1" t="s">
        <v>12</v>
      </c>
      <c r="L847" s="1" t="s">
        <v>59</v>
      </c>
      <c r="M847" s="1" t="s">
        <v>19</v>
      </c>
      <c r="N847" s="1" t="s">
        <v>14</v>
      </c>
      <c r="O847" t="s">
        <v>45</v>
      </c>
    </row>
    <row r="848" spans="1:15" x14ac:dyDescent="0.25">
      <c r="A848" s="1" t="s">
        <v>1279</v>
      </c>
      <c r="B848" s="1" t="s">
        <v>1278</v>
      </c>
      <c r="C848" s="3">
        <v>44680.789583333331</v>
      </c>
      <c r="D848" s="4">
        <f t="shared" si="53"/>
        <v>44680</v>
      </c>
      <c r="E848" s="6">
        <v>35.869444444440902</v>
      </c>
      <c r="F848" s="6" t="str" cm="1">
        <f t="array" ref="F848">_xlfn.IFS(
     AND(HOUR(session_data[[#This Row],[Time]])&gt;5,HOUR(session_data[[#This Row],[Time]])&lt;12),"Morning",
     AND(HOUR(session_data[[#This Row],[Time]])&gt;=12,HOUR(session_data[[#This Row],[Time]])&lt;17),"Afternoon",
     AND(HOUR(session_data[[#This Row],[Time]])&gt;=17,HOUR(session_data[[#This Row],[Time]])&lt;21),"Evening",
     TRUE,"Night"
)</f>
        <v>Evening</v>
      </c>
      <c r="G848" s="1">
        <f t="shared" si="54"/>
        <v>2022</v>
      </c>
      <c r="H848" s="1" t="str">
        <f t="shared" si="55"/>
        <v>Apr</v>
      </c>
      <c r="I848" s="1" t="str">
        <f t="shared" si="52"/>
        <v>Fri</v>
      </c>
      <c r="J848" s="1" t="s">
        <v>28</v>
      </c>
      <c r="K848" s="1" t="s">
        <v>12</v>
      </c>
      <c r="L848" s="1" t="s">
        <v>59</v>
      </c>
      <c r="M848" s="1" t="s">
        <v>19</v>
      </c>
      <c r="N848" s="1" t="s">
        <v>22</v>
      </c>
      <c r="O848" t="s">
        <v>45</v>
      </c>
    </row>
    <row r="849" spans="1:15" x14ac:dyDescent="0.25">
      <c r="A849" s="1" t="s">
        <v>1280</v>
      </c>
      <c r="B849" s="1" t="s">
        <v>1278</v>
      </c>
      <c r="C849" s="3">
        <v>44696.206250000003</v>
      </c>
      <c r="D849" s="4">
        <f t="shared" si="53"/>
        <v>44696</v>
      </c>
      <c r="E849" s="6">
        <v>35.911111111107601</v>
      </c>
      <c r="F849" s="6" t="str" cm="1">
        <f t="array" ref="F849">_xlfn.IFS(
     AND(HOUR(session_data[[#This Row],[Time]])&gt;5,HOUR(session_data[[#This Row],[Time]])&lt;12),"Morning",
     AND(HOUR(session_data[[#This Row],[Time]])&gt;=12,HOUR(session_data[[#This Row],[Time]])&lt;17),"Afternoon",
     AND(HOUR(session_data[[#This Row],[Time]])&gt;=17,HOUR(session_data[[#This Row],[Time]])&lt;21),"Evening",
     TRUE,"Night"
)</f>
        <v>Night</v>
      </c>
      <c r="G849" s="1">
        <f t="shared" si="54"/>
        <v>2022</v>
      </c>
      <c r="H849" s="1" t="str">
        <f t="shared" si="55"/>
        <v>May</v>
      </c>
      <c r="I849" s="1" t="str">
        <f t="shared" si="52"/>
        <v>Sun</v>
      </c>
      <c r="J849" s="1" t="s">
        <v>28</v>
      </c>
      <c r="K849" s="1" t="s">
        <v>12</v>
      </c>
      <c r="L849" s="1" t="s">
        <v>59</v>
      </c>
      <c r="M849" s="1" t="s">
        <v>19</v>
      </c>
      <c r="N849" s="1" t="s">
        <v>22</v>
      </c>
      <c r="O849" t="s">
        <v>45</v>
      </c>
    </row>
    <row r="850" spans="1:15" x14ac:dyDescent="0.25">
      <c r="A850" s="1" t="s">
        <v>1281</v>
      </c>
      <c r="B850" s="1" t="s">
        <v>1282</v>
      </c>
      <c r="C850" s="3">
        <v>44921.343055555553</v>
      </c>
      <c r="D850" s="4">
        <f t="shared" si="53"/>
        <v>44921</v>
      </c>
      <c r="E850" s="6">
        <v>35.952777777774202</v>
      </c>
      <c r="F850" s="6" t="str" cm="1">
        <f t="array" ref="F850">_xlfn.IFS(
     AND(HOUR(session_data[[#This Row],[Time]])&gt;5,HOUR(session_data[[#This Row],[Time]])&lt;12),"Morning",
     AND(HOUR(session_data[[#This Row],[Time]])&gt;=12,HOUR(session_data[[#This Row],[Time]])&lt;17),"Afternoon",
     AND(HOUR(session_data[[#This Row],[Time]])&gt;=17,HOUR(session_data[[#This Row],[Time]])&lt;21),"Evening",
     TRUE,"Night"
)</f>
        <v>Night</v>
      </c>
      <c r="G850" s="1">
        <f t="shared" si="54"/>
        <v>2022</v>
      </c>
      <c r="H850" s="1" t="str">
        <f t="shared" si="55"/>
        <v>Dec</v>
      </c>
      <c r="I850" s="1" t="str">
        <f t="shared" si="52"/>
        <v>Mon</v>
      </c>
      <c r="J850" s="1" t="s">
        <v>11</v>
      </c>
      <c r="K850" s="1" t="s">
        <v>12</v>
      </c>
      <c r="L850" s="1" t="s">
        <v>30</v>
      </c>
      <c r="M850" s="1" t="s">
        <v>32</v>
      </c>
      <c r="N850" s="1" t="s">
        <v>14</v>
      </c>
      <c r="O850" t="s">
        <v>45</v>
      </c>
    </row>
    <row r="851" spans="1:15" x14ac:dyDescent="0.25">
      <c r="A851" s="1" t="s">
        <v>1283</v>
      </c>
      <c r="B851" s="1" t="s">
        <v>1284</v>
      </c>
      <c r="C851" s="3">
        <v>44888.786111111112</v>
      </c>
      <c r="D851" s="4">
        <f t="shared" si="53"/>
        <v>44888</v>
      </c>
      <c r="E851" s="6">
        <v>35.994444444440902</v>
      </c>
      <c r="F851" s="6" t="str" cm="1">
        <f t="array" ref="F851">_xlfn.IFS(
     AND(HOUR(session_data[[#This Row],[Time]])&gt;5,HOUR(session_data[[#This Row],[Time]])&lt;12),"Morning",
     AND(HOUR(session_data[[#This Row],[Time]])&gt;=12,HOUR(session_data[[#This Row],[Time]])&lt;17),"Afternoon",
     AND(HOUR(session_data[[#This Row],[Time]])&gt;=17,HOUR(session_data[[#This Row],[Time]])&lt;21),"Evening",
     TRUE,"Night"
)</f>
        <v>Night</v>
      </c>
      <c r="G851" s="1">
        <f t="shared" si="54"/>
        <v>2022</v>
      </c>
      <c r="H851" s="1" t="str">
        <f t="shared" si="55"/>
        <v>Nov</v>
      </c>
      <c r="I851" s="1" t="str">
        <f t="shared" si="52"/>
        <v>Wed</v>
      </c>
      <c r="J851" s="1" t="s">
        <v>28</v>
      </c>
      <c r="K851" s="1" t="s">
        <v>12</v>
      </c>
      <c r="L851" s="1" t="s">
        <v>50</v>
      </c>
      <c r="M851" s="1" t="s">
        <v>19</v>
      </c>
      <c r="N851" s="1" t="s">
        <v>14</v>
      </c>
      <c r="O851" t="s">
        <v>15</v>
      </c>
    </row>
    <row r="852" spans="1:15" x14ac:dyDescent="0.25">
      <c r="A852" s="1" t="s">
        <v>1285</v>
      </c>
      <c r="B852" s="1" t="s">
        <v>1284</v>
      </c>
      <c r="C852" s="3">
        <v>44915.244444444441</v>
      </c>
      <c r="D852" s="4">
        <f t="shared" si="53"/>
        <v>44915</v>
      </c>
      <c r="E852" s="6">
        <v>36.036111111107601</v>
      </c>
      <c r="F852" s="6" t="str" cm="1">
        <f t="array" ref="F852">_xlfn.IFS(
     AND(HOUR(session_data[[#This Row],[Time]])&gt;5,HOUR(session_data[[#This Row],[Time]])&lt;12),"Morning",
     AND(HOUR(session_data[[#This Row],[Time]])&gt;=12,HOUR(session_data[[#This Row],[Time]])&lt;17),"Afternoon",
     AND(HOUR(session_data[[#This Row],[Time]])&gt;=17,HOUR(session_data[[#This Row],[Time]])&lt;21),"Evening",
     TRUE,"Night"
)</f>
        <v>Night</v>
      </c>
      <c r="G852" s="1">
        <f t="shared" si="54"/>
        <v>2022</v>
      </c>
      <c r="H852" s="1" t="str">
        <f t="shared" si="55"/>
        <v>Dec</v>
      </c>
      <c r="I852" s="1" t="str">
        <f t="shared" si="52"/>
        <v>Tue</v>
      </c>
      <c r="J852" s="1" t="s">
        <v>28</v>
      </c>
      <c r="K852" s="1" t="s">
        <v>12</v>
      </c>
      <c r="L852" s="1" t="s">
        <v>50</v>
      </c>
      <c r="M852" s="1" t="s">
        <v>19</v>
      </c>
      <c r="N852" s="1" t="s">
        <v>22</v>
      </c>
      <c r="O852" t="s">
        <v>15</v>
      </c>
    </row>
    <row r="853" spans="1:15" x14ac:dyDescent="0.25">
      <c r="A853" s="1" t="s">
        <v>1286</v>
      </c>
      <c r="B853" s="1" t="s">
        <v>1284</v>
      </c>
      <c r="C853" s="3">
        <v>44946.077777777777</v>
      </c>
      <c r="D853" s="4">
        <f t="shared" si="53"/>
        <v>44946</v>
      </c>
      <c r="E853" s="6">
        <v>36.077777777774202</v>
      </c>
      <c r="F853" s="6" t="str" cm="1">
        <f t="array" ref="F853">_xlfn.IFS(
     AND(HOUR(session_data[[#This Row],[Time]])&gt;5,HOUR(session_data[[#This Row],[Time]])&lt;12),"Morning",
     AND(HOUR(session_data[[#This Row],[Time]])&gt;=12,HOUR(session_data[[#This Row],[Time]])&lt;17),"Afternoon",
     AND(HOUR(session_data[[#This Row],[Time]])&gt;=17,HOUR(session_data[[#This Row],[Time]])&lt;21),"Evening",
     TRUE,"Night"
)</f>
        <v>Night</v>
      </c>
      <c r="G853" s="1">
        <f t="shared" si="54"/>
        <v>2023</v>
      </c>
      <c r="H853" s="1" t="str">
        <f t="shared" si="55"/>
        <v>Jan</v>
      </c>
      <c r="I853" s="1" t="str">
        <f t="shared" si="52"/>
        <v>Fri</v>
      </c>
      <c r="J853" s="1" t="s">
        <v>28</v>
      </c>
      <c r="K853" s="1" t="s">
        <v>12</v>
      </c>
      <c r="L853" s="1" t="s">
        <v>50</v>
      </c>
      <c r="M853" s="1" t="s">
        <v>19</v>
      </c>
      <c r="N853" s="1" t="s">
        <v>22</v>
      </c>
      <c r="O853" t="s">
        <v>15</v>
      </c>
    </row>
    <row r="854" spans="1:15" x14ac:dyDescent="0.25">
      <c r="A854" s="1" t="s">
        <v>1287</v>
      </c>
      <c r="B854" s="1" t="s">
        <v>1284</v>
      </c>
      <c r="C854" s="3">
        <v>44970.036111111112</v>
      </c>
      <c r="D854" s="4">
        <f t="shared" si="53"/>
        <v>44970</v>
      </c>
      <c r="E854" s="6">
        <v>36.119444444440902</v>
      </c>
      <c r="F854" s="6" t="str" cm="1">
        <f t="array" ref="F854">_xlfn.IFS(
     AND(HOUR(session_data[[#This Row],[Time]])&gt;5,HOUR(session_data[[#This Row],[Time]])&lt;12),"Morning",
     AND(HOUR(session_data[[#This Row],[Time]])&gt;=12,HOUR(session_data[[#This Row],[Time]])&lt;17),"Afternoon",
     AND(HOUR(session_data[[#This Row],[Time]])&gt;=17,HOUR(session_data[[#This Row],[Time]])&lt;21),"Evening",
     TRUE,"Night"
)</f>
        <v>Night</v>
      </c>
      <c r="G854" s="1">
        <f t="shared" si="54"/>
        <v>2023</v>
      </c>
      <c r="H854" s="1" t="str">
        <f t="shared" si="55"/>
        <v>Feb</v>
      </c>
      <c r="I854" s="1" t="str">
        <f t="shared" si="52"/>
        <v>Mon</v>
      </c>
      <c r="J854" s="1" t="s">
        <v>28</v>
      </c>
      <c r="K854" s="1" t="s">
        <v>12</v>
      </c>
      <c r="L854" s="1" t="s">
        <v>50</v>
      </c>
      <c r="M854" s="1" t="s">
        <v>19</v>
      </c>
      <c r="N854" s="1" t="s">
        <v>22</v>
      </c>
      <c r="O854" t="s">
        <v>15</v>
      </c>
    </row>
    <row r="855" spans="1:15" x14ac:dyDescent="0.25">
      <c r="A855" s="1" t="s">
        <v>1288</v>
      </c>
      <c r="B855" s="1" t="s">
        <v>1289</v>
      </c>
      <c r="C855" s="3">
        <v>44592.409722222219</v>
      </c>
      <c r="D855" s="4">
        <f t="shared" si="53"/>
        <v>44592</v>
      </c>
      <c r="E855" s="6">
        <v>36.161111111107601</v>
      </c>
      <c r="F855" s="6" t="str" cm="1">
        <f t="array" ref="F855">_xlfn.IFS(
     AND(HOUR(session_data[[#This Row],[Time]])&gt;5,HOUR(session_data[[#This Row],[Time]])&lt;12),"Morning",
     AND(HOUR(session_data[[#This Row],[Time]])&gt;=12,HOUR(session_data[[#This Row],[Time]])&lt;17),"Afternoon",
     AND(HOUR(session_data[[#This Row],[Time]])&gt;=17,HOUR(session_data[[#This Row],[Time]])&lt;21),"Evening",
     TRUE,"Night"
)</f>
        <v>Night</v>
      </c>
      <c r="G855" s="1">
        <f t="shared" si="54"/>
        <v>2022</v>
      </c>
      <c r="H855" s="1" t="str">
        <f t="shared" si="55"/>
        <v>Jan</v>
      </c>
      <c r="I855" s="1" t="str">
        <f t="shared" si="52"/>
        <v>Mon</v>
      </c>
      <c r="J855" s="1" t="s">
        <v>28</v>
      </c>
      <c r="K855" s="1" t="s">
        <v>12</v>
      </c>
      <c r="L855" s="1" t="s">
        <v>59</v>
      </c>
      <c r="M855" s="1" t="s">
        <v>19</v>
      </c>
      <c r="N855" s="1" t="s">
        <v>14</v>
      </c>
      <c r="O855" t="s">
        <v>45</v>
      </c>
    </row>
    <row r="856" spans="1:15" x14ac:dyDescent="0.25">
      <c r="A856" s="1" t="s">
        <v>1290</v>
      </c>
      <c r="B856" s="1" t="s">
        <v>1289</v>
      </c>
      <c r="C856" s="2">
        <v>44897.118055555555</v>
      </c>
      <c r="D856" s="4">
        <f t="shared" si="53"/>
        <v>44897</v>
      </c>
      <c r="E856" s="6">
        <v>36.202777777774202</v>
      </c>
      <c r="F856" s="6" t="str" cm="1">
        <f t="array" ref="F856">_xlfn.IFS(
     AND(HOUR(session_data[[#This Row],[Time]])&gt;5,HOUR(session_data[[#This Row],[Time]])&lt;12),"Morning",
     AND(HOUR(session_data[[#This Row],[Time]])&gt;=12,HOUR(session_data[[#This Row],[Time]])&lt;17),"Afternoon",
     AND(HOUR(session_data[[#This Row],[Time]])&gt;=17,HOUR(session_data[[#This Row],[Time]])&lt;21),"Evening",
     TRUE,"Night"
)</f>
        <v>Night</v>
      </c>
      <c r="G856" s="1">
        <f t="shared" si="54"/>
        <v>2022</v>
      </c>
      <c r="H856" s="1" t="str">
        <f t="shared" si="55"/>
        <v>Dec</v>
      </c>
      <c r="I856" s="1" t="str">
        <f t="shared" si="52"/>
        <v>Fri</v>
      </c>
      <c r="J856" s="1" t="s">
        <v>28</v>
      </c>
      <c r="K856" s="1" t="s">
        <v>12</v>
      </c>
      <c r="L856" s="1" t="s">
        <v>59</v>
      </c>
      <c r="M856" s="1" t="s">
        <v>19</v>
      </c>
      <c r="N856" s="1" t="s">
        <v>22</v>
      </c>
      <c r="O856" t="s">
        <v>45</v>
      </c>
    </row>
    <row r="857" spans="1:15" x14ac:dyDescent="0.25">
      <c r="A857" s="1" t="s">
        <v>1291</v>
      </c>
      <c r="B857" s="1" t="s">
        <v>1292</v>
      </c>
      <c r="C857" s="3">
        <v>44705.052777777775</v>
      </c>
      <c r="D857" s="4">
        <f t="shared" si="53"/>
        <v>44705</v>
      </c>
      <c r="E857" s="6">
        <v>36.244444444440902</v>
      </c>
      <c r="F857" s="6" t="str" cm="1">
        <f t="array" ref="F857">_xlfn.IFS(
     AND(HOUR(session_data[[#This Row],[Time]])&gt;5,HOUR(session_data[[#This Row],[Time]])&lt;12),"Morning",
     AND(HOUR(session_data[[#This Row],[Time]])&gt;=12,HOUR(session_data[[#This Row],[Time]])&lt;17),"Afternoon",
     AND(HOUR(session_data[[#This Row],[Time]])&gt;=17,HOUR(session_data[[#This Row],[Time]])&lt;21),"Evening",
     TRUE,"Night"
)</f>
        <v>Night</v>
      </c>
      <c r="G857" s="1">
        <f t="shared" si="54"/>
        <v>2022</v>
      </c>
      <c r="H857" s="1" t="str">
        <f t="shared" si="55"/>
        <v>May</v>
      </c>
      <c r="I857" s="1" t="str">
        <f t="shared" si="52"/>
        <v>Tue</v>
      </c>
      <c r="J857" s="1" t="s">
        <v>18</v>
      </c>
      <c r="K857" s="1" t="s">
        <v>12</v>
      </c>
      <c r="L857" s="1" t="s">
        <v>41</v>
      </c>
      <c r="M857" s="1" t="s">
        <v>40</v>
      </c>
      <c r="N857" s="1" t="s">
        <v>14</v>
      </c>
      <c r="O857" t="s">
        <v>15</v>
      </c>
    </row>
    <row r="858" spans="1:15" x14ac:dyDescent="0.25">
      <c r="A858" s="1" t="s">
        <v>1293</v>
      </c>
      <c r="B858" s="1" t="s">
        <v>1292</v>
      </c>
      <c r="C858" s="2">
        <v>44779.511111111111</v>
      </c>
      <c r="D858" s="4">
        <f t="shared" si="53"/>
        <v>44779</v>
      </c>
      <c r="E858" s="6">
        <v>36.286111111107601</v>
      </c>
      <c r="F858" s="6" t="str" cm="1">
        <f t="array" ref="F858">_xlfn.IFS(
     AND(HOUR(session_data[[#This Row],[Time]])&gt;5,HOUR(session_data[[#This Row],[Time]])&lt;12),"Morning",
     AND(HOUR(session_data[[#This Row],[Time]])&gt;=12,HOUR(session_data[[#This Row],[Time]])&lt;17),"Afternoon",
     AND(HOUR(session_data[[#This Row],[Time]])&gt;=17,HOUR(session_data[[#This Row],[Time]])&lt;21),"Evening",
     TRUE,"Night"
)</f>
        <v>Morning</v>
      </c>
      <c r="G858" s="1">
        <f t="shared" si="54"/>
        <v>2022</v>
      </c>
      <c r="H858" s="1" t="str">
        <f t="shared" si="55"/>
        <v>Aug</v>
      </c>
      <c r="I858" s="1" t="str">
        <f t="shared" si="52"/>
        <v>Sat</v>
      </c>
      <c r="J858" s="1" t="s">
        <v>18</v>
      </c>
      <c r="K858" s="1" t="s">
        <v>12</v>
      </c>
      <c r="L858" s="1" t="s">
        <v>41</v>
      </c>
      <c r="M858" s="1" t="s">
        <v>40</v>
      </c>
      <c r="N858" s="1" t="s">
        <v>22</v>
      </c>
      <c r="O858" t="s">
        <v>15</v>
      </c>
    </row>
    <row r="859" spans="1:15" x14ac:dyDescent="0.25">
      <c r="A859" s="1" t="s">
        <v>1294</v>
      </c>
      <c r="B859" s="1" t="s">
        <v>1292</v>
      </c>
      <c r="C859" s="3">
        <v>44738.927777777775</v>
      </c>
      <c r="D859" s="4">
        <f t="shared" si="53"/>
        <v>44738</v>
      </c>
      <c r="E859" s="6">
        <v>36.327777777774202</v>
      </c>
      <c r="F859" s="6" t="str" cm="1">
        <f t="array" ref="F859">_xlfn.IFS(
     AND(HOUR(session_data[[#This Row],[Time]])&gt;5,HOUR(session_data[[#This Row],[Time]])&lt;12),"Morning",
     AND(HOUR(session_data[[#This Row],[Time]])&gt;=12,HOUR(session_data[[#This Row],[Time]])&lt;17),"Afternoon",
     AND(HOUR(session_data[[#This Row],[Time]])&gt;=17,HOUR(session_data[[#This Row],[Time]])&lt;21),"Evening",
     TRUE,"Night"
)</f>
        <v>Morning</v>
      </c>
      <c r="G859" s="1">
        <f t="shared" si="54"/>
        <v>2022</v>
      </c>
      <c r="H859" s="1" t="str">
        <f t="shared" si="55"/>
        <v>Jun</v>
      </c>
      <c r="I859" s="1" t="str">
        <f t="shared" si="52"/>
        <v>Sun</v>
      </c>
      <c r="J859" s="1" t="s">
        <v>18</v>
      </c>
      <c r="K859" s="1" t="s">
        <v>12</v>
      </c>
      <c r="L859" s="1" t="s">
        <v>41</v>
      </c>
      <c r="M859" s="1" t="s">
        <v>40</v>
      </c>
      <c r="N859" s="1" t="s">
        <v>22</v>
      </c>
      <c r="O859" t="s">
        <v>15</v>
      </c>
    </row>
    <row r="860" spans="1:15" x14ac:dyDescent="0.25">
      <c r="A860" s="1" t="s">
        <v>1295</v>
      </c>
      <c r="B860" s="1" t="s">
        <v>1296</v>
      </c>
      <c r="C860" s="2">
        <v>44900.775000000001</v>
      </c>
      <c r="D860" s="4">
        <f t="shared" si="53"/>
        <v>44900</v>
      </c>
      <c r="E860" s="6">
        <v>36.369444444440902</v>
      </c>
      <c r="F860" s="6" t="str" cm="1">
        <f t="array" ref="F860">_xlfn.IFS(
     AND(HOUR(session_data[[#This Row],[Time]])&gt;5,HOUR(session_data[[#This Row],[Time]])&lt;12),"Morning",
     AND(HOUR(session_data[[#This Row],[Time]])&gt;=12,HOUR(session_data[[#This Row],[Time]])&lt;17),"Afternoon",
     AND(HOUR(session_data[[#This Row],[Time]])&gt;=17,HOUR(session_data[[#This Row],[Time]])&lt;21),"Evening",
     TRUE,"Night"
)</f>
        <v>Morning</v>
      </c>
      <c r="G860" s="1">
        <f t="shared" si="54"/>
        <v>2022</v>
      </c>
      <c r="H860" s="1" t="str">
        <f t="shared" si="55"/>
        <v>Dec</v>
      </c>
      <c r="I860" s="1" t="str">
        <f t="shared" si="52"/>
        <v>Mon</v>
      </c>
      <c r="J860" s="1" t="s">
        <v>18</v>
      </c>
      <c r="K860" s="1" t="s">
        <v>12</v>
      </c>
      <c r="L860" s="1" t="s">
        <v>79</v>
      </c>
      <c r="M860" s="1" t="s">
        <v>40</v>
      </c>
      <c r="N860" s="1" t="s">
        <v>14</v>
      </c>
      <c r="O860" t="s">
        <v>45</v>
      </c>
    </row>
    <row r="861" spans="1:15" x14ac:dyDescent="0.25">
      <c r="A861" s="1" t="s">
        <v>1297</v>
      </c>
      <c r="B861" s="1" t="s">
        <v>1298</v>
      </c>
      <c r="C861" s="2">
        <v>44596.427777777775</v>
      </c>
      <c r="D861" s="4">
        <f t="shared" si="53"/>
        <v>44596</v>
      </c>
      <c r="E861" s="6">
        <v>36.411111111107601</v>
      </c>
      <c r="F861" s="6" t="str" cm="1">
        <f t="array" ref="F861">_xlfn.IFS(
     AND(HOUR(session_data[[#This Row],[Time]])&gt;5,HOUR(session_data[[#This Row],[Time]])&lt;12),"Morning",
     AND(HOUR(session_data[[#This Row],[Time]])&gt;=12,HOUR(session_data[[#This Row],[Time]])&lt;17),"Afternoon",
     AND(HOUR(session_data[[#This Row],[Time]])&gt;=17,HOUR(session_data[[#This Row],[Time]])&lt;21),"Evening",
     TRUE,"Night"
)</f>
        <v>Morning</v>
      </c>
      <c r="G861" s="1">
        <f t="shared" si="54"/>
        <v>2022</v>
      </c>
      <c r="H861" s="1" t="str">
        <f t="shared" si="55"/>
        <v>Feb</v>
      </c>
      <c r="I861" s="1" t="str">
        <f t="shared" si="52"/>
        <v>Fri</v>
      </c>
      <c r="J861" s="1" t="s">
        <v>44</v>
      </c>
      <c r="K861" s="1" t="s">
        <v>29</v>
      </c>
      <c r="L861" s="1" t="s">
        <v>79</v>
      </c>
      <c r="M861" s="1" t="s">
        <v>40</v>
      </c>
      <c r="N861" s="1" t="s">
        <v>14</v>
      </c>
      <c r="O861" t="s">
        <v>45</v>
      </c>
    </row>
    <row r="862" spans="1:15" x14ac:dyDescent="0.25">
      <c r="A862" s="1" t="s">
        <v>1299</v>
      </c>
      <c r="B862" s="1" t="s">
        <v>1298</v>
      </c>
      <c r="C862" s="3">
        <v>44650.011111111111</v>
      </c>
      <c r="D862" s="4">
        <f t="shared" si="53"/>
        <v>44650</v>
      </c>
      <c r="E862" s="6">
        <v>36.452777777774202</v>
      </c>
      <c r="F862" s="6" t="str" cm="1">
        <f t="array" ref="F862">_xlfn.IFS(
     AND(HOUR(session_data[[#This Row],[Time]])&gt;5,HOUR(session_data[[#This Row],[Time]])&lt;12),"Morning",
     AND(HOUR(session_data[[#This Row],[Time]])&gt;=12,HOUR(session_data[[#This Row],[Time]])&lt;17),"Afternoon",
     AND(HOUR(session_data[[#This Row],[Time]])&gt;=17,HOUR(session_data[[#This Row],[Time]])&lt;21),"Evening",
     TRUE,"Night"
)</f>
        <v>Morning</v>
      </c>
      <c r="G862" s="1">
        <f t="shared" si="54"/>
        <v>2022</v>
      </c>
      <c r="H862" s="1" t="str">
        <f t="shared" si="55"/>
        <v>Mar</v>
      </c>
      <c r="I862" s="1" t="str">
        <f t="shared" si="52"/>
        <v>Wed</v>
      </c>
      <c r="J862" s="1" t="s">
        <v>44</v>
      </c>
      <c r="K862" s="1" t="s">
        <v>29</v>
      </c>
      <c r="L862" s="1" t="s">
        <v>79</v>
      </c>
      <c r="M862" s="1" t="s">
        <v>40</v>
      </c>
      <c r="N862" s="1" t="s">
        <v>22</v>
      </c>
      <c r="O862" t="s">
        <v>45</v>
      </c>
    </row>
    <row r="863" spans="1:15" x14ac:dyDescent="0.25">
      <c r="A863" s="1" t="s">
        <v>1300</v>
      </c>
      <c r="B863" s="1" t="s">
        <v>1298</v>
      </c>
      <c r="C863" s="2">
        <v>44625.552777777775</v>
      </c>
      <c r="D863" s="4">
        <f t="shared" si="53"/>
        <v>44625</v>
      </c>
      <c r="E863" s="6">
        <v>36.494444444440902</v>
      </c>
      <c r="F863" s="6" t="str" cm="1">
        <f t="array" ref="F863">_xlfn.IFS(
     AND(HOUR(session_data[[#This Row],[Time]])&gt;5,HOUR(session_data[[#This Row],[Time]])&lt;12),"Morning",
     AND(HOUR(session_data[[#This Row],[Time]])&gt;=12,HOUR(session_data[[#This Row],[Time]])&lt;17),"Afternoon",
     AND(HOUR(session_data[[#This Row],[Time]])&gt;=17,HOUR(session_data[[#This Row],[Time]])&lt;21),"Evening",
     TRUE,"Night"
)</f>
        <v>Morning</v>
      </c>
      <c r="G863" s="1">
        <f t="shared" si="54"/>
        <v>2022</v>
      </c>
      <c r="H863" s="1" t="str">
        <f t="shared" si="55"/>
        <v>Mar</v>
      </c>
      <c r="I863" s="1" t="str">
        <f t="shared" si="52"/>
        <v>Sat</v>
      </c>
      <c r="J863" s="1" t="s">
        <v>44</v>
      </c>
      <c r="K863" s="1" t="s">
        <v>29</v>
      </c>
      <c r="L863" s="1" t="s">
        <v>79</v>
      </c>
      <c r="M863" s="1" t="s">
        <v>40</v>
      </c>
      <c r="N863" s="1" t="s">
        <v>22</v>
      </c>
      <c r="O863" t="s">
        <v>45</v>
      </c>
    </row>
    <row r="864" spans="1:15" x14ac:dyDescent="0.25">
      <c r="A864" s="1" t="s">
        <v>1301</v>
      </c>
      <c r="B864" s="1" t="s">
        <v>1298</v>
      </c>
      <c r="C864" s="3">
        <v>44711.844444444447</v>
      </c>
      <c r="D864" s="4">
        <f t="shared" si="53"/>
        <v>44711</v>
      </c>
      <c r="E864" s="6">
        <v>36.536111111107601</v>
      </c>
      <c r="F864" s="6" t="str" cm="1">
        <f t="array" ref="F864">_xlfn.IFS(
     AND(HOUR(session_data[[#This Row],[Time]])&gt;5,HOUR(session_data[[#This Row],[Time]])&lt;12),"Morning",
     AND(HOUR(session_data[[#This Row],[Time]])&gt;=12,HOUR(session_data[[#This Row],[Time]])&lt;17),"Afternoon",
     AND(HOUR(session_data[[#This Row],[Time]])&gt;=17,HOUR(session_data[[#This Row],[Time]])&lt;21),"Evening",
     TRUE,"Night"
)</f>
        <v>Afternoon</v>
      </c>
      <c r="G864" s="1">
        <f t="shared" si="54"/>
        <v>2022</v>
      </c>
      <c r="H864" s="1" t="str">
        <f t="shared" si="55"/>
        <v>May</v>
      </c>
      <c r="I864" s="1" t="str">
        <f t="shared" si="52"/>
        <v>Mon</v>
      </c>
      <c r="J864" s="1" t="s">
        <v>44</v>
      </c>
      <c r="K864" s="1" t="s">
        <v>29</v>
      </c>
      <c r="L864" s="1" t="s">
        <v>79</v>
      </c>
      <c r="M864" s="1" t="s">
        <v>40</v>
      </c>
      <c r="N864" s="1" t="s">
        <v>22</v>
      </c>
      <c r="O864" t="s">
        <v>45</v>
      </c>
    </row>
    <row r="865" spans="1:15" x14ac:dyDescent="0.25">
      <c r="A865" s="1" t="s">
        <v>1302</v>
      </c>
      <c r="B865" s="1" t="s">
        <v>1303</v>
      </c>
      <c r="C865" s="3">
        <v>44613.350694444445</v>
      </c>
      <c r="D865" s="4">
        <f t="shared" si="53"/>
        <v>44613</v>
      </c>
      <c r="E865" s="6">
        <v>36.577777777774202</v>
      </c>
      <c r="F865" s="6" t="str" cm="1">
        <f t="array" ref="F865">_xlfn.IFS(
     AND(HOUR(session_data[[#This Row],[Time]])&gt;5,HOUR(session_data[[#This Row],[Time]])&lt;12),"Morning",
     AND(HOUR(session_data[[#This Row],[Time]])&gt;=12,HOUR(session_data[[#This Row],[Time]])&lt;17),"Afternoon",
     AND(HOUR(session_data[[#This Row],[Time]])&gt;=17,HOUR(session_data[[#This Row],[Time]])&lt;21),"Evening",
     TRUE,"Night"
)</f>
        <v>Afternoon</v>
      </c>
      <c r="G865" s="1">
        <f t="shared" si="54"/>
        <v>2022</v>
      </c>
      <c r="H865" s="1" t="str">
        <f t="shared" si="55"/>
        <v>Feb</v>
      </c>
      <c r="I865" s="1" t="str">
        <f t="shared" si="52"/>
        <v>Mon</v>
      </c>
      <c r="J865" s="1" t="s">
        <v>11</v>
      </c>
      <c r="K865" s="1" t="s">
        <v>29</v>
      </c>
      <c r="L865" s="1" t="s">
        <v>94</v>
      </c>
      <c r="M865" s="1" t="s">
        <v>32</v>
      </c>
      <c r="N865" s="1" t="s">
        <v>14</v>
      </c>
      <c r="O865" t="s">
        <v>15</v>
      </c>
    </row>
    <row r="866" spans="1:15" x14ac:dyDescent="0.25">
      <c r="A866" s="1" t="s">
        <v>1304</v>
      </c>
      <c r="B866" s="1" t="s">
        <v>1305</v>
      </c>
      <c r="C866" s="3">
        <v>44790.709722222222</v>
      </c>
      <c r="D866" s="4">
        <f t="shared" si="53"/>
        <v>44790</v>
      </c>
      <c r="E866" s="6">
        <v>36.619444444440902</v>
      </c>
      <c r="F866" s="6" t="str" cm="1">
        <f t="array" ref="F866">_xlfn.IFS(
     AND(HOUR(session_data[[#This Row],[Time]])&gt;5,HOUR(session_data[[#This Row],[Time]])&lt;12),"Morning",
     AND(HOUR(session_data[[#This Row],[Time]])&gt;=12,HOUR(session_data[[#This Row],[Time]])&lt;17),"Afternoon",
     AND(HOUR(session_data[[#This Row],[Time]])&gt;=17,HOUR(session_data[[#This Row],[Time]])&lt;21),"Evening",
     TRUE,"Night"
)</f>
        <v>Afternoon</v>
      </c>
      <c r="G866" s="1">
        <f t="shared" si="54"/>
        <v>2022</v>
      </c>
      <c r="H866" s="1" t="str">
        <f t="shared" si="55"/>
        <v>Aug</v>
      </c>
      <c r="I866" s="1" t="str">
        <f t="shared" si="52"/>
        <v>Wed</v>
      </c>
      <c r="J866" s="1" t="s">
        <v>11</v>
      </c>
      <c r="K866" s="1" t="s">
        <v>12</v>
      </c>
      <c r="L866" s="1" t="s">
        <v>119</v>
      </c>
      <c r="M866" s="1" t="s">
        <v>40</v>
      </c>
      <c r="N866" s="1" t="s">
        <v>14</v>
      </c>
      <c r="O866" t="s">
        <v>15</v>
      </c>
    </row>
    <row r="867" spans="1:15" x14ac:dyDescent="0.25">
      <c r="A867" s="1" t="s">
        <v>1306</v>
      </c>
      <c r="B867" s="1" t="s">
        <v>1307</v>
      </c>
      <c r="C867" s="2">
        <v>44993.524305555555</v>
      </c>
      <c r="D867" s="4">
        <f t="shared" si="53"/>
        <v>44993</v>
      </c>
      <c r="E867" s="6">
        <v>36.661111111107601</v>
      </c>
      <c r="F867" s="6" t="str" cm="1">
        <f t="array" ref="F867">_xlfn.IFS(
     AND(HOUR(session_data[[#This Row],[Time]])&gt;5,HOUR(session_data[[#This Row],[Time]])&lt;12),"Morning",
     AND(HOUR(session_data[[#This Row],[Time]])&gt;=12,HOUR(session_data[[#This Row],[Time]])&lt;17),"Afternoon",
     AND(HOUR(session_data[[#This Row],[Time]])&gt;=17,HOUR(session_data[[#This Row],[Time]])&lt;21),"Evening",
     TRUE,"Night"
)</f>
        <v>Afternoon</v>
      </c>
      <c r="G867" s="1">
        <f t="shared" si="54"/>
        <v>2023</v>
      </c>
      <c r="H867" s="1" t="str">
        <f t="shared" si="55"/>
        <v>Mar</v>
      </c>
      <c r="I867" s="1" t="str">
        <f t="shared" si="52"/>
        <v>Wed</v>
      </c>
      <c r="J867" s="1" t="s">
        <v>18</v>
      </c>
      <c r="K867" s="1" t="s">
        <v>12</v>
      </c>
      <c r="L867" s="1" t="s">
        <v>94</v>
      </c>
      <c r="M867" s="1" t="s">
        <v>32</v>
      </c>
      <c r="N867" s="1" t="s">
        <v>14</v>
      </c>
      <c r="O867" t="s">
        <v>15</v>
      </c>
    </row>
    <row r="868" spans="1:15" x14ac:dyDescent="0.25">
      <c r="A868" s="1" t="s">
        <v>1308</v>
      </c>
      <c r="B868" s="1" t="s">
        <v>1307</v>
      </c>
      <c r="C868" s="3">
        <v>45165.524305555555</v>
      </c>
      <c r="D868" s="4">
        <f t="shared" si="53"/>
        <v>45165</v>
      </c>
      <c r="E868" s="6">
        <v>36.702777777774202</v>
      </c>
      <c r="F868" s="6" t="str" cm="1">
        <f t="array" ref="F868">_xlfn.IFS(
     AND(HOUR(session_data[[#This Row],[Time]])&gt;5,HOUR(session_data[[#This Row],[Time]])&lt;12),"Morning",
     AND(HOUR(session_data[[#This Row],[Time]])&gt;=12,HOUR(session_data[[#This Row],[Time]])&lt;17),"Afternoon",
     AND(HOUR(session_data[[#This Row],[Time]])&gt;=17,HOUR(session_data[[#This Row],[Time]])&lt;21),"Evening",
     TRUE,"Night"
)</f>
        <v>Afternoon</v>
      </c>
      <c r="G868" s="1">
        <f t="shared" si="54"/>
        <v>2023</v>
      </c>
      <c r="H868" s="1" t="str">
        <f t="shared" si="55"/>
        <v>Aug</v>
      </c>
      <c r="I868" s="1" t="str">
        <f t="shared" si="52"/>
        <v>Sun</v>
      </c>
      <c r="J868" s="1" t="s">
        <v>18</v>
      </c>
      <c r="K868" s="1" t="s">
        <v>12</v>
      </c>
      <c r="L868" s="1" t="s">
        <v>94</v>
      </c>
      <c r="M868" s="1" t="s">
        <v>32</v>
      </c>
      <c r="N868" s="1" t="s">
        <v>22</v>
      </c>
      <c r="O868" t="s">
        <v>15</v>
      </c>
    </row>
    <row r="869" spans="1:15" x14ac:dyDescent="0.25">
      <c r="A869" s="1" t="s">
        <v>1309</v>
      </c>
      <c r="B869" s="1" t="s">
        <v>1307</v>
      </c>
      <c r="C869" s="3">
        <v>45196.899305555555</v>
      </c>
      <c r="D869" s="4">
        <f t="shared" si="53"/>
        <v>45196</v>
      </c>
      <c r="E869" s="6">
        <v>36.744444444440902</v>
      </c>
      <c r="F869" s="6" t="str" cm="1">
        <f t="array" ref="F869">_xlfn.IFS(
     AND(HOUR(session_data[[#This Row],[Time]])&gt;5,HOUR(session_data[[#This Row],[Time]])&lt;12),"Morning",
     AND(HOUR(session_data[[#This Row],[Time]])&gt;=12,HOUR(session_data[[#This Row],[Time]])&lt;17),"Afternoon",
     AND(HOUR(session_data[[#This Row],[Time]])&gt;=17,HOUR(session_data[[#This Row],[Time]])&lt;21),"Evening",
     TRUE,"Night"
)</f>
        <v>Evening</v>
      </c>
      <c r="G869" s="1">
        <f t="shared" si="54"/>
        <v>2023</v>
      </c>
      <c r="H869" s="1" t="str">
        <f t="shared" si="55"/>
        <v>Sep</v>
      </c>
      <c r="I869" s="1" t="str">
        <f t="shared" si="52"/>
        <v>Wed</v>
      </c>
      <c r="J869" s="1" t="s">
        <v>18</v>
      </c>
      <c r="K869" s="1" t="s">
        <v>12</v>
      </c>
      <c r="L869" s="1" t="s">
        <v>94</v>
      </c>
      <c r="M869" s="1" t="s">
        <v>32</v>
      </c>
      <c r="N869" s="1" t="s">
        <v>22</v>
      </c>
      <c r="O869" t="s">
        <v>15</v>
      </c>
    </row>
    <row r="870" spans="1:15" x14ac:dyDescent="0.25">
      <c r="A870" s="1" t="s">
        <v>1310</v>
      </c>
      <c r="B870" s="1" t="s">
        <v>1307</v>
      </c>
      <c r="C870" s="2">
        <v>45270.232638888891</v>
      </c>
      <c r="D870" s="4">
        <f t="shared" si="53"/>
        <v>45270</v>
      </c>
      <c r="E870" s="6">
        <v>36.786111111107601</v>
      </c>
      <c r="F870" s="6" t="str" cm="1">
        <f t="array" ref="F870">_xlfn.IFS(
     AND(HOUR(session_data[[#This Row],[Time]])&gt;5,HOUR(session_data[[#This Row],[Time]])&lt;12),"Morning",
     AND(HOUR(session_data[[#This Row],[Time]])&gt;=12,HOUR(session_data[[#This Row],[Time]])&lt;17),"Afternoon",
     AND(HOUR(session_data[[#This Row],[Time]])&gt;=17,HOUR(session_data[[#This Row],[Time]])&lt;21),"Evening",
     TRUE,"Night"
)</f>
        <v>Evening</v>
      </c>
      <c r="G870" s="1">
        <f t="shared" si="54"/>
        <v>2023</v>
      </c>
      <c r="H870" s="1" t="str">
        <f t="shared" si="55"/>
        <v>Dec</v>
      </c>
      <c r="I870" s="1" t="str">
        <f t="shared" si="52"/>
        <v>Sun</v>
      </c>
      <c r="J870" s="1" t="s">
        <v>18</v>
      </c>
      <c r="K870" s="1" t="s">
        <v>12</v>
      </c>
      <c r="L870" s="1" t="s">
        <v>94</v>
      </c>
      <c r="M870" s="1" t="s">
        <v>32</v>
      </c>
      <c r="N870" s="1" t="s">
        <v>22</v>
      </c>
      <c r="O870" t="s">
        <v>15</v>
      </c>
    </row>
    <row r="871" spans="1:15" x14ac:dyDescent="0.25">
      <c r="A871" s="1" t="s">
        <v>1311</v>
      </c>
      <c r="B871" s="1" t="s">
        <v>1312</v>
      </c>
      <c r="C871" s="2">
        <v>44689.489583333336</v>
      </c>
      <c r="D871" s="4">
        <f t="shared" si="53"/>
        <v>44689</v>
      </c>
      <c r="E871" s="6">
        <v>36.827777777774202</v>
      </c>
      <c r="F871" s="6" t="str" cm="1">
        <f t="array" ref="F871">_xlfn.IFS(
     AND(HOUR(session_data[[#This Row],[Time]])&gt;5,HOUR(session_data[[#This Row],[Time]])&lt;12),"Morning",
     AND(HOUR(session_data[[#This Row],[Time]])&gt;=12,HOUR(session_data[[#This Row],[Time]])&lt;17),"Afternoon",
     AND(HOUR(session_data[[#This Row],[Time]])&gt;=17,HOUR(session_data[[#This Row],[Time]])&lt;21),"Evening",
     TRUE,"Night"
)</f>
        <v>Evening</v>
      </c>
      <c r="G871" s="1">
        <f t="shared" si="54"/>
        <v>2022</v>
      </c>
      <c r="H871" s="1" t="str">
        <f t="shared" si="55"/>
        <v>May</v>
      </c>
      <c r="I871" s="1" t="str">
        <f t="shared" si="52"/>
        <v>Sun</v>
      </c>
      <c r="J871" s="1" t="s">
        <v>11</v>
      </c>
      <c r="K871" s="1" t="s">
        <v>12</v>
      </c>
      <c r="L871" s="1" t="s">
        <v>50</v>
      </c>
      <c r="M871" s="1" t="s">
        <v>19</v>
      </c>
      <c r="N871" s="1" t="s">
        <v>14</v>
      </c>
      <c r="O871" t="s">
        <v>45</v>
      </c>
    </row>
    <row r="872" spans="1:15" x14ac:dyDescent="0.25">
      <c r="A872" s="1" t="s">
        <v>1313</v>
      </c>
      <c r="B872" s="1" t="s">
        <v>1314</v>
      </c>
      <c r="C872" s="3">
        <v>44644.98333333333</v>
      </c>
      <c r="D872" s="4">
        <f t="shared" si="53"/>
        <v>44644</v>
      </c>
      <c r="E872" s="6">
        <v>36.869444444440902</v>
      </c>
      <c r="F872" s="6" t="str" cm="1">
        <f t="array" ref="F872">_xlfn.IFS(
     AND(HOUR(session_data[[#This Row],[Time]])&gt;5,HOUR(session_data[[#This Row],[Time]])&lt;12),"Morning",
     AND(HOUR(session_data[[#This Row],[Time]])&gt;=12,HOUR(session_data[[#This Row],[Time]])&lt;17),"Afternoon",
     AND(HOUR(session_data[[#This Row],[Time]])&gt;=17,HOUR(session_data[[#This Row],[Time]])&lt;21),"Evening",
     TRUE,"Night"
)</f>
        <v>Evening</v>
      </c>
      <c r="G872" s="1">
        <f t="shared" si="54"/>
        <v>2022</v>
      </c>
      <c r="H872" s="1" t="str">
        <f t="shared" si="55"/>
        <v>Mar</v>
      </c>
      <c r="I872" s="1" t="str">
        <f t="shared" si="52"/>
        <v>Thu</v>
      </c>
      <c r="J872" s="1" t="s">
        <v>28</v>
      </c>
      <c r="K872" s="1" t="s">
        <v>12</v>
      </c>
      <c r="L872" s="1" t="s">
        <v>20</v>
      </c>
      <c r="M872" s="1" t="s">
        <v>19</v>
      </c>
      <c r="N872" s="1" t="s">
        <v>14</v>
      </c>
      <c r="O872" t="s">
        <v>15</v>
      </c>
    </row>
    <row r="873" spans="1:15" x14ac:dyDescent="0.25">
      <c r="A873" s="1" t="s">
        <v>1315</v>
      </c>
      <c r="B873" s="1" t="s">
        <v>1316</v>
      </c>
      <c r="C873" s="2">
        <v>44991.165277777778</v>
      </c>
      <c r="D873" s="4">
        <f t="shared" si="53"/>
        <v>44991</v>
      </c>
      <c r="E873" s="6">
        <v>36.911111111107601</v>
      </c>
      <c r="F873" s="6" t="str" cm="1">
        <f t="array" ref="F873">_xlfn.IFS(
     AND(HOUR(session_data[[#This Row],[Time]])&gt;5,HOUR(session_data[[#This Row],[Time]])&lt;12),"Morning",
     AND(HOUR(session_data[[#This Row],[Time]])&gt;=12,HOUR(session_data[[#This Row],[Time]])&lt;17),"Afternoon",
     AND(HOUR(session_data[[#This Row],[Time]])&gt;=17,HOUR(session_data[[#This Row],[Time]])&lt;21),"Evening",
     TRUE,"Night"
)</f>
        <v>Night</v>
      </c>
      <c r="G873" s="1">
        <f t="shared" si="54"/>
        <v>2023</v>
      </c>
      <c r="H873" s="1" t="str">
        <f t="shared" si="55"/>
        <v>Mar</v>
      </c>
      <c r="I873" s="1" t="str">
        <f t="shared" si="52"/>
        <v>Mon</v>
      </c>
      <c r="J873" s="1" t="s">
        <v>18</v>
      </c>
      <c r="K873" s="1" t="s">
        <v>29</v>
      </c>
      <c r="L873" s="1" t="s">
        <v>94</v>
      </c>
      <c r="M873" s="1" t="s">
        <v>32</v>
      </c>
      <c r="N873" s="1" t="s">
        <v>14</v>
      </c>
      <c r="O873" t="s">
        <v>15</v>
      </c>
    </row>
    <row r="874" spans="1:15" x14ac:dyDescent="0.25">
      <c r="A874" s="1" t="s">
        <v>1317</v>
      </c>
      <c r="B874" s="1" t="s">
        <v>1316</v>
      </c>
      <c r="C874" s="3">
        <v>45104.915277777778</v>
      </c>
      <c r="D874" s="4">
        <f t="shared" si="53"/>
        <v>45104</v>
      </c>
      <c r="E874" s="6">
        <v>36.952777777774202</v>
      </c>
      <c r="F874" s="6" t="str" cm="1">
        <f t="array" ref="F874">_xlfn.IFS(
     AND(HOUR(session_data[[#This Row],[Time]])&gt;5,HOUR(session_data[[#This Row],[Time]])&lt;12),"Morning",
     AND(HOUR(session_data[[#This Row],[Time]])&gt;=12,HOUR(session_data[[#This Row],[Time]])&lt;17),"Afternoon",
     AND(HOUR(session_data[[#This Row],[Time]])&gt;=17,HOUR(session_data[[#This Row],[Time]])&lt;21),"Evening",
     TRUE,"Night"
)</f>
        <v>Night</v>
      </c>
      <c r="G874" s="1">
        <f t="shared" si="54"/>
        <v>2023</v>
      </c>
      <c r="H874" s="1" t="str">
        <f t="shared" si="55"/>
        <v>Jun</v>
      </c>
      <c r="I874" s="1" t="str">
        <f t="shared" si="52"/>
        <v>Tue</v>
      </c>
      <c r="J874" s="1" t="s">
        <v>18</v>
      </c>
      <c r="K874" s="1" t="s">
        <v>29</v>
      </c>
      <c r="L874" s="1" t="s">
        <v>94</v>
      </c>
      <c r="M874" s="1" t="s">
        <v>32</v>
      </c>
      <c r="N874" s="1" t="s">
        <v>22</v>
      </c>
      <c r="O874" t="s">
        <v>15</v>
      </c>
    </row>
    <row r="875" spans="1:15" x14ac:dyDescent="0.25">
      <c r="A875" s="1" t="s">
        <v>1318</v>
      </c>
      <c r="B875" s="1" t="s">
        <v>1316</v>
      </c>
      <c r="C875" s="2">
        <v>45206.873611111114</v>
      </c>
      <c r="D875" s="4">
        <f t="shared" si="53"/>
        <v>45206</v>
      </c>
      <c r="E875" s="6">
        <v>36.994444444440902</v>
      </c>
      <c r="F875" s="6" t="str" cm="1">
        <f t="array" ref="F875">_xlfn.IFS(
     AND(HOUR(session_data[[#This Row],[Time]])&gt;5,HOUR(session_data[[#This Row],[Time]])&lt;12),"Morning",
     AND(HOUR(session_data[[#This Row],[Time]])&gt;=12,HOUR(session_data[[#This Row],[Time]])&lt;17),"Afternoon",
     AND(HOUR(session_data[[#This Row],[Time]])&gt;=17,HOUR(session_data[[#This Row],[Time]])&lt;21),"Evening",
     TRUE,"Night"
)</f>
        <v>Night</v>
      </c>
      <c r="G875" s="1">
        <f t="shared" si="54"/>
        <v>2023</v>
      </c>
      <c r="H875" s="1" t="str">
        <f t="shared" si="55"/>
        <v>Oct</v>
      </c>
      <c r="I875" s="1" t="str">
        <f t="shared" si="52"/>
        <v>Sat</v>
      </c>
      <c r="J875" s="1" t="s">
        <v>18</v>
      </c>
      <c r="K875" s="1" t="s">
        <v>29</v>
      </c>
      <c r="L875" s="1" t="s">
        <v>94</v>
      </c>
      <c r="M875" s="1" t="s">
        <v>32</v>
      </c>
      <c r="N875" s="1" t="s">
        <v>22</v>
      </c>
      <c r="O875" t="s">
        <v>15</v>
      </c>
    </row>
    <row r="876" spans="1:15" x14ac:dyDescent="0.25">
      <c r="A876" s="1" t="s">
        <v>1319</v>
      </c>
      <c r="B876" s="1" t="s">
        <v>1316</v>
      </c>
      <c r="C876" s="2">
        <v>45085.665277777778</v>
      </c>
      <c r="D876" s="4">
        <f t="shared" si="53"/>
        <v>45085</v>
      </c>
      <c r="E876" s="6">
        <v>37.036111111107601</v>
      </c>
      <c r="F876" s="6" t="str" cm="1">
        <f t="array" ref="F876">_xlfn.IFS(
     AND(HOUR(session_data[[#This Row],[Time]])&gt;5,HOUR(session_data[[#This Row],[Time]])&lt;12),"Morning",
     AND(HOUR(session_data[[#This Row],[Time]])&gt;=12,HOUR(session_data[[#This Row],[Time]])&lt;17),"Afternoon",
     AND(HOUR(session_data[[#This Row],[Time]])&gt;=17,HOUR(session_data[[#This Row],[Time]])&lt;21),"Evening",
     TRUE,"Night"
)</f>
        <v>Night</v>
      </c>
      <c r="G876" s="1">
        <f t="shared" si="54"/>
        <v>2023</v>
      </c>
      <c r="H876" s="1" t="str">
        <f t="shared" si="55"/>
        <v>Jun</v>
      </c>
      <c r="I876" s="1" t="str">
        <f t="shared" si="52"/>
        <v>Thu</v>
      </c>
      <c r="J876" s="1" t="s">
        <v>18</v>
      </c>
      <c r="K876" s="1" t="s">
        <v>29</v>
      </c>
      <c r="L876" s="1" t="s">
        <v>94</v>
      </c>
      <c r="M876" s="1" t="s">
        <v>32</v>
      </c>
      <c r="N876" s="1" t="s">
        <v>22</v>
      </c>
      <c r="O876" t="s">
        <v>15</v>
      </c>
    </row>
    <row r="877" spans="1:15" x14ac:dyDescent="0.25">
      <c r="A877" s="1" t="s">
        <v>1320</v>
      </c>
      <c r="B877" s="1" t="s">
        <v>1316</v>
      </c>
      <c r="C877" s="3">
        <v>45165.873611111114</v>
      </c>
      <c r="D877" s="4">
        <f t="shared" si="53"/>
        <v>45165</v>
      </c>
      <c r="E877" s="6">
        <v>37.077777777774202</v>
      </c>
      <c r="F877" s="6" t="str" cm="1">
        <f t="array" ref="F877">_xlfn.IFS(
     AND(HOUR(session_data[[#This Row],[Time]])&gt;5,HOUR(session_data[[#This Row],[Time]])&lt;12),"Morning",
     AND(HOUR(session_data[[#This Row],[Time]])&gt;=12,HOUR(session_data[[#This Row],[Time]])&lt;17),"Afternoon",
     AND(HOUR(session_data[[#This Row],[Time]])&gt;=17,HOUR(session_data[[#This Row],[Time]])&lt;21),"Evening",
     TRUE,"Night"
)</f>
        <v>Night</v>
      </c>
      <c r="G877" s="1">
        <f t="shared" si="54"/>
        <v>2023</v>
      </c>
      <c r="H877" s="1" t="str">
        <f t="shared" si="55"/>
        <v>Aug</v>
      </c>
      <c r="I877" s="1" t="str">
        <f t="shared" si="52"/>
        <v>Sun</v>
      </c>
      <c r="J877" s="1" t="s">
        <v>18</v>
      </c>
      <c r="K877" s="1" t="s">
        <v>29</v>
      </c>
      <c r="L877" s="1" t="s">
        <v>94</v>
      </c>
      <c r="M877" s="1" t="s">
        <v>32</v>
      </c>
      <c r="N877" s="1" t="s">
        <v>22</v>
      </c>
      <c r="O877" t="s">
        <v>15</v>
      </c>
    </row>
    <row r="878" spans="1:15" x14ac:dyDescent="0.25">
      <c r="A878" s="1" t="s">
        <v>1321</v>
      </c>
      <c r="B878" s="1" t="s">
        <v>1322</v>
      </c>
      <c r="C878" s="3">
        <v>44735.361805555556</v>
      </c>
      <c r="D878" s="4">
        <f t="shared" si="53"/>
        <v>44735</v>
      </c>
      <c r="E878" s="6">
        <v>37.119444444440902</v>
      </c>
      <c r="F878" s="6" t="str" cm="1">
        <f t="array" ref="F878">_xlfn.IFS(
     AND(HOUR(session_data[[#This Row],[Time]])&gt;5,HOUR(session_data[[#This Row],[Time]])&lt;12),"Morning",
     AND(HOUR(session_data[[#This Row],[Time]])&gt;=12,HOUR(session_data[[#This Row],[Time]])&lt;17),"Afternoon",
     AND(HOUR(session_data[[#This Row],[Time]])&gt;=17,HOUR(session_data[[#This Row],[Time]])&lt;21),"Evening",
     TRUE,"Night"
)</f>
        <v>Night</v>
      </c>
      <c r="G878" s="1">
        <f t="shared" si="54"/>
        <v>2022</v>
      </c>
      <c r="H878" s="1" t="str">
        <f t="shared" si="55"/>
        <v>Jun</v>
      </c>
      <c r="I878" s="1" t="str">
        <f t="shared" si="52"/>
        <v>Thu</v>
      </c>
      <c r="J878" s="1" t="s">
        <v>11</v>
      </c>
      <c r="K878" s="1" t="s">
        <v>12</v>
      </c>
      <c r="L878" s="1" t="s">
        <v>20</v>
      </c>
      <c r="M878" s="1" t="s">
        <v>19</v>
      </c>
      <c r="N878" s="1" t="s">
        <v>14</v>
      </c>
      <c r="O878" t="s">
        <v>15</v>
      </c>
    </row>
    <row r="879" spans="1:15" x14ac:dyDescent="0.25">
      <c r="A879" s="1" t="s">
        <v>1323</v>
      </c>
      <c r="B879" s="1" t="s">
        <v>1322</v>
      </c>
      <c r="C879" s="2">
        <v>44627.90347222222</v>
      </c>
      <c r="D879" s="4">
        <f t="shared" si="53"/>
        <v>44627</v>
      </c>
      <c r="E879" s="6">
        <v>37.161111111107601</v>
      </c>
      <c r="F879" s="6" t="str" cm="1">
        <f t="array" ref="F879">_xlfn.IFS(
     AND(HOUR(session_data[[#This Row],[Time]])&gt;5,HOUR(session_data[[#This Row],[Time]])&lt;12),"Morning",
     AND(HOUR(session_data[[#This Row],[Time]])&gt;=12,HOUR(session_data[[#This Row],[Time]])&lt;17),"Afternoon",
     AND(HOUR(session_data[[#This Row],[Time]])&gt;=17,HOUR(session_data[[#This Row],[Time]])&lt;21),"Evening",
     TRUE,"Night"
)</f>
        <v>Night</v>
      </c>
      <c r="G879" s="1">
        <f t="shared" si="54"/>
        <v>2022</v>
      </c>
      <c r="H879" s="1" t="str">
        <f t="shared" si="55"/>
        <v>Mar</v>
      </c>
      <c r="I879" s="1" t="str">
        <f t="shared" si="52"/>
        <v>Mon</v>
      </c>
      <c r="J879" s="1" t="s">
        <v>11</v>
      </c>
      <c r="K879" s="1" t="s">
        <v>12</v>
      </c>
      <c r="L879" s="1" t="s">
        <v>20</v>
      </c>
      <c r="M879" s="1" t="s">
        <v>19</v>
      </c>
      <c r="N879" s="1" t="s">
        <v>22</v>
      </c>
      <c r="O879" t="s">
        <v>15</v>
      </c>
    </row>
    <row r="880" spans="1:15" x14ac:dyDescent="0.25">
      <c r="A880" s="1" t="s">
        <v>1324</v>
      </c>
      <c r="B880" s="1" t="s">
        <v>1322</v>
      </c>
      <c r="C880" s="3">
        <v>44772.195138888892</v>
      </c>
      <c r="D880" s="4">
        <f t="shared" si="53"/>
        <v>44772</v>
      </c>
      <c r="E880" s="6">
        <v>37.202777777774202</v>
      </c>
      <c r="F880" s="6" t="str" cm="1">
        <f t="array" ref="F880">_xlfn.IFS(
     AND(HOUR(session_data[[#This Row],[Time]])&gt;5,HOUR(session_data[[#This Row],[Time]])&lt;12),"Morning",
     AND(HOUR(session_data[[#This Row],[Time]])&gt;=12,HOUR(session_data[[#This Row],[Time]])&lt;17),"Afternoon",
     AND(HOUR(session_data[[#This Row],[Time]])&gt;=17,HOUR(session_data[[#This Row],[Time]])&lt;21),"Evening",
     TRUE,"Night"
)</f>
        <v>Night</v>
      </c>
      <c r="G880" s="1">
        <f t="shared" si="54"/>
        <v>2022</v>
      </c>
      <c r="H880" s="1" t="str">
        <f t="shared" si="55"/>
        <v>Jul</v>
      </c>
      <c r="I880" s="1" t="str">
        <f t="shared" si="52"/>
        <v>Sat</v>
      </c>
      <c r="J880" s="1" t="s">
        <v>11</v>
      </c>
      <c r="K880" s="1" t="s">
        <v>12</v>
      </c>
      <c r="L880" s="1" t="s">
        <v>20</v>
      </c>
      <c r="M880" s="1" t="s">
        <v>19</v>
      </c>
      <c r="N880" s="1" t="s">
        <v>22</v>
      </c>
      <c r="O880" t="s">
        <v>15</v>
      </c>
    </row>
    <row r="881" spans="1:15" x14ac:dyDescent="0.25">
      <c r="A881" s="1" t="s">
        <v>1325</v>
      </c>
      <c r="B881" s="1" t="s">
        <v>1322</v>
      </c>
      <c r="C881" s="3">
        <v>44799.77847222222</v>
      </c>
      <c r="D881" s="4">
        <f t="shared" si="53"/>
        <v>44799</v>
      </c>
      <c r="E881" s="6">
        <v>37.244444444440902</v>
      </c>
      <c r="F881" s="6" t="str" cm="1">
        <f t="array" ref="F881">_xlfn.IFS(
     AND(HOUR(session_data[[#This Row],[Time]])&gt;5,HOUR(session_data[[#This Row],[Time]])&lt;12),"Morning",
     AND(HOUR(session_data[[#This Row],[Time]])&gt;=12,HOUR(session_data[[#This Row],[Time]])&lt;17),"Afternoon",
     AND(HOUR(session_data[[#This Row],[Time]])&gt;=17,HOUR(session_data[[#This Row],[Time]])&lt;21),"Evening",
     TRUE,"Night"
)</f>
        <v>Night</v>
      </c>
      <c r="G881" s="1">
        <f t="shared" si="54"/>
        <v>2022</v>
      </c>
      <c r="H881" s="1" t="str">
        <f t="shared" si="55"/>
        <v>Aug</v>
      </c>
      <c r="I881" s="1" t="str">
        <f t="shared" si="52"/>
        <v>Fri</v>
      </c>
      <c r="J881" s="1" t="s">
        <v>11</v>
      </c>
      <c r="K881" s="1" t="s">
        <v>12</v>
      </c>
      <c r="L881" s="1" t="s">
        <v>20</v>
      </c>
      <c r="M881" s="1" t="s">
        <v>19</v>
      </c>
      <c r="N881" s="1" t="s">
        <v>22</v>
      </c>
      <c r="O881" t="s">
        <v>15</v>
      </c>
    </row>
    <row r="882" spans="1:15" x14ac:dyDescent="0.25">
      <c r="A882" s="1" t="s">
        <v>1326</v>
      </c>
      <c r="B882" s="1" t="s">
        <v>1322</v>
      </c>
      <c r="C882" s="3">
        <v>44824.65347222222</v>
      </c>
      <c r="D882" s="4">
        <f t="shared" si="53"/>
        <v>44824</v>
      </c>
      <c r="E882" s="6">
        <v>37.286111111107601</v>
      </c>
      <c r="F882" s="6" t="str" cm="1">
        <f t="array" ref="F882">_xlfn.IFS(
     AND(HOUR(session_data[[#This Row],[Time]])&gt;5,HOUR(session_data[[#This Row],[Time]])&lt;12),"Morning",
     AND(HOUR(session_data[[#This Row],[Time]])&gt;=12,HOUR(session_data[[#This Row],[Time]])&lt;17),"Afternoon",
     AND(HOUR(session_data[[#This Row],[Time]])&gt;=17,HOUR(session_data[[#This Row],[Time]])&lt;21),"Evening",
     TRUE,"Night"
)</f>
        <v>Morning</v>
      </c>
      <c r="G882" s="1">
        <f t="shared" si="54"/>
        <v>2022</v>
      </c>
      <c r="H882" s="1" t="str">
        <f t="shared" si="55"/>
        <v>Sep</v>
      </c>
      <c r="I882" s="1" t="str">
        <f t="shared" si="52"/>
        <v>Tue</v>
      </c>
      <c r="J882" s="1" t="s">
        <v>11</v>
      </c>
      <c r="K882" s="1" t="s">
        <v>12</v>
      </c>
      <c r="L882" s="1" t="s">
        <v>20</v>
      </c>
      <c r="M882" s="1" t="s">
        <v>19</v>
      </c>
      <c r="N882" s="1" t="s">
        <v>22</v>
      </c>
      <c r="O882" t="s">
        <v>15</v>
      </c>
    </row>
    <row r="883" spans="1:15" x14ac:dyDescent="0.25">
      <c r="A883" s="1" t="s">
        <v>1327</v>
      </c>
      <c r="B883" s="1" t="s">
        <v>1328</v>
      </c>
      <c r="C883" s="3">
        <v>44970.536111111112</v>
      </c>
      <c r="D883" s="4">
        <f t="shared" si="53"/>
        <v>44970</v>
      </c>
      <c r="E883" s="6">
        <v>37.327777777774202</v>
      </c>
      <c r="F883" s="6" t="str" cm="1">
        <f t="array" ref="F883">_xlfn.IFS(
     AND(HOUR(session_data[[#This Row],[Time]])&gt;5,HOUR(session_data[[#This Row],[Time]])&lt;12),"Morning",
     AND(HOUR(session_data[[#This Row],[Time]])&gt;=12,HOUR(session_data[[#This Row],[Time]])&lt;17),"Afternoon",
     AND(HOUR(session_data[[#This Row],[Time]])&gt;=17,HOUR(session_data[[#This Row],[Time]])&lt;21),"Evening",
     TRUE,"Night"
)</f>
        <v>Morning</v>
      </c>
      <c r="G883" s="1">
        <f t="shared" si="54"/>
        <v>2023</v>
      </c>
      <c r="H883" s="1" t="str">
        <f t="shared" si="55"/>
        <v>Feb</v>
      </c>
      <c r="I883" s="1" t="str">
        <f t="shared" si="52"/>
        <v>Mon</v>
      </c>
      <c r="J883" s="1" t="s">
        <v>11</v>
      </c>
      <c r="K883" s="1" t="s">
        <v>12</v>
      </c>
      <c r="L883" s="1" t="s">
        <v>119</v>
      </c>
      <c r="M883" s="1" t="s">
        <v>40</v>
      </c>
      <c r="N883" s="1" t="s">
        <v>14</v>
      </c>
      <c r="O883" t="s">
        <v>45</v>
      </c>
    </row>
    <row r="884" spans="1:15" x14ac:dyDescent="0.25">
      <c r="A884" s="1" t="s">
        <v>1329</v>
      </c>
      <c r="B884" s="1" t="s">
        <v>1328</v>
      </c>
      <c r="C884" s="3">
        <v>45010.119444444441</v>
      </c>
      <c r="D884" s="4">
        <f t="shared" si="53"/>
        <v>45010</v>
      </c>
      <c r="E884" s="6">
        <v>37.369444444440902</v>
      </c>
      <c r="F884" s="6" t="str" cm="1">
        <f t="array" ref="F884">_xlfn.IFS(
     AND(HOUR(session_data[[#This Row],[Time]])&gt;5,HOUR(session_data[[#This Row],[Time]])&lt;12),"Morning",
     AND(HOUR(session_data[[#This Row],[Time]])&gt;=12,HOUR(session_data[[#This Row],[Time]])&lt;17),"Afternoon",
     AND(HOUR(session_data[[#This Row],[Time]])&gt;=17,HOUR(session_data[[#This Row],[Time]])&lt;21),"Evening",
     TRUE,"Night"
)</f>
        <v>Morning</v>
      </c>
      <c r="G884" s="1">
        <f t="shared" si="54"/>
        <v>2023</v>
      </c>
      <c r="H884" s="1" t="str">
        <f t="shared" si="55"/>
        <v>Mar</v>
      </c>
      <c r="I884" s="1" t="str">
        <f t="shared" si="52"/>
        <v>Sat</v>
      </c>
      <c r="J884" s="1" t="s">
        <v>11</v>
      </c>
      <c r="K884" s="1" t="s">
        <v>12</v>
      </c>
      <c r="L884" s="1" t="s">
        <v>119</v>
      </c>
      <c r="M884" s="1" t="s">
        <v>40</v>
      </c>
      <c r="N884" s="1" t="s">
        <v>22</v>
      </c>
      <c r="O884" t="s">
        <v>45</v>
      </c>
    </row>
    <row r="885" spans="1:15" x14ac:dyDescent="0.25">
      <c r="A885" s="1" t="s">
        <v>1330</v>
      </c>
      <c r="B885" s="1" t="s">
        <v>1331</v>
      </c>
      <c r="C885" s="2">
        <v>44994.759027777778</v>
      </c>
      <c r="D885" s="4">
        <f t="shared" si="53"/>
        <v>44994</v>
      </c>
      <c r="E885" s="6">
        <v>37.411111111107601</v>
      </c>
      <c r="F885" s="6" t="str" cm="1">
        <f t="array" ref="F885">_xlfn.IFS(
     AND(HOUR(session_data[[#This Row],[Time]])&gt;5,HOUR(session_data[[#This Row],[Time]])&lt;12),"Morning",
     AND(HOUR(session_data[[#This Row],[Time]])&gt;=12,HOUR(session_data[[#This Row],[Time]])&lt;17),"Afternoon",
     AND(HOUR(session_data[[#This Row],[Time]])&gt;=17,HOUR(session_data[[#This Row],[Time]])&lt;21),"Evening",
     TRUE,"Night"
)</f>
        <v>Morning</v>
      </c>
      <c r="G885" s="1">
        <f t="shared" si="54"/>
        <v>2023</v>
      </c>
      <c r="H885" s="1" t="str">
        <f t="shared" si="55"/>
        <v>Mar</v>
      </c>
      <c r="I885" s="1" t="str">
        <f t="shared" si="52"/>
        <v>Thu</v>
      </c>
      <c r="J885" s="1" t="s">
        <v>18</v>
      </c>
      <c r="K885" s="1" t="s">
        <v>29</v>
      </c>
      <c r="L885" s="1" t="s">
        <v>59</v>
      </c>
      <c r="M885" s="1" t="s">
        <v>19</v>
      </c>
      <c r="N885" s="1" t="s">
        <v>14</v>
      </c>
      <c r="O885" t="s">
        <v>15</v>
      </c>
    </row>
    <row r="886" spans="1:15" x14ac:dyDescent="0.25">
      <c r="A886" s="1" t="s">
        <v>1332</v>
      </c>
      <c r="B886" s="1" t="s">
        <v>1331</v>
      </c>
      <c r="C886" s="3">
        <v>45187.884027777778</v>
      </c>
      <c r="D886" s="4">
        <f t="shared" si="53"/>
        <v>45187</v>
      </c>
      <c r="E886" s="6">
        <v>37.452777777774202</v>
      </c>
      <c r="F886" s="6" t="str" cm="1">
        <f t="array" ref="F886">_xlfn.IFS(
     AND(HOUR(session_data[[#This Row],[Time]])&gt;5,HOUR(session_data[[#This Row],[Time]])&lt;12),"Morning",
     AND(HOUR(session_data[[#This Row],[Time]])&gt;=12,HOUR(session_data[[#This Row],[Time]])&lt;17),"Afternoon",
     AND(HOUR(session_data[[#This Row],[Time]])&gt;=17,HOUR(session_data[[#This Row],[Time]])&lt;21),"Evening",
     TRUE,"Night"
)</f>
        <v>Morning</v>
      </c>
      <c r="G886" s="1">
        <f t="shared" si="54"/>
        <v>2023</v>
      </c>
      <c r="H886" s="1" t="str">
        <f t="shared" si="55"/>
        <v>Sep</v>
      </c>
      <c r="I886" s="1" t="str">
        <f t="shared" si="52"/>
        <v>Mon</v>
      </c>
      <c r="J886" s="1" t="s">
        <v>18</v>
      </c>
      <c r="K886" s="1" t="s">
        <v>29</v>
      </c>
      <c r="L886" s="1" t="s">
        <v>59</v>
      </c>
      <c r="M886" s="1" t="s">
        <v>19</v>
      </c>
      <c r="N886" s="1" t="s">
        <v>22</v>
      </c>
      <c r="O886" t="s">
        <v>15</v>
      </c>
    </row>
    <row r="887" spans="1:15" x14ac:dyDescent="0.25">
      <c r="A887" s="1" t="s">
        <v>1333</v>
      </c>
      <c r="B887" s="1" t="s">
        <v>1334</v>
      </c>
      <c r="C887" s="3">
        <v>44827.716666666667</v>
      </c>
      <c r="D887" s="4">
        <f t="shared" si="53"/>
        <v>44827</v>
      </c>
      <c r="E887" s="6">
        <v>37.494444444440902</v>
      </c>
      <c r="F887" s="6" t="str" cm="1">
        <f t="array" ref="F887">_xlfn.IFS(
     AND(HOUR(session_data[[#This Row],[Time]])&gt;5,HOUR(session_data[[#This Row],[Time]])&lt;12),"Morning",
     AND(HOUR(session_data[[#This Row],[Time]])&gt;=12,HOUR(session_data[[#This Row],[Time]])&lt;17),"Afternoon",
     AND(HOUR(session_data[[#This Row],[Time]])&gt;=17,HOUR(session_data[[#This Row],[Time]])&lt;21),"Evening",
     TRUE,"Night"
)</f>
        <v>Morning</v>
      </c>
      <c r="G887" s="1">
        <f t="shared" si="54"/>
        <v>2022</v>
      </c>
      <c r="H887" s="1" t="str">
        <f t="shared" si="55"/>
        <v>Sep</v>
      </c>
      <c r="I887" s="1" t="str">
        <f t="shared" si="52"/>
        <v>Fri</v>
      </c>
      <c r="J887" s="1" t="s">
        <v>18</v>
      </c>
      <c r="K887" s="1" t="s">
        <v>12</v>
      </c>
      <c r="L887" s="1" t="s">
        <v>41</v>
      </c>
      <c r="M887" s="1" t="s">
        <v>40</v>
      </c>
      <c r="N887" s="1" t="s">
        <v>14</v>
      </c>
      <c r="O887" t="s">
        <v>45</v>
      </c>
    </row>
    <row r="888" spans="1:15" x14ac:dyDescent="0.25">
      <c r="A888" s="1" t="s">
        <v>1335</v>
      </c>
      <c r="B888" s="1" t="s">
        <v>1334</v>
      </c>
      <c r="C888" s="2">
        <v>44691.258333333331</v>
      </c>
      <c r="D888" s="4">
        <f t="shared" si="53"/>
        <v>44691</v>
      </c>
      <c r="E888" s="6">
        <v>37.536111111107601</v>
      </c>
      <c r="F888" s="6" t="str" cm="1">
        <f t="array" ref="F888">_xlfn.IFS(
     AND(HOUR(session_data[[#This Row],[Time]])&gt;5,HOUR(session_data[[#This Row],[Time]])&lt;12),"Morning",
     AND(HOUR(session_data[[#This Row],[Time]])&gt;=12,HOUR(session_data[[#This Row],[Time]])&lt;17),"Afternoon",
     AND(HOUR(session_data[[#This Row],[Time]])&gt;=17,HOUR(session_data[[#This Row],[Time]])&lt;21),"Evening",
     TRUE,"Night"
)</f>
        <v>Afternoon</v>
      </c>
      <c r="G888" s="1">
        <f t="shared" si="54"/>
        <v>2022</v>
      </c>
      <c r="H888" s="1" t="str">
        <f t="shared" si="55"/>
        <v>May</v>
      </c>
      <c r="I888" s="1" t="str">
        <f t="shared" si="52"/>
        <v>Tue</v>
      </c>
      <c r="J888" s="1" t="s">
        <v>18</v>
      </c>
      <c r="K888" s="1" t="s">
        <v>12</v>
      </c>
      <c r="L888" s="1" t="s">
        <v>41</v>
      </c>
      <c r="M888" s="1" t="s">
        <v>40</v>
      </c>
      <c r="N888" s="1" t="s">
        <v>22</v>
      </c>
      <c r="O888" t="s">
        <v>45</v>
      </c>
    </row>
    <row r="889" spans="1:15" x14ac:dyDescent="0.25">
      <c r="A889" s="1" t="s">
        <v>1336</v>
      </c>
      <c r="B889" s="1" t="s">
        <v>1337</v>
      </c>
      <c r="C889" s="2">
        <v>44622.677083333336</v>
      </c>
      <c r="D889" s="4">
        <f t="shared" si="53"/>
        <v>44622</v>
      </c>
      <c r="E889" s="6">
        <v>37.577777777774202</v>
      </c>
      <c r="F889" s="6" t="str" cm="1">
        <f t="array" ref="F889">_xlfn.IFS(
     AND(HOUR(session_data[[#This Row],[Time]])&gt;5,HOUR(session_data[[#This Row],[Time]])&lt;12),"Morning",
     AND(HOUR(session_data[[#This Row],[Time]])&gt;=12,HOUR(session_data[[#This Row],[Time]])&lt;17),"Afternoon",
     AND(HOUR(session_data[[#This Row],[Time]])&gt;=17,HOUR(session_data[[#This Row],[Time]])&lt;21),"Evening",
     TRUE,"Night"
)</f>
        <v>Afternoon</v>
      </c>
      <c r="G889" s="1">
        <f t="shared" si="54"/>
        <v>2022</v>
      </c>
      <c r="H889" s="1" t="str">
        <f t="shared" si="55"/>
        <v>Mar</v>
      </c>
      <c r="I889" s="1" t="str">
        <f t="shared" si="52"/>
        <v>Wed</v>
      </c>
      <c r="J889" s="1" t="s">
        <v>66</v>
      </c>
      <c r="K889" s="1" t="s">
        <v>12</v>
      </c>
      <c r="L889" s="1" t="s">
        <v>13</v>
      </c>
      <c r="M889" s="1" t="s">
        <v>32</v>
      </c>
      <c r="N889" s="1" t="s">
        <v>14</v>
      </c>
      <c r="O889" t="s">
        <v>15</v>
      </c>
    </row>
    <row r="890" spans="1:15" x14ac:dyDescent="0.25">
      <c r="A890" s="1" t="s">
        <v>1338</v>
      </c>
      <c r="B890" s="1" t="s">
        <v>1339</v>
      </c>
      <c r="C890" s="3">
        <v>45040.229166666664</v>
      </c>
      <c r="D890" s="4">
        <f t="shared" si="53"/>
        <v>45040</v>
      </c>
      <c r="E890" s="6">
        <v>37.619444444440902</v>
      </c>
      <c r="F890" s="6" t="str" cm="1">
        <f t="array" ref="F890">_xlfn.IFS(
     AND(HOUR(session_data[[#This Row],[Time]])&gt;5,HOUR(session_data[[#This Row],[Time]])&lt;12),"Morning",
     AND(HOUR(session_data[[#This Row],[Time]])&gt;=12,HOUR(session_data[[#This Row],[Time]])&lt;17),"Afternoon",
     AND(HOUR(session_data[[#This Row],[Time]])&gt;=17,HOUR(session_data[[#This Row],[Time]])&lt;21),"Evening",
     TRUE,"Night"
)</f>
        <v>Afternoon</v>
      </c>
      <c r="G890" s="1">
        <f t="shared" si="54"/>
        <v>2023</v>
      </c>
      <c r="H890" s="1" t="str">
        <f t="shared" si="55"/>
        <v>Apr</v>
      </c>
      <c r="I890" s="1" t="str">
        <f t="shared" si="52"/>
        <v>Mon</v>
      </c>
      <c r="J890" s="1" t="s">
        <v>66</v>
      </c>
      <c r="K890" s="1" t="s">
        <v>12</v>
      </c>
      <c r="L890" s="1" t="s">
        <v>79</v>
      </c>
      <c r="M890" s="1" t="s">
        <v>40</v>
      </c>
      <c r="N890" s="1" t="s">
        <v>14</v>
      </c>
      <c r="O890" t="s">
        <v>45</v>
      </c>
    </row>
    <row r="891" spans="1:15" x14ac:dyDescent="0.25">
      <c r="A891" s="1" t="s">
        <v>1340</v>
      </c>
      <c r="B891" s="1" t="s">
        <v>1341</v>
      </c>
      <c r="C891" s="2">
        <v>44784.790972222225</v>
      </c>
      <c r="D891" s="4">
        <f t="shared" si="53"/>
        <v>44784</v>
      </c>
      <c r="E891" s="6">
        <v>37.661111111107601</v>
      </c>
      <c r="F891" s="6" t="str" cm="1">
        <f t="array" ref="F891">_xlfn.IFS(
     AND(HOUR(session_data[[#This Row],[Time]])&gt;5,HOUR(session_data[[#This Row],[Time]])&lt;12),"Morning",
     AND(HOUR(session_data[[#This Row],[Time]])&gt;=12,HOUR(session_data[[#This Row],[Time]])&lt;17),"Afternoon",
     AND(HOUR(session_data[[#This Row],[Time]])&gt;=17,HOUR(session_data[[#This Row],[Time]])&lt;21),"Evening",
     TRUE,"Night"
)</f>
        <v>Afternoon</v>
      </c>
      <c r="G891" s="1">
        <f t="shared" si="54"/>
        <v>2022</v>
      </c>
      <c r="H891" s="1" t="str">
        <f t="shared" si="55"/>
        <v>Aug</v>
      </c>
      <c r="I891" s="1" t="str">
        <f t="shared" si="52"/>
        <v>Thu</v>
      </c>
      <c r="J891" s="1" t="s">
        <v>44</v>
      </c>
      <c r="K891" s="1" t="s">
        <v>12</v>
      </c>
      <c r="L891" s="1" t="s">
        <v>20</v>
      </c>
      <c r="M891" s="1" t="s">
        <v>19</v>
      </c>
      <c r="N891" s="1" t="s">
        <v>14</v>
      </c>
      <c r="O891" t="s">
        <v>15</v>
      </c>
    </row>
    <row r="892" spans="1:15" x14ac:dyDescent="0.25">
      <c r="A892" s="1" t="s">
        <v>1342</v>
      </c>
      <c r="B892" s="1" t="s">
        <v>1341</v>
      </c>
      <c r="C892" s="3">
        <v>44891.499305555553</v>
      </c>
      <c r="D892" s="4">
        <f t="shared" si="53"/>
        <v>44891</v>
      </c>
      <c r="E892" s="6">
        <v>37.702777777774202</v>
      </c>
      <c r="F892" s="6" t="str" cm="1">
        <f t="array" ref="F892">_xlfn.IFS(
     AND(HOUR(session_data[[#This Row],[Time]])&gt;5,HOUR(session_data[[#This Row],[Time]])&lt;12),"Morning",
     AND(HOUR(session_data[[#This Row],[Time]])&gt;=12,HOUR(session_data[[#This Row],[Time]])&lt;17),"Afternoon",
     AND(HOUR(session_data[[#This Row],[Time]])&gt;=17,HOUR(session_data[[#This Row],[Time]])&lt;21),"Evening",
     TRUE,"Night"
)</f>
        <v>Afternoon</v>
      </c>
      <c r="G892" s="1">
        <f t="shared" si="54"/>
        <v>2022</v>
      </c>
      <c r="H892" s="1" t="str">
        <f t="shared" si="55"/>
        <v>Nov</v>
      </c>
      <c r="I892" s="1" t="str">
        <f t="shared" si="52"/>
        <v>Sat</v>
      </c>
      <c r="J892" s="1" t="s">
        <v>44</v>
      </c>
      <c r="K892" s="1" t="s">
        <v>12</v>
      </c>
      <c r="L892" s="1" t="s">
        <v>20</v>
      </c>
      <c r="M892" s="1" t="s">
        <v>19</v>
      </c>
      <c r="N892" s="1" t="s">
        <v>22</v>
      </c>
      <c r="O892" t="s">
        <v>15</v>
      </c>
    </row>
    <row r="893" spans="1:15" x14ac:dyDescent="0.25">
      <c r="A893" s="1" t="s">
        <v>1343</v>
      </c>
      <c r="B893" s="1" t="s">
        <v>1341</v>
      </c>
      <c r="C893" s="2">
        <v>44877.874305555553</v>
      </c>
      <c r="D893" s="4">
        <f t="shared" si="53"/>
        <v>44877</v>
      </c>
      <c r="E893" s="6">
        <v>37.744444444440902</v>
      </c>
      <c r="F893" s="6" t="str" cm="1">
        <f t="array" ref="F893">_xlfn.IFS(
     AND(HOUR(session_data[[#This Row],[Time]])&gt;5,HOUR(session_data[[#This Row],[Time]])&lt;12),"Morning",
     AND(HOUR(session_data[[#This Row],[Time]])&gt;=12,HOUR(session_data[[#This Row],[Time]])&lt;17),"Afternoon",
     AND(HOUR(session_data[[#This Row],[Time]])&gt;=17,HOUR(session_data[[#This Row],[Time]])&lt;21),"Evening",
     TRUE,"Night"
)</f>
        <v>Evening</v>
      </c>
      <c r="G893" s="1">
        <f t="shared" si="54"/>
        <v>2022</v>
      </c>
      <c r="H893" s="1" t="str">
        <f t="shared" si="55"/>
        <v>Nov</v>
      </c>
      <c r="I893" s="1" t="str">
        <f t="shared" si="52"/>
        <v>Sat</v>
      </c>
      <c r="J893" s="1" t="s">
        <v>44</v>
      </c>
      <c r="K893" s="1" t="s">
        <v>12</v>
      </c>
      <c r="L893" s="1" t="s">
        <v>20</v>
      </c>
      <c r="M893" s="1" t="s">
        <v>19</v>
      </c>
      <c r="N893" s="1" t="s">
        <v>22</v>
      </c>
      <c r="O893" t="s">
        <v>15</v>
      </c>
    </row>
    <row r="894" spans="1:15" x14ac:dyDescent="0.25">
      <c r="A894" s="1" t="s">
        <v>1344</v>
      </c>
      <c r="B894" s="1" t="s">
        <v>1345</v>
      </c>
      <c r="C894" s="3">
        <v>44638.356944444444</v>
      </c>
      <c r="D894" s="4">
        <f t="shared" si="53"/>
        <v>44638</v>
      </c>
      <c r="E894" s="6">
        <v>37.786111111107601</v>
      </c>
      <c r="F894" s="6" t="str" cm="1">
        <f t="array" ref="F894">_xlfn.IFS(
     AND(HOUR(session_data[[#This Row],[Time]])&gt;5,HOUR(session_data[[#This Row],[Time]])&lt;12),"Morning",
     AND(HOUR(session_data[[#This Row],[Time]])&gt;=12,HOUR(session_data[[#This Row],[Time]])&lt;17),"Afternoon",
     AND(HOUR(session_data[[#This Row],[Time]])&gt;=17,HOUR(session_data[[#This Row],[Time]])&lt;21),"Evening",
     TRUE,"Night"
)</f>
        <v>Evening</v>
      </c>
      <c r="G894" s="1">
        <f t="shared" si="54"/>
        <v>2022</v>
      </c>
      <c r="H894" s="1" t="str">
        <f t="shared" si="55"/>
        <v>Mar</v>
      </c>
      <c r="I894" s="1" t="str">
        <f t="shared" si="52"/>
        <v>Fri</v>
      </c>
      <c r="J894" s="1" t="s">
        <v>11</v>
      </c>
      <c r="K894" s="1" t="s">
        <v>29</v>
      </c>
      <c r="L894" s="1" t="s">
        <v>94</v>
      </c>
      <c r="M894" s="1" t="s">
        <v>32</v>
      </c>
      <c r="N894" s="1" t="s">
        <v>14</v>
      </c>
      <c r="O894" t="s">
        <v>45</v>
      </c>
    </row>
    <row r="895" spans="1:15" x14ac:dyDescent="0.25">
      <c r="A895" s="1" t="s">
        <v>1346</v>
      </c>
      <c r="B895" s="1" t="s">
        <v>1345</v>
      </c>
      <c r="C895" s="2">
        <v>44596.023611111108</v>
      </c>
      <c r="D895" s="4">
        <f t="shared" si="53"/>
        <v>44596</v>
      </c>
      <c r="E895" s="6">
        <v>37.827777777774202</v>
      </c>
      <c r="F895" s="6" t="str" cm="1">
        <f t="array" ref="F895">_xlfn.IFS(
     AND(HOUR(session_data[[#This Row],[Time]])&gt;5,HOUR(session_data[[#This Row],[Time]])&lt;12),"Morning",
     AND(HOUR(session_data[[#This Row],[Time]])&gt;=12,HOUR(session_data[[#This Row],[Time]])&lt;17),"Afternoon",
     AND(HOUR(session_data[[#This Row],[Time]])&gt;=17,HOUR(session_data[[#This Row],[Time]])&lt;21),"Evening",
     TRUE,"Night"
)</f>
        <v>Evening</v>
      </c>
      <c r="G895" s="1">
        <f t="shared" si="54"/>
        <v>2022</v>
      </c>
      <c r="H895" s="1" t="str">
        <f t="shared" si="55"/>
        <v>Feb</v>
      </c>
      <c r="I895" s="1" t="str">
        <f t="shared" si="52"/>
        <v>Fri</v>
      </c>
      <c r="J895" s="1" t="s">
        <v>11</v>
      </c>
      <c r="K895" s="1" t="s">
        <v>29</v>
      </c>
      <c r="L895" s="1" t="s">
        <v>94</v>
      </c>
      <c r="M895" s="1" t="s">
        <v>32</v>
      </c>
      <c r="N895" s="1" t="s">
        <v>22</v>
      </c>
      <c r="O895" t="s">
        <v>45</v>
      </c>
    </row>
    <row r="896" spans="1:15" x14ac:dyDescent="0.25">
      <c r="A896" s="1" t="s">
        <v>1347</v>
      </c>
      <c r="B896" s="1" t="s">
        <v>1345</v>
      </c>
      <c r="C896" s="3">
        <v>44677.606944444444</v>
      </c>
      <c r="D896" s="4">
        <f t="shared" si="53"/>
        <v>44677</v>
      </c>
      <c r="E896" s="6">
        <v>37.869444444440902</v>
      </c>
      <c r="F896" s="6" t="str" cm="1">
        <f t="array" ref="F896">_xlfn.IFS(
     AND(HOUR(session_data[[#This Row],[Time]])&gt;5,HOUR(session_data[[#This Row],[Time]])&lt;12),"Morning",
     AND(HOUR(session_data[[#This Row],[Time]])&gt;=12,HOUR(session_data[[#This Row],[Time]])&lt;17),"Afternoon",
     AND(HOUR(session_data[[#This Row],[Time]])&gt;=17,HOUR(session_data[[#This Row],[Time]])&lt;21),"Evening",
     TRUE,"Night"
)</f>
        <v>Evening</v>
      </c>
      <c r="G896" s="1">
        <f t="shared" si="54"/>
        <v>2022</v>
      </c>
      <c r="H896" s="1" t="str">
        <f t="shared" si="55"/>
        <v>Apr</v>
      </c>
      <c r="I896" s="1" t="str">
        <f t="shared" si="52"/>
        <v>Tue</v>
      </c>
      <c r="J896" s="1" t="s">
        <v>11</v>
      </c>
      <c r="K896" s="1" t="s">
        <v>29</v>
      </c>
      <c r="L896" s="1" t="s">
        <v>94</v>
      </c>
      <c r="M896" s="1" t="s">
        <v>32</v>
      </c>
      <c r="N896" s="1" t="s">
        <v>22</v>
      </c>
      <c r="O896" t="s">
        <v>45</v>
      </c>
    </row>
    <row r="897" spans="1:15" x14ac:dyDescent="0.25">
      <c r="A897" s="1" t="s">
        <v>1348</v>
      </c>
      <c r="B897" s="1" t="s">
        <v>1349</v>
      </c>
      <c r="C897" s="2">
        <v>44806.761805555558</v>
      </c>
      <c r="D897" s="4">
        <f t="shared" si="53"/>
        <v>44806</v>
      </c>
      <c r="E897" s="6">
        <v>37.911111111107601</v>
      </c>
      <c r="F897" s="6" t="str" cm="1">
        <f t="array" ref="F897">_xlfn.IFS(
     AND(HOUR(session_data[[#This Row],[Time]])&gt;5,HOUR(session_data[[#This Row],[Time]])&lt;12),"Morning",
     AND(HOUR(session_data[[#This Row],[Time]])&gt;=12,HOUR(session_data[[#This Row],[Time]])&lt;17),"Afternoon",
     AND(HOUR(session_data[[#This Row],[Time]])&gt;=17,HOUR(session_data[[#This Row],[Time]])&lt;21),"Evening",
     TRUE,"Night"
)</f>
        <v>Night</v>
      </c>
      <c r="G897" s="1">
        <f t="shared" si="54"/>
        <v>2022</v>
      </c>
      <c r="H897" s="1" t="str">
        <f t="shared" si="55"/>
        <v>Sep</v>
      </c>
      <c r="I897" s="1" t="str">
        <f t="shared" si="52"/>
        <v>Fri</v>
      </c>
      <c r="J897" s="1" t="s">
        <v>18</v>
      </c>
      <c r="K897" s="1" t="s">
        <v>12</v>
      </c>
      <c r="L897" s="1" t="s">
        <v>59</v>
      </c>
      <c r="M897" s="1" t="s">
        <v>19</v>
      </c>
      <c r="N897" s="1" t="s">
        <v>14</v>
      </c>
      <c r="O897" t="s">
        <v>15</v>
      </c>
    </row>
    <row r="898" spans="1:15" x14ac:dyDescent="0.25">
      <c r="A898" s="1" t="s">
        <v>1350</v>
      </c>
      <c r="B898" s="1" t="s">
        <v>1349</v>
      </c>
      <c r="C898" s="3">
        <v>44619.886805555558</v>
      </c>
      <c r="D898" s="4">
        <f t="shared" si="53"/>
        <v>44619</v>
      </c>
      <c r="E898" s="6">
        <v>37.952777777774202</v>
      </c>
      <c r="F898" s="6" t="str" cm="1">
        <f t="array" ref="F898">_xlfn.IFS(
     AND(HOUR(session_data[[#This Row],[Time]])&gt;5,HOUR(session_data[[#This Row],[Time]])&lt;12),"Morning",
     AND(HOUR(session_data[[#This Row],[Time]])&gt;=12,HOUR(session_data[[#This Row],[Time]])&lt;17),"Afternoon",
     AND(HOUR(session_data[[#This Row],[Time]])&gt;=17,HOUR(session_data[[#This Row],[Time]])&lt;21),"Evening",
     TRUE,"Night"
)</f>
        <v>Night</v>
      </c>
      <c r="G898" s="1">
        <f t="shared" si="54"/>
        <v>2022</v>
      </c>
      <c r="H898" s="1" t="str">
        <f t="shared" si="55"/>
        <v>Feb</v>
      </c>
      <c r="I898" s="1" t="str">
        <f t="shared" ref="I898:I961" si="56">TEXT(D898,"DDD")</f>
        <v>Sun</v>
      </c>
      <c r="J898" s="1" t="s">
        <v>18</v>
      </c>
      <c r="K898" s="1" t="s">
        <v>12</v>
      </c>
      <c r="L898" s="1" t="s">
        <v>59</v>
      </c>
      <c r="M898" s="1" t="s">
        <v>19</v>
      </c>
      <c r="N898" s="1" t="s">
        <v>22</v>
      </c>
      <c r="O898" t="s">
        <v>15</v>
      </c>
    </row>
    <row r="899" spans="1:15" x14ac:dyDescent="0.25">
      <c r="A899" s="1" t="s">
        <v>1351</v>
      </c>
      <c r="B899" s="1" t="s">
        <v>1349</v>
      </c>
      <c r="C899" s="3">
        <v>44647.678472222222</v>
      </c>
      <c r="D899" s="4">
        <f t="shared" ref="D899:D962" si="57">INT(C899)</f>
        <v>44647</v>
      </c>
      <c r="E899" s="6">
        <v>37.994444444440902</v>
      </c>
      <c r="F899" s="6" t="str" cm="1">
        <f t="array" ref="F899">_xlfn.IFS(
     AND(HOUR(session_data[[#This Row],[Time]])&gt;5,HOUR(session_data[[#This Row],[Time]])&lt;12),"Morning",
     AND(HOUR(session_data[[#This Row],[Time]])&gt;=12,HOUR(session_data[[#This Row],[Time]])&lt;17),"Afternoon",
     AND(HOUR(session_data[[#This Row],[Time]])&gt;=17,HOUR(session_data[[#This Row],[Time]])&lt;21),"Evening",
     TRUE,"Night"
)</f>
        <v>Night</v>
      </c>
      <c r="G899" s="1">
        <f t="shared" ref="G899:G962" si="58">YEAR(D899)</f>
        <v>2022</v>
      </c>
      <c r="H899" s="1" t="str">
        <f t="shared" ref="H899:H962" si="59">TEXT(D899,"MMM")</f>
        <v>Mar</v>
      </c>
      <c r="I899" s="1" t="str">
        <f t="shared" si="56"/>
        <v>Sun</v>
      </c>
      <c r="J899" s="1" t="s">
        <v>18</v>
      </c>
      <c r="K899" s="1" t="s">
        <v>12</v>
      </c>
      <c r="L899" s="1" t="s">
        <v>59</v>
      </c>
      <c r="M899" s="1" t="s">
        <v>19</v>
      </c>
      <c r="N899" s="1" t="s">
        <v>22</v>
      </c>
      <c r="O899" t="s">
        <v>15</v>
      </c>
    </row>
    <row r="900" spans="1:15" x14ac:dyDescent="0.25">
      <c r="A900" s="1" t="s">
        <v>1352</v>
      </c>
      <c r="B900" s="1" t="s">
        <v>1353</v>
      </c>
      <c r="C900" s="3">
        <v>44680.665972222225</v>
      </c>
      <c r="D900" s="4">
        <f t="shared" si="57"/>
        <v>44680</v>
      </c>
      <c r="E900" s="6">
        <v>38.036111111107601</v>
      </c>
      <c r="F900" s="6" t="str" cm="1">
        <f t="array" ref="F900">_xlfn.IFS(
     AND(HOUR(session_data[[#This Row],[Time]])&gt;5,HOUR(session_data[[#This Row],[Time]])&lt;12),"Morning",
     AND(HOUR(session_data[[#This Row],[Time]])&gt;=12,HOUR(session_data[[#This Row],[Time]])&lt;17),"Afternoon",
     AND(HOUR(session_data[[#This Row],[Time]])&gt;=17,HOUR(session_data[[#This Row],[Time]])&lt;21),"Evening",
     TRUE,"Night"
)</f>
        <v>Night</v>
      </c>
      <c r="G900" s="1">
        <f t="shared" si="58"/>
        <v>2022</v>
      </c>
      <c r="H900" s="1" t="str">
        <f t="shared" si="59"/>
        <v>Apr</v>
      </c>
      <c r="I900" s="1" t="str">
        <f t="shared" si="56"/>
        <v>Fri</v>
      </c>
      <c r="J900" s="1" t="s">
        <v>11</v>
      </c>
      <c r="K900" s="1" t="s">
        <v>12</v>
      </c>
      <c r="L900" s="1" t="s">
        <v>79</v>
      </c>
      <c r="M900" s="1" t="s">
        <v>40</v>
      </c>
      <c r="N900" s="1" t="s">
        <v>14</v>
      </c>
      <c r="O900" t="s">
        <v>15</v>
      </c>
    </row>
    <row r="901" spans="1:15" x14ac:dyDescent="0.25">
      <c r="A901" s="1" t="s">
        <v>1354</v>
      </c>
      <c r="B901" s="1" t="s">
        <v>1353</v>
      </c>
      <c r="C901" s="3">
        <v>44702.874305555553</v>
      </c>
      <c r="D901" s="4">
        <f t="shared" si="57"/>
        <v>44702</v>
      </c>
      <c r="E901" s="6">
        <v>38.077777777774202</v>
      </c>
      <c r="F901" s="6" t="str" cm="1">
        <f t="array" ref="F901">_xlfn.IFS(
     AND(HOUR(session_data[[#This Row],[Time]])&gt;5,HOUR(session_data[[#This Row],[Time]])&lt;12),"Morning",
     AND(HOUR(session_data[[#This Row],[Time]])&gt;=12,HOUR(session_data[[#This Row],[Time]])&lt;17),"Afternoon",
     AND(HOUR(session_data[[#This Row],[Time]])&gt;=17,HOUR(session_data[[#This Row],[Time]])&lt;21),"Evening",
     TRUE,"Night"
)</f>
        <v>Night</v>
      </c>
      <c r="G901" s="1">
        <f t="shared" si="58"/>
        <v>2022</v>
      </c>
      <c r="H901" s="1" t="str">
        <f t="shared" si="59"/>
        <v>May</v>
      </c>
      <c r="I901" s="1" t="str">
        <f t="shared" si="56"/>
        <v>Sat</v>
      </c>
      <c r="J901" s="1" t="s">
        <v>11</v>
      </c>
      <c r="K901" s="1" t="s">
        <v>12</v>
      </c>
      <c r="L901" s="1" t="s">
        <v>79</v>
      </c>
      <c r="M901" s="1" t="s">
        <v>40</v>
      </c>
      <c r="N901" s="1" t="s">
        <v>22</v>
      </c>
      <c r="O901" t="s">
        <v>15</v>
      </c>
    </row>
    <row r="902" spans="1:15" x14ac:dyDescent="0.25">
      <c r="A902" s="1" t="s">
        <v>1355</v>
      </c>
      <c r="B902" s="1" t="s">
        <v>1353</v>
      </c>
      <c r="C902" s="2">
        <v>44779.332638888889</v>
      </c>
      <c r="D902" s="4">
        <f t="shared" si="57"/>
        <v>44779</v>
      </c>
      <c r="E902" s="6">
        <v>38.119444444440902</v>
      </c>
      <c r="F902" s="6" t="str" cm="1">
        <f t="array" ref="F902">_xlfn.IFS(
     AND(HOUR(session_data[[#This Row],[Time]])&gt;5,HOUR(session_data[[#This Row],[Time]])&lt;12),"Morning",
     AND(HOUR(session_data[[#This Row],[Time]])&gt;=12,HOUR(session_data[[#This Row],[Time]])&lt;17),"Afternoon",
     AND(HOUR(session_data[[#This Row],[Time]])&gt;=17,HOUR(session_data[[#This Row],[Time]])&lt;21),"Evening",
     TRUE,"Night"
)</f>
        <v>Night</v>
      </c>
      <c r="G902" s="1">
        <f t="shared" si="58"/>
        <v>2022</v>
      </c>
      <c r="H902" s="1" t="str">
        <f t="shared" si="59"/>
        <v>Aug</v>
      </c>
      <c r="I902" s="1" t="str">
        <f t="shared" si="56"/>
        <v>Sat</v>
      </c>
      <c r="J902" s="1" t="s">
        <v>11</v>
      </c>
      <c r="K902" s="1" t="s">
        <v>12</v>
      </c>
      <c r="L902" s="1" t="s">
        <v>79</v>
      </c>
      <c r="M902" s="1" t="s">
        <v>40</v>
      </c>
      <c r="N902" s="1" t="s">
        <v>22</v>
      </c>
      <c r="O902" t="s">
        <v>15</v>
      </c>
    </row>
    <row r="903" spans="1:15" x14ac:dyDescent="0.25">
      <c r="A903" s="1" t="s">
        <v>1356</v>
      </c>
      <c r="B903" s="1" t="s">
        <v>1357</v>
      </c>
      <c r="C903" s="3">
        <v>45013.020833333336</v>
      </c>
      <c r="D903" s="4">
        <f t="shared" si="57"/>
        <v>45013</v>
      </c>
      <c r="E903" s="6">
        <v>38.161111111107601</v>
      </c>
      <c r="F903" s="6" t="str" cm="1">
        <f t="array" ref="F903">_xlfn.IFS(
     AND(HOUR(session_data[[#This Row],[Time]])&gt;5,HOUR(session_data[[#This Row],[Time]])&lt;12),"Morning",
     AND(HOUR(session_data[[#This Row],[Time]])&gt;=12,HOUR(session_data[[#This Row],[Time]])&lt;17),"Afternoon",
     AND(HOUR(session_data[[#This Row],[Time]])&gt;=17,HOUR(session_data[[#This Row],[Time]])&lt;21),"Evening",
     TRUE,"Night"
)</f>
        <v>Night</v>
      </c>
      <c r="G903" s="1">
        <f t="shared" si="58"/>
        <v>2023</v>
      </c>
      <c r="H903" s="1" t="str">
        <f t="shared" si="59"/>
        <v>Mar</v>
      </c>
      <c r="I903" s="1" t="str">
        <f t="shared" si="56"/>
        <v>Tue</v>
      </c>
      <c r="J903" s="1" t="s">
        <v>44</v>
      </c>
      <c r="K903" s="1" t="s">
        <v>12</v>
      </c>
      <c r="L903" s="1" t="s">
        <v>30</v>
      </c>
      <c r="M903" s="1" t="s">
        <v>32</v>
      </c>
      <c r="N903" s="1" t="s">
        <v>14</v>
      </c>
      <c r="O903" t="s">
        <v>45</v>
      </c>
    </row>
    <row r="904" spans="1:15" x14ac:dyDescent="0.25">
      <c r="A904" s="1" t="s">
        <v>1358</v>
      </c>
      <c r="B904" s="1" t="s">
        <v>1359</v>
      </c>
      <c r="C904" s="2">
        <v>44622.313194444447</v>
      </c>
      <c r="D904" s="4">
        <f t="shared" si="57"/>
        <v>44622</v>
      </c>
      <c r="E904" s="6">
        <v>38.202777777774202</v>
      </c>
      <c r="F904" s="6" t="str" cm="1">
        <f t="array" ref="F904">_xlfn.IFS(
     AND(HOUR(session_data[[#This Row],[Time]])&gt;5,HOUR(session_data[[#This Row],[Time]])&lt;12),"Morning",
     AND(HOUR(session_data[[#This Row],[Time]])&gt;=12,HOUR(session_data[[#This Row],[Time]])&lt;17),"Afternoon",
     AND(HOUR(session_data[[#This Row],[Time]])&gt;=17,HOUR(session_data[[#This Row],[Time]])&lt;21),"Evening",
     TRUE,"Night"
)</f>
        <v>Night</v>
      </c>
      <c r="G904" s="1">
        <f t="shared" si="58"/>
        <v>2022</v>
      </c>
      <c r="H904" s="1" t="str">
        <f t="shared" si="59"/>
        <v>Mar</v>
      </c>
      <c r="I904" s="1" t="str">
        <f t="shared" si="56"/>
        <v>Wed</v>
      </c>
      <c r="J904" s="1" t="s">
        <v>18</v>
      </c>
      <c r="K904" s="1" t="s">
        <v>12</v>
      </c>
      <c r="L904" s="1" t="s">
        <v>50</v>
      </c>
      <c r="M904" s="1" t="s">
        <v>19</v>
      </c>
      <c r="N904" s="1" t="s">
        <v>14</v>
      </c>
      <c r="O904" t="s">
        <v>45</v>
      </c>
    </row>
    <row r="905" spans="1:15" x14ac:dyDescent="0.25">
      <c r="A905" s="1" t="s">
        <v>1360</v>
      </c>
      <c r="B905" s="1" t="s">
        <v>1359</v>
      </c>
      <c r="C905" s="2">
        <v>44898.479861111111</v>
      </c>
      <c r="D905" s="4">
        <f t="shared" si="57"/>
        <v>44898</v>
      </c>
      <c r="E905" s="6">
        <v>38.244444444440902</v>
      </c>
      <c r="F905" s="6" t="str" cm="1">
        <f t="array" ref="F905">_xlfn.IFS(
     AND(HOUR(session_data[[#This Row],[Time]])&gt;5,HOUR(session_data[[#This Row],[Time]])&lt;12),"Morning",
     AND(HOUR(session_data[[#This Row],[Time]])&gt;=12,HOUR(session_data[[#This Row],[Time]])&lt;17),"Afternoon",
     AND(HOUR(session_data[[#This Row],[Time]])&gt;=17,HOUR(session_data[[#This Row],[Time]])&lt;21),"Evening",
     TRUE,"Night"
)</f>
        <v>Night</v>
      </c>
      <c r="G905" s="1">
        <f t="shared" si="58"/>
        <v>2022</v>
      </c>
      <c r="H905" s="1" t="str">
        <f t="shared" si="59"/>
        <v>Dec</v>
      </c>
      <c r="I905" s="1" t="str">
        <f t="shared" si="56"/>
        <v>Sat</v>
      </c>
      <c r="J905" s="1" t="s">
        <v>18</v>
      </c>
      <c r="K905" s="1" t="s">
        <v>12</v>
      </c>
      <c r="L905" s="1" t="s">
        <v>50</v>
      </c>
      <c r="M905" s="1" t="s">
        <v>19</v>
      </c>
      <c r="N905" s="1" t="s">
        <v>22</v>
      </c>
      <c r="O905" t="s">
        <v>45</v>
      </c>
    </row>
    <row r="906" spans="1:15" x14ac:dyDescent="0.25">
      <c r="A906" s="1" t="s">
        <v>1361</v>
      </c>
      <c r="B906" s="1" t="s">
        <v>1362</v>
      </c>
      <c r="C906" s="3">
        <v>44665.522222222222</v>
      </c>
      <c r="D906" s="4">
        <f t="shared" si="57"/>
        <v>44665</v>
      </c>
      <c r="E906" s="6">
        <v>38.286111111107601</v>
      </c>
      <c r="F906" s="6" t="str" cm="1">
        <f t="array" ref="F906">_xlfn.IFS(
     AND(HOUR(session_data[[#This Row],[Time]])&gt;5,HOUR(session_data[[#This Row],[Time]])&lt;12),"Morning",
     AND(HOUR(session_data[[#This Row],[Time]])&gt;=12,HOUR(session_data[[#This Row],[Time]])&lt;17),"Afternoon",
     AND(HOUR(session_data[[#This Row],[Time]])&gt;=17,HOUR(session_data[[#This Row],[Time]])&lt;21),"Evening",
     TRUE,"Night"
)</f>
        <v>Morning</v>
      </c>
      <c r="G906" s="1">
        <f t="shared" si="58"/>
        <v>2022</v>
      </c>
      <c r="H906" s="1" t="str">
        <f t="shared" si="59"/>
        <v>Apr</v>
      </c>
      <c r="I906" s="1" t="str">
        <f t="shared" si="56"/>
        <v>Thu</v>
      </c>
      <c r="J906" s="1" t="s">
        <v>28</v>
      </c>
      <c r="K906" s="1" t="s">
        <v>12</v>
      </c>
      <c r="L906" s="1" t="s">
        <v>30</v>
      </c>
      <c r="M906" s="1" t="s">
        <v>32</v>
      </c>
      <c r="N906" s="1" t="s">
        <v>14</v>
      </c>
      <c r="O906" t="s">
        <v>15</v>
      </c>
    </row>
    <row r="907" spans="1:15" x14ac:dyDescent="0.25">
      <c r="A907" s="1" t="s">
        <v>1363</v>
      </c>
      <c r="B907" s="1" t="s">
        <v>1364</v>
      </c>
      <c r="C907" s="3">
        <v>44729.933333333334</v>
      </c>
      <c r="D907" s="4">
        <f t="shared" si="57"/>
        <v>44729</v>
      </c>
      <c r="E907" s="6">
        <v>38.327777777774202</v>
      </c>
      <c r="F907" s="6" t="str" cm="1">
        <f t="array" ref="F907">_xlfn.IFS(
     AND(HOUR(session_data[[#This Row],[Time]])&gt;5,HOUR(session_data[[#This Row],[Time]])&lt;12),"Morning",
     AND(HOUR(session_data[[#This Row],[Time]])&gt;=12,HOUR(session_data[[#This Row],[Time]])&lt;17),"Afternoon",
     AND(HOUR(session_data[[#This Row],[Time]])&gt;=17,HOUR(session_data[[#This Row],[Time]])&lt;21),"Evening",
     TRUE,"Night"
)</f>
        <v>Morning</v>
      </c>
      <c r="G907" s="1">
        <f t="shared" si="58"/>
        <v>2022</v>
      </c>
      <c r="H907" s="1" t="str">
        <f t="shared" si="59"/>
        <v>Jun</v>
      </c>
      <c r="I907" s="1" t="str">
        <f t="shared" si="56"/>
        <v>Fri</v>
      </c>
      <c r="J907" s="1" t="s">
        <v>11</v>
      </c>
      <c r="K907" s="1" t="s">
        <v>29</v>
      </c>
      <c r="L907" s="1" t="s">
        <v>119</v>
      </c>
      <c r="M907" s="1" t="s">
        <v>40</v>
      </c>
      <c r="N907" s="1" t="s">
        <v>14</v>
      </c>
      <c r="O907" t="s">
        <v>45</v>
      </c>
    </row>
    <row r="908" spans="1:15" x14ac:dyDescent="0.25">
      <c r="A908" s="1" t="s">
        <v>1365</v>
      </c>
      <c r="B908" s="1" t="s">
        <v>1364</v>
      </c>
      <c r="C908" s="3">
        <v>44760.224999999999</v>
      </c>
      <c r="D908" s="4">
        <f t="shared" si="57"/>
        <v>44760</v>
      </c>
      <c r="E908" s="6">
        <v>38.369444444440902</v>
      </c>
      <c r="F908" s="6" t="str" cm="1">
        <f t="array" ref="F908">_xlfn.IFS(
     AND(HOUR(session_data[[#This Row],[Time]])&gt;5,HOUR(session_data[[#This Row],[Time]])&lt;12),"Morning",
     AND(HOUR(session_data[[#This Row],[Time]])&gt;=12,HOUR(session_data[[#This Row],[Time]])&lt;17),"Afternoon",
     AND(HOUR(session_data[[#This Row],[Time]])&gt;=17,HOUR(session_data[[#This Row],[Time]])&lt;21),"Evening",
     TRUE,"Night"
)</f>
        <v>Morning</v>
      </c>
      <c r="G908" s="1">
        <f t="shared" si="58"/>
        <v>2022</v>
      </c>
      <c r="H908" s="1" t="str">
        <f t="shared" si="59"/>
        <v>Jul</v>
      </c>
      <c r="I908" s="1" t="str">
        <f t="shared" si="56"/>
        <v>Mon</v>
      </c>
      <c r="J908" s="1" t="s">
        <v>11</v>
      </c>
      <c r="K908" s="1" t="s">
        <v>29</v>
      </c>
      <c r="L908" s="1" t="s">
        <v>119</v>
      </c>
      <c r="M908" s="1" t="s">
        <v>40</v>
      </c>
      <c r="N908" s="1" t="s">
        <v>22</v>
      </c>
      <c r="O908" t="s">
        <v>45</v>
      </c>
    </row>
    <row r="909" spans="1:15" x14ac:dyDescent="0.25">
      <c r="A909" s="1" t="s">
        <v>1366</v>
      </c>
      <c r="B909" s="1" t="s">
        <v>1367</v>
      </c>
      <c r="C909" s="3">
        <v>44705.440972222219</v>
      </c>
      <c r="D909" s="4">
        <f t="shared" si="57"/>
        <v>44705</v>
      </c>
      <c r="E909" s="6">
        <v>38.411111111107601</v>
      </c>
      <c r="F909" s="6" t="str" cm="1">
        <f t="array" ref="F909">_xlfn.IFS(
     AND(HOUR(session_data[[#This Row],[Time]])&gt;5,HOUR(session_data[[#This Row],[Time]])&lt;12),"Morning",
     AND(HOUR(session_data[[#This Row],[Time]])&gt;=12,HOUR(session_data[[#This Row],[Time]])&lt;17),"Afternoon",
     AND(HOUR(session_data[[#This Row],[Time]])&gt;=17,HOUR(session_data[[#This Row],[Time]])&lt;21),"Evening",
     TRUE,"Night"
)</f>
        <v>Morning</v>
      </c>
      <c r="G909" s="1">
        <f t="shared" si="58"/>
        <v>2022</v>
      </c>
      <c r="H909" s="1" t="str">
        <f t="shared" si="59"/>
        <v>May</v>
      </c>
      <c r="I909" s="1" t="str">
        <f t="shared" si="56"/>
        <v>Tue</v>
      </c>
      <c r="J909" s="1" t="s">
        <v>18</v>
      </c>
      <c r="K909" s="1" t="s">
        <v>12</v>
      </c>
      <c r="L909" s="1" t="s">
        <v>79</v>
      </c>
      <c r="M909" s="1" t="s">
        <v>40</v>
      </c>
      <c r="N909" s="1" t="s">
        <v>14</v>
      </c>
      <c r="O909" t="s">
        <v>15</v>
      </c>
    </row>
    <row r="910" spans="1:15" x14ac:dyDescent="0.25">
      <c r="A910" s="1" t="s">
        <v>1368</v>
      </c>
      <c r="B910" s="1" t="s">
        <v>1367</v>
      </c>
      <c r="C910" s="2">
        <v>44871.899305555555</v>
      </c>
      <c r="D910" s="4">
        <f t="shared" si="57"/>
        <v>44871</v>
      </c>
      <c r="E910" s="6">
        <v>38.452777777774202</v>
      </c>
      <c r="F910" s="6" t="str" cm="1">
        <f t="array" ref="F910">_xlfn.IFS(
     AND(HOUR(session_data[[#This Row],[Time]])&gt;5,HOUR(session_data[[#This Row],[Time]])&lt;12),"Morning",
     AND(HOUR(session_data[[#This Row],[Time]])&gt;=12,HOUR(session_data[[#This Row],[Time]])&lt;17),"Afternoon",
     AND(HOUR(session_data[[#This Row],[Time]])&gt;=17,HOUR(session_data[[#This Row],[Time]])&lt;21),"Evening",
     TRUE,"Night"
)</f>
        <v>Morning</v>
      </c>
      <c r="G910" s="1">
        <f t="shared" si="58"/>
        <v>2022</v>
      </c>
      <c r="H910" s="1" t="str">
        <f t="shared" si="59"/>
        <v>Nov</v>
      </c>
      <c r="I910" s="1" t="str">
        <f t="shared" si="56"/>
        <v>Sun</v>
      </c>
      <c r="J910" s="1" t="s">
        <v>18</v>
      </c>
      <c r="K910" s="1" t="s">
        <v>12</v>
      </c>
      <c r="L910" s="1" t="s">
        <v>79</v>
      </c>
      <c r="M910" s="1" t="s">
        <v>40</v>
      </c>
      <c r="N910" s="1" t="s">
        <v>22</v>
      </c>
      <c r="O910" t="s">
        <v>15</v>
      </c>
    </row>
    <row r="911" spans="1:15" x14ac:dyDescent="0.25">
      <c r="A911" s="1" t="s">
        <v>1369</v>
      </c>
      <c r="B911" s="1" t="s">
        <v>1370</v>
      </c>
      <c r="C911" s="3">
        <v>44619.86041666667</v>
      </c>
      <c r="D911" s="4">
        <f t="shared" si="57"/>
        <v>44619</v>
      </c>
      <c r="E911" s="6">
        <v>38.494444444440902</v>
      </c>
      <c r="F911" s="6" t="str" cm="1">
        <f t="array" ref="F911">_xlfn.IFS(
     AND(HOUR(session_data[[#This Row],[Time]])&gt;5,HOUR(session_data[[#This Row],[Time]])&lt;12),"Morning",
     AND(HOUR(session_data[[#This Row],[Time]])&gt;=12,HOUR(session_data[[#This Row],[Time]])&lt;17),"Afternoon",
     AND(HOUR(session_data[[#This Row],[Time]])&gt;=17,HOUR(session_data[[#This Row],[Time]])&lt;21),"Evening",
     TRUE,"Night"
)</f>
        <v>Morning</v>
      </c>
      <c r="G911" s="1">
        <f t="shared" si="58"/>
        <v>2022</v>
      </c>
      <c r="H911" s="1" t="str">
        <f t="shared" si="59"/>
        <v>Feb</v>
      </c>
      <c r="I911" s="1" t="str">
        <f t="shared" si="56"/>
        <v>Sun</v>
      </c>
      <c r="J911" s="1" t="s">
        <v>18</v>
      </c>
      <c r="K911" s="1" t="s">
        <v>12</v>
      </c>
      <c r="L911" s="1" t="s">
        <v>119</v>
      </c>
      <c r="M911" s="1" t="s">
        <v>40</v>
      </c>
      <c r="N911" s="1" t="s">
        <v>14</v>
      </c>
      <c r="O911" t="s">
        <v>15</v>
      </c>
    </row>
    <row r="912" spans="1:15" x14ac:dyDescent="0.25">
      <c r="A912" s="1" t="s">
        <v>1371</v>
      </c>
      <c r="B912" s="1" t="s">
        <v>1370</v>
      </c>
      <c r="C912" s="3">
        <v>44647.902083333334</v>
      </c>
      <c r="D912" s="4">
        <f t="shared" si="57"/>
        <v>44647</v>
      </c>
      <c r="E912" s="6">
        <v>38.536111111107601</v>
      </c>
      <c r="F912" s="6" t="str" cm="1">
        <f t="array" ref="F912">_xlfn.IFS(
     AND(HOUR(session_data[[#This Row],[Time]])&gt;5,HOUR(session_data[[#This Row],[Time]])&lt;12),"Morning",
     AND(HOUR(session_data[[#This Row],[Time]])&gt;=12,HOUR(session_data[[#This Row],[Time]])&lt;17),"Afternoon",
     AND(HOUR(session_data[[#This Row],[Time]])&gt;=17,HOUR(session_data[[#This Row],[Time]])&lt;21),"Evening",
     TRUE,"Night"
)</f>
        <v>Afternoon</v>
      </c>
      <c r="G912" s="1">
        <f t="shared" si="58"/>
        <v>2022</v>
      </c>
      <c r="H912" s="1" t="str">
        <f t="shared" si="59"/>
        <v>Mar</v>
      </c>
      <c r="I912" s="1" t="str">
        <f t="shared" si="56"/>
        <v>Sun</v>
      </c>
      <c r="J912" s="1" t="s">
        <v>18</v>
      </c>
      <c r="K912" s="1" t="s">
        <v>12</v>
      </c>
      <c r="L912" s="1" t="s">
        <v>119</v>
      </c>
      <c r="M912" s="1" t="s">
        <v>40</v>
      </c>
      <c r="N912" s="1" t="s">
        <v>22</v>
      </c>
      <c r="O912" t="s">
        <v>15</v>
      </c>
    </row>
    <row r="913" spans="1:15" x14ac:dyDescent="0.25">
      <c r="A913" s="1" t="s">
        <v>1372</v>
      </c>
      <c r="B913" s="1" t="s">
        <v>1370</v>
      </c>
      <c r="C913" s="2">
        <v>44869.98541666667</v>
      </c>
      <c r="D913" s="4">
        <f t="shared" si="57"/>
        <v>44869</v>
      </c>
      <c r="E913" s="6">
        <v>38.577777777774202</v>
      </c>
      <c r="F913" s="6" t="str" cm="1">
        <f t="array" ref="F913">_xlfn.IFS(
     AND(HOUR(session_data[[#This Row],[Time]])&gt;5,HOUR(session_data[[#This Row],[Time]])&lt;12),"Morning",
     AND(HOUR(session_data[[#This Row],[Time]])&gt;=12,HOUR(session_data[[#This Row],[Time]])&lt;17),"Afternoon",
     AND(HOUR(session_data[[#This Row],[Time]])&gt;=17,HOUR(session_data[[#This Row],[Time]])&lt;21),"Evening",
     TRUE,"Night"
)</f>
        <v>Afternoon</v>
      </c>
      <c r="G913" s="1">
        <f t="shared" si="58"/>
        <v>2022</v>
      </c>
      <c r="H913" s="1" t="str">
        <f t="shared" si="59"/>
        <v>Nov</v>
      </c>
      <c r="I913" s="1" t="str">
        <f t="shared" si="56"/>
        <v>Fri</v>
      </c>
      <c r="J913" s="1" t="s">
        <v>18</v>
      </c>
      <c r="K913" s="1" t="s">
        <v>12</v>
      </c>
      <c r="L913" s="1" t="s">
        <v>119</v>
      </c>
      <c r="M913" s="1" t="s">
        <v>40</v>
      </c>
      <c r="N913" s="1" t="s">
        <v>22</v>
      </c>
      <c r="O913" t="s">
        <v>15</v>
      </c>
    </row>
    <row r="914" spans="1:15" x14ac:dyDescent="0.25">
      <c r="A914" s="1" t="s">
        <v>1373</v>
      </c>
      <c r="B914" s="1" t="s">
        <v>1370</v>
      </c>
      <c r="C914" s="2">
        <v>44717.777083333334</v>
      </c>
      <c r="D914" s="4">
        <f t="shared" si="57"/>
        <v>44717</v>
      </c>
      <c r="E914" s="6">
        <v>38.619444444440902</v>
      </c>
      <c r="F914" s="6" t="str" cm="1">
        <f t="array" ref="F914">_xlfn.IFS(
     AND(HOUR(session_data[[#This Row],[Time]])&gt;5,HOUR(session_data[[#This Row],[Time]])&lt;12),"Morning",
     AND(HOUR(session_data[[#This Row],[Time]])&gt;=12,HOUR(session_data[[#This Row],[Time]])&lt;17),"Afternoon",
     AND(HOUR(session_data[[#This Row],[Time]])&gt;=17,HOUR(session_data[[#This Row],[Time]])&lt;21),"Evening",
     TRUE,"Night"
)</f>
        <v>Afternoon</v>
      </c>
      <c r="G914" s="1">
        <f t="shared" si="58"/>
        <v>2022</v>
      </c>
      <c r="H914" s="1" t="str">
        <f t="shared" si="59"/>
        <v>Jun</v>
      </c>
      <c r="I914" s="1" t="str">
        <f t="shared" si="56"/>
        <v>Sun</v>
      </c>
      <c r="J914" s="1" t="s">
        <v>18</v>
      </c>
      <c r="K914" s="1" t="s">
        <v>12</v>
      </c>
      <c r="L914" s="1" t="s">
        <v>119</v>
      </c>
      <c r="M914" s="1" t="s">
        <v>40</v>
      </c>
      <c r="N914" s="1" t="s">
        <v>22</v>
      </c>
      <c r="O914" t="s">
        <v>15</v>
      </c>
    </row>
    <row r="915" spans="1:15" x14ac:dyDescent="0.25">
      <c r="A915" s="1" t="s">
        <v>1374</v>
      </c>
      <c r="B915" s="1" t="s">
        <v>1375</v>
      </c>
      <c r="C915" s="2">
        <v>45086.449305555558</v>
      </c>
      <c r="D915" s="4">
        <f t="shared" si="57"/>
        <v>45086</v>
      </c>
      <c r="E915" s="6">
        <v>38.661111111107601</v>
      </c>
      <c r="F915" s="6" t="str" cm="1">
        <f t="array" ref="F915">_xlfn.IFS(
     AND(HOUR(session_data[[#This Row],[Time]])&gt;5,HOUR(session_data[[#This Row],[Time]])&lt;12),"Morning",
     AND(HOUR(session_data[[#This Row],[Time]])&gt;=12,HOUR(session_data[[#This Row],[Time]])&lt;17),"Afternoon",
     AND(HOUR(session_data[[#This Row],[Time]])&gt;=17,HOUR(session_data[[#This Row],[Time]])&lt;21),"Evening",
     TRUE,"Night"
)</f>
        <v>Afternoon</v>
      </c>
      <c r="G915" s="1">
        <f t="shared" si="58"/>
        <v>2023</v>
      </c>
      <c r="H915" s="1" t="str">
        <f t="shared" si="59"/>
        <v>Jun</v>
      </c>
      <c r="I915" s="1" t="str">
        <f t="shared" si="56"/>
        <v>Fri</v>
      </c>
      <c r="J915" s="1" t="s">
        <v>18</v>
      </c>
      <c r="K915" s="1" t="s">
        <v>29</v>
      </c>
      <c r="L915" s="1" t="s">
        <v>20</v>
      </c>
      <c r="M915" s="1" t="s">
        <v>19</v>
      </c>
      <c r="N915" s="1" t="s">
        <v>14</v>
      </c>
      <c r="O915" t="s">
        <v>15</v>
      </c>
    </row>
    <row r="916" spans="1:15" x14ac:dyDescent="0.25">
      <c r="A916" s="1" t="s">
        <v>1376</v>
      </c>
      <c r="B916" s="1" t="s">
        <v>1377</v>
      </c>
      <c r="C916" s="2">
        <v>44715.60833333333</v>
      </c>
      <c r="D916" s="4">
        <f t="shared" si="57"/>
        <v>44715</v>
      </c>
      <c r="E916" s="6">
        <v>38.702777777774202</v>
      </c>
      <c r="F916" s="6" t="str" cm="1">
        <f t="array" ref="F916">_xlfn.IFS(
     AND(HOUR(session_data[[#This Row],[Time]])&gt;5,HOUR(session_data[[#This Row],[Time]])&lt;12),"Morning",
     AND(HOUR(session_data[[#This Row],[Time]])&gt;=12,HOUR(session_data[[#This Row],[Time]])&lt;17),"Afternoon",
     AND(HOUR(session_data[[#This Row],[Time]])&gt;=17,HOUR(session_data[[#This Row],[Time]])&lt;21),"Evening",
     TRUE,"Night"
)</f>
        <v>Afternoon</v>
      </c>
      <c r="G916" s="1">
        <f t="shared" si="58"/>
        <v>2022</v>
      </c>
      <c r="H916" s="1" t="str">
        <f t="shared" si="59"/>
        <v>Jun</v>
      </c>
      <c r="I916" s="1" t="str">
        <f t="shared" si="56"/>
        <v>Fri</v>
      </c>
      <c r="J916" s="1" t="s">
        <v>11</v>
      </c>
      <c r="K916" s="1" t="s">
        <v>29</v>
      </c>
      <c r="L916" s="1" t="s">
        <v>50</v>
      </c>
      <c r="M916" s="1" t="s">
        <v>19</v>
      </c>
      <c r="N916" s="1" t="s">
        <v>14</v>
      </c>
      <c r="O916" t="s">
        <v>45</v>
      </c>
    </row>
    <row r="917" spans="1:15" x14ac:dyDescent="0.25">
      <c r="A917" s="1" t="s">
        <v>1378</v>
      </c>
      <c r="B917" s="1" t="s">
        <v>1379</v>
      </c>
      <c r="C917" s="3">
        <v>44738.223611111112</v>
      </c>
      <c r="D917" s="4">
        <f t="shared" si="57"/>
        <v>44738</v>
      </c>
      <c r="E917" s="6">
        <v>38.744444444440902</v>
      </c>
      <c r="F917" s="6" t="str" cm="1">
        <f t="array" ref="F917">_xlfn.IFS(
     AND(HOUR(session_data[[#This Row],[Time]])&gt;5,HOUR(session_data[[#This Row],[Time]])&lt;12),"Morning",
     AND(HOUR(session_data[[#This Row],[Time]])&gt;=12,HOUR(session_data[[#This Row],[Time]])&lt;17),"Afternoon",
     AND(HOUR(session_data[[#This Row],[Time]])&gt;=17,HOUR(session_data[[#This Row],[Time]])&lt;21),"Evening",
     TRUE,"Night"
)</f>
        <v>Evening</v>
      </c>
      <c r="G917" s="1">
        <f t="shared" si="58"/>
        <v>2022</v>
      </c>
      <c r="H917" s="1" t="str">
        <f t="shared" si="59"/>
        <v>Jun</v>
      </c>
      <c r="I917" s="1" t="str">
        <f t="shared" si="56"/>
        <v>Sun</v>
      </c>
      <c r="J917" s="1" t="s">
        <v>11</v>
      </c>
      <c r="K917" s="1" t="s">
        <v>29</v>
      </c>
      <c r="L917" s="1" t="s">
        <v>50</v>
      </c>
      <c r="M917" s="1" t="s">
        <v>19</v>
      </c>
      <c r="N917" s="1" t="s">
        <v>14</v>
      </c>
      <c r="O917" t="s">
        <v>45</v>
      </c>
    </row>
    <row r="918" spans="1:15" x14ac:dyDescent="0.25">
      <c r="A918" s="1" t="s">
        <v>1380</v>
      </c>
      <c r="B918" s="1" t="s">
        <v>1381</v>
      </c>
      <c r="C918" s="2">
        <v>44598.297222222223</v>
      </c>
      <c r="D918" s="4">
        <f t="shared" si="57"/>
        <v>44598</v>
      </c>
      <c r="E918" s="6">
        <v>38.786111111107601</v>
      </c>
      <c r="F918" s="6" t="str" cm="1">
        <f t="array" ref="F918">_xlfn.IFS(
     AND(HOUR(session_data[[#This Row],[Time]])&gt;5,HOUR(session_data[[#This Row],[Time]])&lt;12),"Morning",
     AND(HOUR(session_data[[#This Row],[Time]])&gt;=12,HOUR(session_data[[#This Row],[Time]])&lt;17),"Afternoon",
     AND(HOUR(session_data[[#This Row],[Time]])&gt;=17,HOUR(session_data[[#This Row],[Time]])&lt;21),"Evening",
     TRUE,"Night"
)</f>
        <v>Evening</v>
      </c>
      <c r="G918" s="1">
        <f t="shared" si="58"/>
        <v>2022</v>
      </c>
      <c r="H918" s="1" t="str">
        <f t="shared" si="59"/>
        <v>Feb</v>
      </c>
      <c r="I918" s="1" t="str">
        <f t="shared" si="56"/>
        <v>Sun</v>
      </c>
      <c r="J918" s="1" t="s">
        <v>18</v>
      </c>
      <c r="K918" s="1" t="s">
        <v>12</v>
      </c>
      <c r="L918" s="1" t="s">
        <v>50</v>
      </c>
      <c r="M918" s="1" t="s">
        <v>19</v>
      </c>
      <c r="N918" s="1" t="s">
        <v>14</v>
      </c>
      <c r="O918" t="s">
        <v>45</v>
      </c>
    </row>
    <row r="919" spans="1:15" x14ac:dyDescent="0.25">
      <c r="A919" s="1" t="s">
        <v>1382</v>
      </c>
      <c r="B919" s="1" t="s">
        <v>1381</v>
      </c>
      <c r="C919" s="2">
        <v>44871.255555555559</v>
      </c>
      <c r="D919" s="4">
        <f t="shared" si="57"/>
        <v>44871</v>
      </c>
      <c r="E919" s="6">
        <v>38.827777777774202</v>
      </c>
      <c r="F919" s="6" t="str" cm="1">
        <f t="array" ref="F919">_xlfn.IFS(
     AND(HOUR(session_data[[#This Row],[Time]])&gt;5,HOUR(session_data[[#This Row],[Time]])&lt;12),"Morning",
     AND(HOUR(session_data[[#This Row],[Time]])&gt;=12,HOUR(session_data[[#This Row],[Time]])&lt;17),"Afternoon",
     AND(HOUR(session_data[[#This Row],[Time]])&gt;=17,HOUR(session_data[[#This Row],[Time]])&lt;21),"Evening",
     TRUE,"Night"
)</f>
        <v>Evening</v>
      </c>
      <c r="G919" s="1">
        <f t="shared" si="58"/>
        <v>2022</v>
      </c>
      <c r="H919" s="1" t="str">
        <f t="shared" si="59"/>
        <v>Nov</v>
      </c>
      <c r="I919" s="1" t="str">
        <f t="shared" si="56"/>
        <v>Sun</v>
      </c>
      <c r="J919" s="1" t="s">
        <v>18</v>
      </c>
      <c r="K919" s="1" t="s">
        <v>12</v>
      </c>
      <c r="L919" s="1" t="s">
        <v>50</v>
      </c>
      <c r="M919" s="1" t="s">
        <v>19</v>
      </c>
      <c r="N919" s="1" t="s">
        <v>22</v>
      </c>
      <c r="O919" t="s">
        <v>45</v>
      </c>
    </row>
    <row r="920" spans="1:15" x14ac:dyDescent="0.25">
      <c r="A920" s="1" t="s">
        <v>1383</v>
      </c>
      <c r="B920" s="1" t="s">
        <v>1381</v>
      </c>
      <c r="C920" s="3">
        <v>44741.797222222223</v>
      </c>
      <c r="D920" s="4">
        <f t="shared" si="57"/>
        <v>44741</v>
      </c>
      <c r="E920" s="6">
        <v>38.869444444440902</v>
      </c>
      <c r="F920" s="6" t="str" cm="1">
        <f t="array" ref="F920">_xlfn.IFS(
     AND(HOUR(session_data[[#This Row],[Time]])&gt;5,HOUR(session_data[[#This Row],[Time]])&lt;12),"Morning",
     AND(HOUR(session_data[[#This Row],[Time]])&gt;=12,HOUR(session_data[[#This Row],[Time]])&lt;17),"Afternoon",
     AND(HOUR(session_data[[#This Row],[Time]])&gt;=17,HOUR(session_data[[#This Row],[Time]])&lt;21),"Evening",
     TRUE,"Night"
)</f>
        <v>Evening</v>
      </c>
      <c r="G920" s="1">
        <f t="shared" si="58"/>
        <v>2022</v>
      </c>
      <c r="H920" s="1" t="str">
        <f t="shared" si="59"/>
        <v>Jun</v>
      </c>
      <c r="I920" s="1" t="str">
        <f t="shared" si="56"/>
        <v>Wed</v>
      </c>
      <c r="J920" s="1" t="s">
        <v>18</v>
      </c>
      <c r="K920" s="1" t="s">
        <v>12</v>
      </c>
      <c r="L920" s="1" t="s">
        <v>50</v>
      </c>
      <c r="M920" s="1" t="s">
        <v>19</v>
      </c>
      <c r="N920" s="1" t="s">
        <v>22</v>
      </c>
      <c r="O920" t="s">
        <v>45</v>
      </c>
    </row>
    <row r="921" spans="1:15" x14ac:dyDescent="0.25">
      <c r="A921" s="1" t="s">
        <v>1384</v>
      </c>
      <c r="B921" s="1" t="s">
        <v>1385</v>
      </c>
      <c r="C921" s="3">
        <v>44863.940972222219</v>
      </c>
      <c r="D921" s="4">
        <f t="shared" si="57"/>
        <v>44863</v>
      </c>
      <c r="E921" s="6">
        <v>38.911111111107601</v>
      </c>
      <c r="F921" s="6" t="str" cm="1">
        <f t="array" ref="F921">_xlfn.IFS(
     AND(HOUR(session_data[[#This Row],[Time]])&gt;5,HOUR(session_data[[#This Row],[Time]])&lt;12),"Morning",
     AND(HOUR(session_data[[#This Row],[Time]])&gt;=12,HOUR(session_data[[#This Row],[Time]])&lt;17),"Afternoon",
     AND(HOUR(session_data[[#This Row],[Time]])&gt;=17,HOUR(session_data[[#This Row],[Time]])&lt;21),"Evening",
     TRUE,"Night"
)</f>
        <v>Night</v>
      </c>
      <c r="G921" s="1">
        <f t="shared" si="58"/>
        <v>2022</v>
      </c>
      <c r="H921" s="1" t="str">
        <f t="shared" si="59"/>
        <v>Oct</v>
      </c>
      <c r="I921" s="1" t="str">
        <f t="shared" si="56"/>
        <v>Sat</v>
      </c>
      <c r="J921" s="1" t="s">
        <v>44</v>
      </c>
      <c r="K921" s="1" t="s">
        <v>12</v>
      </c>
      <c r="L921" s="1" t="s">
        <v>20</v>
      </c>
      <c r="M921" s="1" t="s">
        <v>19</v>
      </c>
      <c r="N921" s="1" t="s">
        <v>14</v>
      </c>
      <c r="O921" t="s">
        <v>45</v>
      </c>
    </row>
    <row r="922" spans="1:15" x14ac:dyDescent="0.25">
      <c r="A922" s="1" t="s">
        <v>1386</v>
      </c>
      <c r="B922" s="1" t="s">
        <v>1385</v>
      </c>
      <c r="C922" s="3">
        <v>44882.899305555555</v>
      </c>
      <c r="D922" s="4">
        <f t="shared" si="57"/>
        <v>44882</v>
      </c>
      <c r="E922" s="6">
        <v>38.952777777774202</v>
      </c>
      <c r="F922" s="6" t="str" cm="1">
        <f t="array" ref="F922">_xlfn.IFS(
     AND(HOUR(session_data[[#This Row],[Time]])&gt;5,HOUR(session_data[[#This Row],[Time]])&lt;12),"Morning",
     AND(HOUR(session_data[[#This Row],[Time]])&gt;=12,HOUR(session_data[[#This Row],[Time]])&lt;17),"Afternoon",
     AND(HOUR(session_data[[#This Row],[Time]])&gt;=17,HOUR(session_data[[#This Row],[Time]])&lt;21),"Evening",
     TRUE,"Night"
)</f>
        <v>Night</v>
      </c>
      <c r="G922" s="1">
        <f t="shared" si="58"/>
        <v>2022</v>
      </c>
      <c r="H922" s="1" t="str">
        <f t="shared" si="59"/>
        <v>Nov</v>
      </c>
      <c r="I922" s="1" t="str">
        <f t="shared" si="56"/>
        <v>Thu</v>
      </c>
      <c r="J922" s="1" t="s">
        <v>44</v>
      </c>
      <c r="K922" s="1" t="s">
        <v>12</v>
      </c>
      <c r="L922" s="1" t="s">
        <v>20</v>
      </c>
      <c r="M922" s="1" t="s">
        <v>19</v>
      </c>
      <c r="N922" s="1" t="s">
        <v>22</v>
      </c>
      <c r="O922" t="s">
        <v>45</v>
      </c>
    </row>
    <row r="923" spans="1:15" x14ac:dyDescent="0.25">
      <c r="A923" s="1" t="s">
        <v>1387</v>
      </c>
      <c r="B923" s="1" t="s">
        <v>1388</v>
      </c>
      <c r="C923" s="3">
        <v>44766.518055555556</v>
      </c>
      <c r="D923" s="4">
        <f t="shared" si="57"/>
        <v>44766</v>
      </c>
      <c r="E923" s="6">
        <v>38.994444444440902</v>
      </c>
      <c r="F923" s="6" t="str" cm="1">
        <f t="array" ref="F923">_xlfn.IFS(
     AND(HOUR(session_data[[#This Row],[Time]])&gt;5,HOUR(session_data[[#This Row],[Time]])&lt;12),"Morning",
     AND(HOUR(session_data[[#This Row],[Time]])&gt;=12,HOUR(session_data[[#This Row],[Time]])&lt;17),"Afternoon",
     AND(HOUR(session_data[[#This Row],[Time]])&gt;=17,HOUR(session_data[[#This Row],[Time]])&lt;21),"Evening",
     TRUE,"Night"
)</f>
        <v>Night</v>
      </c>
      <c r="G923" s="1">
        <f t="shared" si="58"/>
        <v>2022</v>
      </c>
      <c r="H923" s="1" t="str">
        <f t="shared" si="59"/>
        <v>Jul</v>
      </c>
      <c r="I923" s="1" t="str">
        <f t="shared" si="56"/>
        <v>Sun</v>
      </c>
      <c r="J923" s="1" t="s">
        <v>11</v>
      </c>
      <c r="K923" s="1" t="s">
        <v>12</v>
      </c>
      <c r="L923" s="1" t="s">
        <v>30</v>
      </c>
      <c r="M923" s="1" t="s">
        <v>32</v>
      </c>
      <c r="N923" s="1" t="s">
        <v>14</v>
      </c>
      <c r="O923" t="s">
        <v>45</v>
      </c>
    </row>
    <row r="924" spans="1:15" x14ac:dyDescent="0.25">
      <c r="A924" s="1" t="s">
        <v>1389</v>
      </c>
      <c r="B924" s="1" t="s">
        <v>1390</v>
      </c>
      <c r="C924" s="3">
        <v>44738.522222222222</v>
      </c>
      <c r="D924" s="4">
        <f t="shared" si="57"/>
        <v>44738</v>
      </c>
      <c r="E924" s="6">
        <v>39.036111111107601</v>
      </c>
      <c r="F924" s="6" t="str" cm="1">
        <f t="array" ref="F924">_xlfn.IFS(
     AND(HOUR(session_data[[#This Row],[Time]])&gt;5,HOUR(session_data[[#This Row],[Time]])&lt;12),"Morning",
     AND(HOUR(session_data[[#This Row],[Time]])&gt;=12,HOUR(session_data[[#This Row],[Time]])&lt;17),"Afternoon",
     AND(HOUR(session_data[[#This Row],[Time]])&gt;=17,HOUR(session_data[[#This Row],[Time]])&lt;21),"Evening",
     TRUE,"Night"
)</f>
        <v>Night</v>
      </c>
      <c r="G924" s="1">
        <f t="shared" si="58"/>
        <v>2022</v>
      </c>
      <c r="H924" s="1" t="str">
        <f t="shared" si="59"/>
        <v>Jun</v>
      </c>
      <c r="I924" s="1" t="str">
        <f t="shared" si="56"/>
        <v>Sun</v>
      </c>
      <c r="J924" s="1" t="s">
        <v>44</v>
      </c>
      <c r="K924" s="1" t="s">
        <v>29</v>
      </c>
      <c r="L924" s="1" t="s">
        <v>50</v>
      </c>
      <c r="M924" s="1" t="s">
        <v>19</v>
      </c>
      <c r="N924" s="1" t="s">
        <v>14</v>
      </c>
      <c r="O924" t="s">
        <v>45</v>
      </c>
    </row>
    <row r="925" spans="1:15" x14ac:dyDescent="0.25">
      <c r="A925" s="1" t="s">
        <v>1391</v>
      </c>
      <c r="B925" s="1" t="s">
        <v>1392</v>
      </c>
      <c r="C925" s="3">
        <v>44769.879166666666</v>
      </c>
      <c r="D925" s="4">
        <f t="shared" si="57"/>
        <v>44769</v>
      </c>
      <c r="E925" s="6">
        <v>39.077777777774202</v>
      </c>
      <c r="F925" s="6" t="str" cm="1">
        <f t="array" ref="F925">_xlfn.IFS(
     AND(HOUR(session_data[[#This Row],[Time]])&gt;5,HOUR(session_data[[#This Row],[Time]])&lt;12),"Morning",
     AND(HOUR(session_data[[#This Row],[Time]])&gt;=12,HOUR(session_data[[#This Row],[Time]])&lt;17),"Afternoon",
     AND(HOUR(session_data[[#This Row],[Time]])&gt;=17,HOUR(session_data[[#This Row],[Time]])&lt;21),"Evening",
     TRUE,"Night"
)</f>
        <v>Night</v>
      </c>
      <c r="G925" s="1">
        <f t="shared" si="58"/>
        <v>2022</v>
      </c>
      <c r="H925" s="1" t="str">
        <f t="shared" si="59"/>
        <v>Jul</v>
      </c>
      <c r="I925" s="1" t="str">
        <f t="shared" si="56"/>
        <v>Wed</v>
      </c>
      <c r="J925" s="1" t="s">
        <v>11</v>
      </c>
      <c r="K925" s="1" t="s">
        <v>12</v>
      </c>
      <c r="L925" s="1" t="s">
        <v>41</v>
      </c>
      <c r="M925" s="1" t="s">
        <v>40</v>
      </c>
      <c r="N925" s="1" t="s">
        <v>14</v>
      </c>
      <c r="O925" t="s">
        <v>45</v>
      </c>
    </row>
    <row r="926" spans="1:15" x14ac:dyDescent="0.25">
      <c r="A926" s="1" t="s">
        <v>1393</v>
      </c>
      <c r="B926" s="1" t="s">
        <v>1392</v>
      </c>
      <c r="C926" s="3">
        <v>44790.754166666666</v>
      </c>
      <c r="D926" s="4">
        <f t="shared" si="57"/>
        <v>44790</v>
      </c>
      <c r="E926" s="6">
        <v>39.119444444440902</v>
      </c>
      <c r="F926" s="6" t="str" cm="1">
        <f t="array" ref="F926">_xlfn.IFS(
     AND(HOUR(session_data[[#This Row],[Time]])&gt;5,HOUR(session_data[[#This Row],[Time]])&lt;12),"Morning",
     AND(HOUR(session_data[[#This Row],[Time]])&gt;=12,HOUR(session_data[[#This Row],[Time]])&lt;17),"Afternoon",
     AND(HOUR(session_data[[#This Row],[Time]])&gt;=17,HOUR(session_data[[#This Row],[Time]])&lt;21),"Evening",
     TRUE,"Night"
)</f>
        <v>Night</v>
      </c>
      <c r="G926" s="1">
        <f t="shared" si="58"/>
        <v>2022</v>
      </c>
      <c r="H926" s="1" t="str">
        <f t="shared" si="59"/>
        <v>Aug</v>
      </c>
      <c r="I926" s="1" t="str">
        <f t="shared" si="56"/>
        <v>Wed</v>
      </c>
      <c r="J926" s="1" t="s">
        <v>11</v>
      </c>
      <c r="K926" s="1" t="s">
        <v>12</v>
      </c>
      <c r="L926" s="1" t="s">
        <v>41</v>
      </c>
      <c r="M926" s="1" t="s">
        <v>40</v>
      </c>
      <c r="N926" s="1" t="s">
        <v>22</v>
      </c>
      <c r="O926" t="s">
        <v>45</v>
      </c>
    </row>
    <row r="927" spans="1:15" x14ac:dyDescent="0.25">
      <c r="A927" s="1" t="s">
        <v>1394</v>
      </c>
      <c r="B927" s="1" t="s">
        <v>1392</v>
      </c>
      <c r="C927" s="2">
        <v>44874.754166666666</v>
      </c>
      <c r="D927" s="4">
        <f t="shared" si="57"/>
        <v>44874</v>
      </c>
      <c r="E927" s="6">
        <v>39.161111111107601</v>
      </c>
      <c r="F927" s="6" t="str" cm="1">
        <f t="array" ref="F927">_xlfn.IFS(
     AND(HOUR(session_data[[#This Row],[Time]])&gt;5,HOUR(session_data[[#This Row],[Time]])&lt;12),"Morning",
     AND(HOUR(session_data[[#This Row],[Time]])&gt;=12,HOUR(session_data[[#This Row],[Time]])&lt;17),"Afternoon",
     AND(HOUR(session_data[[#This Row],[Time]])&gt;=17,HOUR(session_data[[#This Row],[Time]])&lt;21),"Evening",
     TRUE,"Night"
)</f>
        <v>Night</v>
      </c>
      <c r="G927" s="1">
        <f t="shared" si="58"/>
        <v>2022</v>
      </c>
      <c r="H927" s="1" t="str">
        <f t="shared" si="59"/>
        <v>Nov</v>
      </c>
      <c r="I927" s="1" t="str">
        <f t="shared" si="56"/>
        <v>Wed</v>
      </c>
      <c r="J927" s="1" t="s">
        <v>11</v>
      </c>
      <c r="K927" s="1" t="s">
        <v>12</v>
      </c>
      <c r="L927" s="1" t="s">
        <v>41</v>
      </c>
      <c r="M927" s="1" t="s">
        <v>40</v>
      </c>
      <c r="N927" s="1" t="s">
        <v>22</v>
      </c>
      <c r="O927" t="s">
        <v>45</v>
      </c>
    </row>
    <row r="928" spans="1:15" x14ac:dyDescent="0.25">
      <c r="A928" s="1" t="s">
        <v>1395</v>
      </c>
      <c r="B928" s="1" t="s">
        <v>1396</v>
      </c>
      <c r="C928" s="2">
        <v>44715.344444444447</v>
      </c>
      <c r="D928" s="4">
        <f t="shared" si="57"/>
        <v>44715</v>
      </c>
      <c r="E928" s="6">
        <v>39.202777777774202</v>
      </c>
      <c r="F928" s="6" t="str" cm="1">
        <f t="array" ref="F928">_xlfn.IFS(
     AND(HOUR(session_data[[#This Row],[Time]])&gt;5,HOUR(session_data[[#This Row],[Time]])&lt;12),"Morning",
     AND(HOUR(session_data[[#This Row],[Time]])&gt;=12,HOUR(session_data[[#This Row],[Time]])&lt;17),"Afternoon",
     AND(HOUR(session_data[[#This Row],[Time]])&gt;=17,HOUR(session_data[[#This Row],[Time]])&lt;21),"Evening",
     TRUE,"Night"
)</f>
        <v>Night</v>
      </c>
      <c r="G928" s="1">
        <f t="shared" si="58"/>
        <v>2022</v>
      </c>
      <c r="H928" s="1" t="str">
        <f t="shared" si="59"/>
        <v>Jun</v>
      </c>
      <c r="I928" s="1" t="str">
        <f t="shared" si="56"/>
        <v>Fri</v>
      </c>
      <c r="J928" s="1" t="s">
        <v>11</v>
      </c>
      <c r="K928" s="1" t="s">
        <v>29</v>
      </c>
      <c r="L928" s="1" t="s">
        <v>50</v>
      </c>
      <c r="M928" s="1" t="s">
        <v>19</v>
      </c>
      <c r="N928" s="1" t="s">
        <v>14</v>
      </c>
      <c r="O928" t="s">
        <v>45</v>
      </c>
    </row>
    <row r="929" spans="1:15" x14ac:dyDescent="0.25">
      <c r="A929" s="1" t="s">
        <v>1397</v>
      </c>
      <c r="B929" s="1" t="s">
        <v>1398</v>
      </c>
      <c r="C929" s="3">
        <v>44610.318055555559</v>
      </c>
      <c r="D929" s="4">
        <f t="shared" si="57"/>
        <v>44610</v>
      </c>
      <c r="E929" s="6">
        <v>39.244444444440902</v>
      </c>
      <c r="F929" s="6" t="str" cm="1">
        <f t="array" ref="F929">_xlfn.IFS(
     AND(HOUR(session_data[[#This Row],[Time]])&gt;5,HOUR(session_data[[#This Row],[Time]])&lt;12),"Morning",
     AND(HOUR(session_data[[#This Row],[Time]])&gt;=12,HOUR(session_data[[#This Row],[Time]])&lt;17),"Afternoon",
     AND(HOUR(session_data[[#This Row],[Time]])&gt;=17,HOUR(session_data[[#This Row],[Time]])&lt;21),"Evening",
     TRUE,"Night"
)</f>
        <v>Night</v>
      </c>
      <c r="G929" s="1">
        <f t="shared" si="58"/>
        <v>2022</v>
      </c>
      <c r="H929" s="1" t="str">
        <f t="shared" si="59"/>
        <v>Feb</v>
      </c>
      <c r="I929" s="1" t="str">
        <f t="shared" si="56"/>
        <v>Fri</v>
      </c>
      <c r="J929" s="1" t="s">
        <v>18</v>
      </c>
      <c r="K929" s="1" t="s">
        <v>12</v>
      </c>
      <c r="L929" s="1" t="s">
        <v>20</v>
      </c>
      <c r="M929" s="1" t="s">
        <v>19</v>
      </c>
      <c r="N929" s="1" t="s">
        <v>14</v>
      </c>
      <c r="O929" t="s">
        <v>45</v>
      </c>
    </row>
    <row r="930" spans="1:15" x14ac:dyDescent="0.25">
      <c r="A930" s="1" t="s">
        <v>1399</v>
      </c>
      <c r="B930" s="1" t="s">
        <v>1398</v>
      </c>
      <c r="C930" s="2">
        <v>44715.568055555559</v>
      </c>
      <c r="D930" s="4">
        <f t="shared" si="57"/>
        <v>44715</v>
      </c>
      <c r="E930" s="6">
        <v>39.286111111107601</v>
      </c>
      <c r="F930" s="6" t="str" cm="1">
        <f t="array" ref="F930">_xlfn.IFS(
     AND(HOUR(session_data[[#This Row],[Time]])&gt;5,HOUR(session_data[[#This Row],[Time]])&lt;12),"Morning",
     AND(HOUR(session_data[[#This Row],[Time]])&gt;=12,HOUR(session_data[[#This Row],[Time]])&lt;17),"Afternoon",
     AND(HOUR(session_data[[#This Row],[Time]])&gt;=17,HOUR(session_data[[#This Row],[Time]])&lt;21),"Evening",
     TRUE,"Night"
)</f>
        <v>Morning</v>
      </c>
      <c r="G930" s="1">
        <f t="shared" si="58"/>
        <v>2022</v>
      </c>
      <c r="H930" s="1" t="str">
        <f t="shared" si="59"/>
        <v>Jun</v>
      </c>
      <c r="I930" s="1" t="str">
        <f t="shared" si="56"/>
        <v>Fri</v>
      </c>
      <c r="J930" s="1" t="s">
        <v>18</v>
      </c>
      <c r="K930" s="1" t="s">
        <v>12</v>
      </c>
      <c r="L930" s="1" t="s">
        <v>20</v>
      </c>
      <c r="M930" s="1" t="s">
        <v>19</v>
      </c>
      <c r="N930" s="1" t="s">
        <v>22</v>
      </c>
      <c r="O930" t="s">
        <v>45</v>
      </c>
    </row>
    <row r="931" spans="1:15" x14ac:dyDescent="0.25">
      <c r="A931" s="1" t="s">
        <v>1400</v>
      </c>
      <c r="B931" s="1" t="s">
        <v>1398</v>
      </c>
      <c r="C931" s="3">
        <v>44650.776388888888</v>
      </c>
      <c r="D931" s="4">
        <f t="shared" si="57"/>
        <v>44650</v>
      </c>
      <c r="E931" s="6">
        <v>39.327777777774202</v>
      </c>
      <c r="F931" s="6" t="str" cm="1">
        <f t="array" ref="F931">_xlfn.IFS(
     AND(HOUR(session_data[[#This Row],[Time]])&gt;5,HOUR(session_data[[#This Row],[Time]])&lt;12),"Morning",
     AND(HOUR(session_data[[#This Row],[Time]])&gt;=12,HOUR(session_data[[#This Row],[Time]])&lt;17),"Afternoon",
     AND(HOUR(session_data[[#This Row],[Time]])&gt;=17,HOUR(session_data[[#This Row],[Time]])&lt;21),"Evening",
     TRUE,"Night"
)</f>
        <v>Morning</v>
      </c>
      <c r="G931" s="1">
        <f t="shared" si="58"/>
        <v>2022</v>
      </c>
      <c r="H931" s="1" t="str">
        <f t="shared" si="59"/>
        <v>Mar</v>
      </c>
      <c r="I931" s="1" t="str">
        <f t="shared" si="56"/>
        <v>Wed</v>
      </c>
      <c r="J931" s="1" t="s">
        <v>18</v>
      </c>
      <c r="K931" s="1" t="s">
        <v>12</v>
      </c>
      <c r="L931" s="1" t="s">
        <v>20</v>
      </c>
      <c r="M931" s="1" t="s">
        <v>19</v>
      </c>
      <c r="N931" s="1" t="s">
        <v>22</v>
      </c>
      <c r="O931" t="s">
        <v>45</v>
      </c>
    </row>
    <row r="932" spans="1:15" x14ac:dyDescent="0.25">
      <c r="A932" s="1" t="s">
        <v>1401</v>
      </c>
      <c r="B932" s="1" t="s">
        <v>1402</v>
      </c>
      <c r="C932" s="3">
        <v>44763.121527777781</v>
      </c>
      <c r="D932" s="4">
        <f t="shared" si="57"/>
        <v>44763</v>
      </c>
      <c r="E932" s="6">
        <v>39.369444444440902</v>
      </c>
      <c r="F932" s="6" t="str" cm="1">
        <f t="array" ref="F932">_xlfn.IFS(
     AND(HOUR(session_data[[#This Row],[Time]])&gt;5,HOUR(session_data[[#This Row],[Time]])&lt;12),"Morning",
     AND(HOUR(session_data[[#This Row],[Time]])&gt;=12,HOUR(session_data[[#This Row],[Time]])&lt;17),"Afternoon",
     AND(HOUR(session_data[[#This Row],[Time]])&gt;=17,HOUR(session_data[[#This Row],[Time]])&lt;21),"Evening",
     TRUE,"Night"
)</f>
        <v>Morning</v>
      </c>
      <c r="G932" s="1">
        <f t="shared" si="58"/>
        <v>2022</v>
      </c>
      <c r="H932" s="1" t="str">
        <f t="shared" si="59"/>
        <v>Jul</v>
      </c>
      <c r="I932" s="1" t="str">
        <f t="shared" si="56"/>
        <v>Thu</v>
      </c>
      <c r="J932" s="1" t="s">
        <v>11</v>
      </c>
      <c r="K932" s="1" t="s">
        <v>29</v>
      </c>
      <c r="L932" s="1" t="s">
        <v>20</v>
      </c>
      <c r="M932" s="1" t="s">
        <v>19</v>
      </c>
      <c r="N932" s="1" t="s">
        <v>14</v>
      </c>
      <c r="O932" t="s">
        <v>15</v>
      </c>
    </row>
    <row r="933" spans="1:15" x14ac:dyDescent="0.25">
      <c r="A933" s="1" t="s">
        <v>1403</v>
      </c>
      <c r="B933" s="1" t="s">
        <v>1402</v>
      </c>
      <c r="C933" s="3">
        <v>44766.996527777781</v>
      </c>
      <c r="D933" s="4">
        <f t="shared" si="57"/>
        <v>44766</v>
      </c>
      <c r="E933" s="6">
        <v>39.411111111107601</v>
      </c>
      <c r="F933" s="6" t="str" cm="1">
        <f t="array" ref="F933">_xlfn.IFS(
     AND(HOUR(session_data[[#This Row],[Time]])&gt;5,HOUR(session_data[[#This Row],[Time]])&lt;12),"Morning",
     AND(HOUR(session_data[[#This Row],[Time]])&gt;=12,HOUR(session_data[[#This Row],[Time]])&lt;17),"Afternoon",
     AND(HOUR(session_data[[#This Row],[Time]])&gt;=17,HOUR(session_data[[#This Row],[Time]])&lt;21),"Evening",
     TRUE,"Night"
)</f>
        <v>Morning</v>
      </c>
      <c r="G933" s="1">
        <f t="shared" si="58"/>
        <v>2022</v>
      </c>
      <c r="H933" s="1" t="str">
        <f t="shared" si="59"/>
        <v>Jul</v>
      </c>
      <c r="I933" s="1" t="str">
        <f t="shared" si="56"/>
        <v>Sun</v>
      </c>
      <c r="J933" s="1" t="s">
        <v>11</v>
      </c>
      <c r="K933" s="1" t="s">
        <v>29</v>
      </c>
      <c r="L933" s="1" t="s">
        <v>20</v>
      </c>
      <c r="M933" s="1" t="s">
        <v>19</v>
      </c>
      <c r="N933" s="1" t="s">
        <v>22</v>
      </c>
      <c r="O933" t="s">
        <v>15</v>
      </c>
    </row>
    <row r="934" spans="1:15" x14ac:dyDescent="0.25">
      <c r="A934" s="1" t="s">
        <v>1404</v>
      </c>
      <c r="B934" s="1" t="s">
        <v>1402</v>
      </c>
      <c r="C934" s="3">
        <v>44793.829861111109</v>
      </c>
      <c r="D934" s="4">
        <f t="shared" si="57"/>
        <v>44793</v>
      </c>
      <c r="E934" s="6">
        <v>39.452777777774202</v>
      </c>
      <c r="F934" s="6" t="str" cm="1">
        <f t="array" ref="F934">_xlfn.IFS(
     AND(HOUR(session_data[[#This Row],[Time]])&gt;5,HOUR(session_data[[#This Row],[Time]])&lt;12),"Morning",
     AND(HOUR(session_data[[#This Row],[Time]])&gt;=12,HOUR(session_data[[#This Row],[Time]])&lt;17),"Afternoon",
     AND(HOUR(session_data[[#This Row],[Time]])&gt;=17,HOUR(session_data[[#This Row],[Time]])&lt;21),"Evening",
     TRUE,"Night"
)</f>
        <v>Morning</v>
      </c>
      <c r="G934" s="1">
        <f t="shared" si="58"/>
        <v>2022</v>
      </c>
      <c r="H934" s="1" t="str">
        <f t="shared" si="59"/>
        <v>Aug</v>
      </c>
      <c r="I934" s="1" t="str">
        <f t="shared" si="56"/>
        <v>Sat</v>
      </c>
      <c r="J934" s="1" t="s">
        <v>11</v>
      </c>
      <c r="K934" s="1" t="s">
        <v>29</v>
      </c>
      <c r="L934" s="1" t="s">
        <v>20</v>
      </c>
      <c r="M934" s="1" t="s">
        <v>19</v>
      </c>
      <c r="N934" s="1" t="s">
        <v>22</v>
      </c>
      <c r="O934" t="s">
        <v>15</v>
      </c>
    </row>
    <row r="935" spans="1:15" x14ac:dyDescent="0.25">
      <c r="A935" s="1" t="s">
        <v>1405</v>
      </c>
      <c r="B935" s="1" t="s">
        <v>1406</v>
      </c>
      <c r="C935" s="2">
        <v>44897.591666666667</v>
      </c>
      <c r="D935" s="4">
        <f t="shared" si="57"/>
        <v>44897</v>
      </c>
      <c r="E935" s="6">
        <v>39.494444444440902</v>
      </c>
      <c r="F935" s="6" t="str" cm="1">
        <f t="array" ref="F935">_xlfn.IFS(
     AND(HOUR(session_data[[#This Row],[Time]])&gt;5,HOUR(session_data[[#This Row],[Time]])&lt;12),"Morning",
     AND(HOUR(session_data[[#This Row],[Time]])&gt;=12,HOUR(session_data[[#This Row],[Time]])&lt;17),"Afternoon",
     AND(HOUR(session_data[[#This Row],[Time]])&gt;=17,HOUR(session_data[[#This Row],[Time]])&lt;21),"Evening",
     TRUE,"Night"
)</f>
        <v>Morning</v>
      </c>
      <c r="G935" s="1">
        <f t="shared" si="58"/>
        <v>2022</v>
      </c>
      <c r="H935" s="1" t="str">
        <f t="shared" si="59"/>
        <v>Dec</v>
      </c>
      <c r="I935" s="1" t="str">
        <f t="shared" si="56"/>
        <v>Fri</v>
      </c>
      <c r="J935" s="1" t="s">
        <v>66</v>
      </c>
      <c r="K935" s="1" t="s">
        <v>12</v>
      </c>
      <c r="L935" s="1" t="s">
        <v>59</v>
      </c>
      <c r="M935" s="1" t="s">
        <v>19</v>
      </c>
      <c r="N935" s="1" t="s">
        <v>14</v>
      </c>
      <c r="O935" t="s">
        <v>45</v>
      </c>
    </row>
    <row r="936" spans="1:15" x14ac:dyDescent="0.25">
      <c r="A936" s="1" t="s">
        <v>1407</v>
      </c>
      <c r="B936" s="1" t="s">
        <v>1408</v>
      </c>
      <c r="C936" s="3">
        <v>44738.080555555556</v>
      </c>
      <c r="D936" s="4">
        <f t="shared" si="57"/>
        <v>44738</v>
      </c>
      <c r="E936" s="6">
        <v>39.536111111107601</v>
      </c>
      <c r="F936" s="6" t="str" cm="1">
        <f t="array" ref="F936">_xlfn.IFS(
     AND(HOUR(session_data[[#This Row],[Time]])&gt;5,HOUR(session_data[[#This Row],[Time]])&lt;12),"Morning",
     AND(HOUR(session_data[[#This Row],[Time]])&gt;=12,HOUR(session_data[[#This Row],[Time]])&lt;17),"Afternoon",
     AND(HOUR(session_data[[#This Row],[Time]])&gt;=17,HOUR(session_data[[#This Row],[Time]])&lt;21),"Evening",
     TRUE,"Night"
)</f>
        <v>Afternoon</v>
      </c>
      <c r="G936" s="1">
        <f t="shared" si="58"/>
        <v>2022</v>
      </c>
      <c r="H936" s="1" t="str">
        <f t="shared" si="59"/>
        <v>Jun</v>
      </c>
      <c r="I936" s="1" t="str">
        <f t="shared" si="56"/>
        <v>Sun</v>
      </c>
      <c r="J936" s="1" t="s">
        <v>11</v>
      </c>
      <c r="K936" s="1" t="s">
        <v>12</v>
      </c>
      <c r="L936" s="1" t="s">
        <v>20</v>
      </c>
      <c r="M936" s="1" t="s">
        <v>19</v>
      </c>
      <c r="N936" s="1" t="s">
        <v>14</v>
      </c>
      <c r="O936" t="s">
        <v>45</v>
      </c>
    </row>
    <row r="937" spans="1:15" x14ac:dyDescent="0.25">
      <c r="A937" s="1" t="s">
        <v>1409</v>
      </c>
      <c r="B937" s="1" t="s">
        <v>1410</v>
      </c>
      <c r="C937" s="2">
        <v>44687.605555555558</v>
      </c>
      <c r="D937" s="4">
        <f t="shared" si="57"/>
        <v>44687</v>
      </c>
      <c r="E937" s="6">
        <v>39.577777777774202</v>
      </c>
      <c r="F937" s="6" t="str" cm="1">
        <f t="array" ref="F937">_xlfn.IFS(
     AND(HOUR(session_data[[#This Row],[Time]])&gt;5,HOUR(session_data[[#This Row],[Time]])&lt;12),"Morning",
     AND(HOUR(session_data[[#This Row],[Time]])&gt;=12,HOUR(session_data[[#This Row],[Time]])&lt;17),"Afternoon",
     AND(HOUR(session_data[[#This Row],[Time]])&gt;=17,HOUR(session_data[[#This Row],[Time]])&lt;21),"Evening",
     TRUE,"Night"
)</f>
        <v>Afternoon</v>
      </c>
      <c r="G937" s="1">
        <f t="shared" si="58"/>
        <v>2022</v>
      </c>
      <c r="H937" s="1" t="str">
        <f t="shared" si="59"/>
        <v>May</v>
      </c>
      <c r="I937" s="1" t="str">
        <f t="shared" si="56"/>
        <v>Fri</v>
      </c>
      <c r="J937" s="1" t="s">
        <v>18</v>
      </c>
      <c r="K937" s="1" t="s">
        <v>12</v>
      </c>
      <c r="L937" s="1" t="s">
        <v>79</v>
      </c>
      <c r="M937" s="1" t="s">
        <v>40</v>
      </c>
      <c r="N937" s="1" t="s">
        <v>14</v>
      </c>
      <c r="O937" t="s">
        <v>15</v>
      </c>
    </row>
    <row r="938" spans="1:15" x14ac:dyDescent="0.25">
      <c r="A938" s="1" t="s">
        <v>1411</v>
      </c>
      <c r="B938" s="1" t="s">
        <v>1410</v>
      </c>
      <c r="C938" s="2">
        <v>44627.313888888886</v>
      </c>
      <c r="D938" s="4">
        <f t="shared" si="57"/>
        <v>44627</v>
      </c>
      <c r="E938" s="6">
        <v>39.619444444440902</v>
      </c>
      <c r="F938" s="6" t="str" cm="1">
        <f t="array" ref="F938">_xlfn.IFS(
     AND(HOUR(session_data[[#This Row],[Time]])&gt;5,HOUR(session_data[[#This Row],[Time]])&lt;12),"Morning",
     AND(HOUR(session_data[[#This Row],[Time]])&gt;=12,HOUR(session_data[[#This Row],[Time]])&lt;17),"Afternoon",
     AND(HOUR(session_data[[#This Row],[Time]])&gt;=17,HOUR(session_data[[#This Row],[Time]])&lt;21),"Evening",
     TRUE,"Night"
)</f>
        <v>Afternoon</v>
      </c>
      <c r="G938" s="1">
        <f t="shared" si="58"/>
        <v>2022</v>
      </c>
      <c r="H938" s="1" t="str">
        <f t="shared" si="59"/>
        <v>Mar</v>
      </c>
      <c r="I938" s="1" t="str">
        <f t="shared" si="56"/>
        <v>Mon</v>
      </c>
      <c r="J938" s="1" t="s">
        <v>18</v>
      </c>
      <c r="K938" s="1" t="s">
        <v>12</v>
      </c>
      <c r="L938" s="1" t="s">
        <v>79</v>
      </c>
      <c r="M938" s="1" t="s">
        <v>40</v>
      </c>
      <c r="N938" s="1" t="s">
        <v>22</v>
      </c>
      <c r="O938" t="s">
        <v>15</v>
      </c>
    </row>
    <row r="939" spans="1:15" x14ac:dyDescent="0.25">
      <c r="A939" s="1" t="s">
        <v>1412</v>
      </c>
      <c r="B939" s="1" t="s">
        <v>1410</v>
      </c>
      <c r="C939" s="3">
        <v>44766.022222222222</v>
      </c>
      <c r="D939" s="4">
        <f t="shared" si="57"/>
        <v>44766</v>
      </c>
      <c r="E939" s="6">
        <v>39.661111111107601</v>
      </c>
      <c r="F939" s="6" t="str" cm="1">
        <f t="array" ref="F939">_xlfn.IFS(
     AND(HOUR(session_data[[#This Row],[Time]])&gt;5,HOUR(session_data[[#This Row],[Time]])&lt;12),"Morning",
     AND(HOUR(session_data[[#This Row],[Time]])&gt;=12,HOUR(session_data[[#This Row],[Time]])&lt;17),"Afternoon",
     AND(HOUR(session_data[[#This Row],[Time]])&gt;=17,HOUR(session_data[[#This Row],[Time]])&lt;21),"Evening",
     TRUE,"Night"
)</f>
        <v>Afternoon</v>
      </c>
      <c r="G939" s="1">
        <f t="shared" si="58"/>
        <v>2022</v>
      </c>
      <c r="H939" s="1" t="str">
        <f t="shared" si="59"/>
        <v>Jul</v>
      </c>
      <c r="I939" s="1" t="str">
        <f t="shared" si="56"/>
        <v>Sun</v>
      </c>
      <c r="J939" s="1" t="s">
        <v>18</v>
      </c>
      <c r="K939" s="1" t="s">
        <v>12</v>
      </c>
      <c r="L939" s="1" t="s">
        <v>79</v>
      </c>
      <c r="M939" s="1" t="s">
        <v>40</v>
      </c>
      <c r="N939" s="1" t="s">
        <v>22</v>
      </c>
      <c r="O939" t="s">
        <v>15</v>
      </c>
    </row>
    <row r="940" spans="1:15" x14ac:dyDescent="0.25">
      <c r="A940" s="1" t="s">
        <v>1413</v>
      </c>
      <c r="B940" s="1" t="s">
        <v>1410</v>
      </c>
      <c r="C940" s="3">
        <v>44793.730555555558</v>
      </c>
      <c r="D940" s="4">
        <f t="shared" si="57"/>
        <v>44793</v>
      </c>
      <c r="E940" s="6">
        <v>39.702777777774202</v>
      </c>
      <c r="F940" s="6" t="str" cm="1">
        <f t="array" ref="F940">_xlfn.IFS(
     AND(HOUR(session_data[[#This Row],[Time]])&gt;5,HOUR(session_data[[#This Row],[Time]])&lt;12),"Morning",
     AND(HOUR(session_data[[#This Row],[Time]])&gt;=12,HOUR(session_data[[#This Row],[Time]])&lt;17),"Afternoon",
     AND(HOUR(session_data[[#This Row],[Time]])&gt;=17,HOUR(session_data[[#This Row],[Time]])&lt;21),"Evening",
     TRUE,"Night"
)</f>
        <v>Afternoon</v>
      </c>
      <c r="G940" s="1">
        <f t="shared" si="58"/>
        <v>2022</v>
      </c>
      <c r="H940" s="1" t="str">
        <f t="shared" si="59"/>
        <v>Aug</v>
      </c>
      <c r="I940" s="1" t="str">
        <f t="shared" si="56"/>
        <v>Sat</v>
      </c>
      <c r="J940" s="1" t="s">
        <v>18</v>
      </c>
      <c r="K940" s="1" t="s">
        <v>12</v>
      </c>
      <c r="L940" s="1" t="s">
        <v>79</v>
      </c>
      <c r="M940" s="1" t="s">
        <v>40</v>
      </c>
      <c r="N940" s="1" t="s">
        <v>22</v>
      </c>
      <c r="O940" t="s">
        <v>15</v>
      </c>
    </row>
    <row r="941" spans="1:15" x14ac:dyDescent="0.25">
      <c r="A941" s="1" t="s">
        <v>1414</v>
      </c>
      <c r="B941" s="1" t="s">
        <v>1410</v>
      </c>
      <c r="C941" s="2">
        <v>44601.563888888886</v>
      </c>
      <c r="D941" s="4">
        <f t="shared" si="57"/>
        <v>44601</v>
      </c>
      <c r="E941" s="6">
        <v>39.744444444440902</v>
      </c>
      <c r="F941" s="6" t="str" cm="1">
        <f t="array" ref="F941">_xlfn.IFS(
     AND(HOUR(session_data[[#This Row],[Time]])&gt;5,HOUR(session_data[[#This Row],[Time]])&lt;12),"Morning",
     AND(HOUR(session_data[[#This Row],[Time]])&gt;=12,HOUR(session_data[[#This Row],[Time]])&lt;17),"Afternoon",
     AND(HOUR(session_data[[#This Row],[Time]])&gt;=17,HOUR(session_data[[#This Row],[Time]])&lt;21),"Evening",
     TRUE,"Night"
)</f>
        <v>Evening</v>
      </c>
      <c r="G941" s="1">
        <f t="shared" si="58"/>
        <v>2022</v>
      </c>
      <c r="H941" s="1" t="str">
        <f t="shared" si="59"/>
        <v>Feb</v>
      </c>
      <c r="I941" s="1" t="str">
        <f t="shared" si="56"/>
        <v>Wed</v>
      </c>
      <c r="J941" s="1" t="s">
        <v>18</v>
      </c>
      <c r="K941" s="1" t="s">
        <v>12</v>
      </c>
      <c r="L941" s="1" t="s">
        <v>79</v>
      </c>
      <c r="M941" s="1" t="s">
        <v>40</v>
      </c>
      <c r="N941" s="1" t="s">
        <v>22</v>
      </c>
      <c r="O941" t="s">
        <v>15</v>
      </c>
    </row>
    <row r="942" spans="1:15" x14ac:dyDescent="0.25">
      <c r="A942" s="1" t="s">
        <v>1415</v>
      </c>
      <c r="B942" s="1" t="s">
        <v>1416</v>
      </c>
      <c r="C942" s="3">
        <v>44616.668055555558</v>
      </c>
      <c r="D942" s="4">
        <f t="shared" si="57"/>
        <v>44616</v>
      </c>
      <c r="E942" s="6">
        <v>39.786111111107601</v>
      </c>
      <c r="F942" s="6" t="str" cm="1">
        <f t="array" ref="F942">_xlfn.IFS(
     AND(HOUR(session_data[[#This Row],[Time]])&gt;5,HOUR(session_data[[#This Row],[Time]])&lt;12),"Morning",
     AND(HOUR(session_data[[#This Row],[Time]])&gt;=12,HOUR(session_data[[#This Row],[Time]])&lt;17),"Afternoon",
     AND(HOUR(session_data[[#This Row],[Time]])&gt;=17,HOUR(session_data[[#This Row],[Time]])&lt;21),"Evening",
     TRUE,"Night"
)</f>
        <v>Evening</v>
      </c>
      <c r="G942" s="1">
        <f t="shared" si="58"/>
        <v>2022</v>
      </c>
      <c r="H942" s="1" t="str">
        <f t="shared" si="59"/>
        <v>Feb</v>
      </c>
      <c r="I942" s="1" t="str">
        <f t="shared" si="56"/>
        <v>Thu</v>
      </c>
      <c r="J942" s="1" t="s">
        <v>11</v>
      </c>
      <c r="K942" s="1" t="s">
        <v>29</v>
      </c>
      <c r="L942" s="1" t="s">
        <v>94</v>
      </c>
      <c r="M942" s="1" t="s">
        <v>32</v>
      </c>
      <c r="N942" s="1" t="s">
        <v>14</v>
      </c>
      <c r="O942" t="s">
        <v>45</v>
      </c>
    </row>
    <row r="943" spans="1:15" x14ac:dyDescent="0.25">
      <c r="A943" s="1" t="s">
        <v>1417</v>
      </c>
      <c r="B943" s="1" t="s">
        <v>1418</v>
      </c>
      <c r="C943" s="2">
        <v>44777.588888888888</v>
      </c>
      <c r="D943" s="4">
        <f t="shared" si="57"/>
        <v>44777</v>
      </c>
      <c r="E943" s="6">
        <v>39.827777777774202</v>
      </c>
      <c r="F943" s="6" t="str" cm="1">
        <f t="array" ref="F943">_xlfn.IFS(
     AND(HOUR(session_data[[#This Row],[Time]])&gt;5,HOUR(session_data[[#This Row],[Time]])&lt;12),"Morning",
     AND(HOUR(session_data[[#This Row],[Time]])&gt;=12,HOUR(session_data[[#This Row],[Time]])&lt;17),"Afternoon",
     AND(HOUR(session_data[[#This Row],[Time]])&gt;=17,HOUR(session_data[[#This Row],[Time]])&lt;21),"Evening",
     TRUE,"Night"
)</f>
        <v>Evening</v>
      </c>
      <c r="G943" s="1">
        <f t="shared" si="58"/>
        <v>2022</v>
      </c>
      <c r="H943" s="1" t="str">
        <f t="shared" si="59"/>
        <v>Aug</v>
      </c>
      <c r="I943" s="1" t="str">
        <f t="shared" si="56"/>
        <v>Thu</v>
      </c>
      <c r="J943" s="1" t="s">
        <v>18</v>
      </c>
      <c r="K943" s="1" t="s">
        <v>29</v>
      </c>
      <c r="L943" s="1" t="s">
        <v>30</v>
      </c>
      <c r="M943" s="1" t="s">
        <v>32</v>
      </c>
      <c r="N943" s="1" t="s">
        <v>14</v>
      </c>
      <c r="O943" t="s">
        <v>45</v>
      </c>
    </row>
    <row r="944" spans="1:15" x14ac:dyDescent="0.25">
      <c r="A944" s="1" t="s">
        <v>1419</v>
      </c>
      <c r="B944" s="1" t="s">
        <v>1420</v>
      </c>
      <c r="C944" s="3">
        <v>44912.965277777781</v>
      </c>
      <c r="D944" s="4">
        <f t="shared" si="57"/>
        <v>44912</v>
      </c>
      <c r="E944" s="6">
        <v>39.869444444440902</v>
      </c>
      <c r="F944" s="6" t="str" cm="1">
        <f t="array" ref="F944">_xlfn.IFS(
     AND(HOUR(session_data[[#This Row],[Time]])&gt;5,HOUR(session_data[[#This Row],[Time]])&lt;12),"Morning",
     AND(HOUR(session_data[[#This Row],[Time]])&gt;=12,HOUR(session_data[[#This Row],[Time]])&lt;17),"Afternoon",
     AND(HOUR(session_data[[#This Row],[Time]])&gt;=17,HOUR(session_data[[#This Row],[Time]])&lt;21),"Evening",
     TRUE,"Night"
)</f>
        <v>Evening</v>
      </c>
      <c r="G944" s="1">
        <f t="shared" si="58"/>
        <v>2022</v>
      </c>
      <c r="H944" s="1" t="str">
        <f t="shared" si="59"/>
        <v>Dec</v>
      </c>
      <c r="I944" s="1" t="str">
        <f t="shared" si="56"/>
        <v>Sat</v>
      </c>
      <c r="J944" s="1" t="s">
        <v>11</v>
      </c>
      <c r="K944" s="1" t="s">
        <v>36</v>
      </c>
      <c r="L944" s="1" t="s">
        <v>13</v>
      </c>
      <c r="M944" s="1" t="s">
        <v>32</v>
      </c>
      <c r="N944" s="1" t="s">
        <v>14</v>
      </c>
      <c r="O944" t="s">
        <v>15</v>
      </c>
    </row>
    <row r="945" spans="1:15" x14ac:dyDescent="0.25">
      <c r="A945" s="1" t="s">
        <v>1421</v>
      </c>
      <c r="B945" s="1" t="s">
        <v>1420</v>
      </c>
      <c r="C945" s="2">
        <v>45139.048611111109</v>
      </c>
      <c r="D945" s="4">
        <f t="shared" si="57"/>
        <v>45139</v>
      </c>
      <c r="E945" s="6">
        <v>39.911111111107601</v>
      </c>
      <c r="F945" s="6" t="str" cm="1">
        <f t="array" ref="F945">_xlfn.IFS(
     AND(HOUR(session_data[[#This Row],[Time]])&gt;5,HOUR(session_data[[#This Row],[Time]])&lt;12),"Morning",
     AND(HOUR(session_data[[#This Row],[Time]])&gt;=12,HOUR(session_data[[#This Row],[Time]])&lt;17),"Afternoon",
     AND(HOUR(session_data[[#This Row],[Time]])&gt;=17,HOUR(session_data[[#This Row],[Time]])&lt;21),"Evening",
     TRUE,"Night"
)</f>
        <v>Night</v>
      </c>
      <c r="G945" s="1">
        <f t="shared" si="58"/>
        <v>2023</v>
      </c>
      <c r="H945" s="1" t="str">
        <f t="shared" si="59"/>
        <v>Aug</v>
      </c>
      <c r="I945" s="1" t="str">
        <f t="shared" si="56"/>
        <v>Tue</v>
      </c>
      <c r="J945" s="1" t="s">
        <v>11</v>
      </c>
      <c r="K945" s="1" t="s">
        <v>36</v>
      </c>
      <c r="L945" s="1" t="s">
        <v>13</v>
      </c>
      <c r="M945" s="1" t="s">
        <v>32</v>
      </c>
      <c r="N945" s="1" t="s">
        <v>22</v>
      </c>
      <c r="O945" t="s">
        <v>15</v>
      </c>
    </row>
    <row r="946" spans="1:15" x14ac:dyDescent="0.25">
      <c r="A946" s="1" t="s">
        <v>1422</v>
      </c>
      <c r="B946" s="1" t="s">
        <v>1420</v>
      </c>
      <c r="C946" s="3">
        <v>44949.298611111109</v>
      </c>
      <c r="D946" s="4">
        <f t="shared" si="57"/>
        <v>44949</v>
      </c>
      <c r="E946" s="6">
        <v>39.952777777774202</v>
      </c>
      <c r="F946" s="6" t="str" cm="1">
        <f t="array" ref="F946">_xlfn.IFS(
     AND(HOUR(session_data[[#This Row],[Time]])&gt;5,HOUR(session_data[[#This Row],[Time]])&lt;12),"Morning",
     AND(HOUR(session_data[[#This Row],[Time]])&gt;=12,HOUR(session_data[[#This Row],[Time]])&lt;17),"Afternoon",
     AND(HOUR(session_data[[#This Row],[Time]])&gt;=17,HOUR(session_data[[#This Row],[Time]])&lt;21),"Evening",
     TRUE,"Night"
)</f>
        <v>Night</v>
      </c>
      <c r="G946" s="1">
        <f t="shared" si="58"/>
        <v>2023</v>
      </c>
      <c r="H946" s="1" t="str">
        <f t="shared" si="59"/>
        <v>Jan</v>
      </c>
      <c r="I946" s="1" t="str">
        <f t="shared" si="56"/>
        <v>Mon</v>
      </c>
      <c r="J946" s="1" t="s">
        <v>11</v>
      </c>
      <c r="K946" s="1" t="s">
        <v>36</v>
      </c>
      <c r="L946" s="1" t="s">
        <v>13</v>
      </c>
      <c r="M946" s="1" t="s">
        <v>32</v>
      </c>
      <c r="N946" s="1" t="s">
        <v>22</v>
      </c>
      <c r="O946" t="s">
        <v>15</v>
      </c>
    </row>
    <row r="947" spans="1:15" x14ac:dyDescent="0.25">
      <c r="A947" s="1" t="s">
        <v>1423</v>
      </c>
      <c r="B947" s="1" t="s">
        <v>1424</v>
      </c>
      <c r="C947" s="3">
        <v>44918.155555555553</v>
      </c>
      <c r="D947" s="4">
        <f t="shared" si="57"/>
        <v>44918</v>
      </c>
      <c r="E947" s="6">
        <v>39.994444444440902</v>
      </c>
      <c r="F947" s="6" t="str" cm="1">
        <f t="array" ref="F947">_xlfn.IFS(
     AND(HOUR(session_data[[#This Row],[Time]])&gt;5,HOUR(session_data[[#This Row],[Time]])&lt;12),"Morning",
     AND(HOUR(session_data[[#This Row],[Time]])&gt;=12,HOUR(session_data[[#This Row],[Time]])&lt;17),"Afternoon",
     AND(HOUR(session_data[[#This Row],[Time]])&gt;=17,HOUR(session_data[[#This Row],[Time]])&lt;21),"Evening",
     TRUE,"Night"
)</f>
        <v>Night</v>
      </c>
      <c r="G947" s="1">
        <f t="shared" si="58"/>
        <v>2022</v>
      </c>
      <c r="H947" s="1" t="str">
        <f t="shared" si="59"/>
        <v>Dec</v>
      </c>
      <c r="I947" s="1" t="str">
        <f t="shared" si="56"/>
        <v>Fri</v>
      </c>
      <c r="J947" s="1" t="s">
        <v>28</v>
      </c>
      <c r="K947" s="1" t="s">
        <v>12</v>
      </c>
      <c r="L947" s="1" t="s">
        <v>20</v>
      </c>
      <c r="M947" s="1" t="s">
        <v>19</v>
      </c>
      <c r="N947" s="1" t="s">
        <v>14</v>
      </c>
      <c r="O947" t="s">
        <v>15</v>
      </c>
    </row>
    <row r="948" spans="1:15" x14ac:dyDescent="0.25">
      <c r="A948" s="1" t="s">
        <v>1425</v>
      </c>
      <c r="B948" s="1" t="s">
        <v>1424</v>
      </c>
      <c r="C948" s="3">
        <v>44943.072222222225</v>
      </c>
      <c r="D948" s="4">
        <f t="shared" si="57"/>
        <v>44943</v>
      </c>
      <c r="E948" s="6">
        <v>40.036111111107601</v>
      </c>
      <c r="F948" s="6" t="str" cm="1">
        <f t="array" ref="F948">_xlfn.IFS(
     AND(HOUR(session_data[[#This Row],[Time]])&gt;5,HOUR(session_data[[#This Row],[Time]])&lt;12),"Morning",
     AND(HOUR(session_data[[#This Row],[Time]])&gt;=12,HOUR(session_data[[#This Row],[Time]])&lt;17),"Afternoon",
     AND(HOUR(session_data[[#This Row],[Time]])&gt;=17,HOUR(session_data[[#This Row],[Time]])&lt;21),"Evening",
     TRUE,"Night"
)</f>
        <v>Night</v>
      </c>
      <c r="G948" s="1">
        <f t="shared" si="58"/>
        <v>2023</v>
      </c>
      <c r="H948" s="1" t="str">
        <f t="shared" si="59"/>
        <v>Jan</v>
      </c>
      <c r="I948" s="1" t="str">
        <f t="shared" si="56"/>
        <v>Tue</v>
      </c>
      <c r="J948" s="1" t="s">
        <v>28</v>
      </c>
      <c r="K948" s="1" t="s">
        <v>12</v>
      </c>
      <c r="L948" s="1" t="s">
        <v>20</v>
      </c>
      <c r="M948" s="1" t="s">
        <v>19</v>
      </c>
      <c r="N948" s="1" t="s">
        <v>22</v>
      </c>
      <c r="O948" t="s">
        <v>15</v>
      </c>
    </row>
    <row r="949" spans="1:15" x14ac:dyDescent="0.25">
      <c r="A949" s="1" t="s">
        <v>1426</v>
      </c>
      <c r="B949" s="1" t="s">
        <v>1424</v>
      </c>
      <c r="C949" s="3">
        <v>44946.780555555553</v>
      </c>
      <c r="D949" s="4">
        <f t="shared" si="57"/>
        <v>44946</v>
      </c>
      <c r="E949" s="6">
        <v>40.077777777774202</v>
      </c>
      <c r="F949" s="6" t="str" cm="1">
        <f t="array" ref="F949">_xlfn.IFS(
     AND(HOUR(session_data[[#This Row],[Time]])&gt;5,HOUR(session_data[[#This Row],[Time]])&lt;12),"Morning",
     AND(HOUR(session_data[[#This Row],[Time]])&gt;=12,HOUR(session_data[[#This Row],[Time]])&lt;17),"Afternoon",
     AND(HOUR(session_data[[#This Row],[Time]])&gt;=17,HOUR(session_data[[#This Row],[Time]])&lt;21),"Evening",
     TRUE,"Night"
)</f>
        <v>Night</v>
      </c>
      <c r="G949" s="1">
        <f t="shared" si="58"/>
        <v>2023</v>
      </c>
      <c r="H949" s="1" t="str">
        <f t="shared" si="59"/>
        <v>Jan</v>
      </c>
      <c r="I949" s="1" t="str">
        <f t="shared" si="56"/>
        <v>Fri</v>
      </c>
      <c r="J949" s="1" t="s">
        <v>28</v>
      </c>
      <c r="K949" s="1" t="s">
        <v>12</v>
      </c>
      <c r="L949" s="1" t="s">
        <v>20</v>
      </c>
      <c r="M949" s="1" t="s">
        <v>19</v>
      </c>
      <c r="N949" s="1" t="s">
        <v>22</v>
      </c>
      <c r="O949" t="s">
        <v>15</v>
      </c>
    </row>
    <row r="950" spans="1:15" x14ac:dyDescent="0.25">
      <c r="A950" s="1" t="s">
        <v>1427</v>
      </c>
      <c r="B950" s="1" t="s">
        <v>1424</v>
      </c>
      <c r="C950" s="3">
        <v>44979.155555555553</v>
      </c>
      <c r="D950" s="4">
        <f t="shared" si="57"/>
        <v>44979</v>
      </c>
      <c r="E950" s="6">
        <v>40.119444444440902</v>
      </c>
      <c r="F950" s="6" t="str" cm="1">
        <f t="array" ref="F950">_xlfn.IFS(
     AND(HOUR(session_data[[#This Row],[Time]])&gt;5,HOUR(session_data[[#This Row],[Time]])&lt;12),"Morning",
     AND(HOUR(session_data[[#This Row],[Time]])&gt;=12,HOUR(session_data[[#This Row],[Time]])&lt;17),"Afternoon",
     AND(HOUR(session_data[[#This Row],[Time]])&gt;=17,HOUR(session_data[[#This Row],[Time]])&lt;21),"Evening",
     TRUE,"Night"
)</f>
        <v>Night</v>
      </c>
      <c r="G950" s="1">
        <f t="shared" si="58"/>
        <v>2023</v>
      </c>
      <c r="H950" s="1" t="str">
        <f t="shared" si="59"/>
        <v>Feb</v>
      </c>
      <c r="I950" s="1" t="str">
        <f t="shared" si="56"/>
        <v>Wed</v>
      </c>
      <c r="J950" s="1" t="s">
        <v>28</v>
      </c>
      <c r="K950" s="1" t="s">
        <v>12</v>
      </c>
      <c r="L950" s="1" t="s">
        <v>20</v>
      </c>
      <c r="M950" s="1" t="s">
        <v>19</v>
      </c>
      <c r="N950" s="1" t="s">
        <v>22</v>
      </c>
      <c r="O950" t="s">
        <v>15</v>
      </c>
    </row>
    <row r="951" spans="1:15" x14ac:dyDescent="0.25">
      <c r="A951" s="1" t="s">
        <v>1428</v>
      </c>
      <c r="B951" s="1" t="s">
        <v>1429</v>
      </c>
      <c r="C951" s="2">
        <v>44692.508333333331</v>
      </c>
      <c r="D951" s="4">
        <f t="shared" si="57"/>
        <v>44692</v>
      </c>
      <c r="E951" s="6">
        <v>40.161111111107601</v>
      </c>
      <c r="F951" s="6" t="str" cm="1">
        <f t="array" ref="F951">_xlfn.IFS(
     AND(HOUR(session_data[[#This Row],[Time]])&gt;5,HOUR(session_data[[#This Row],[Time]])&lt;12),"Morning",
     AND(HOUR(session_data[[#This Row],[Time]])&gt;=12,HOUR(session_data[[#This Row],[Time]])&lt;17),"Afternoon",
     AND(HOUR(session_data[[#This Row],[Time]])&gt;=17,HOUR(session_data[[#This Row],[Time]])&lt;21),"Evening",
     TRUE,"Night"
)</f>
        <v>Night</v>
      </c>
      <c r="G951" s="1">
        <f t="shared" si="58"/>
        <v>2022</v>
      </c>
      <c r="H951" s="1" t="str">
        <f t="shared" si="59"/>
        <v>May</v>
      </c>
      <c r="I951" s="1" t="str">
        <f t="shared" si="56"/>
        <v>Wed</v>
      </c>
      <c r="J951" s="1" t="s">
        <v>18</v>
      </c>
      <c r="K951" s="1" t="s">
        <v>29</v>
      </c>
      <c r="L951" s="1" t="s">
        <v>94</v>
      </c>
      <c r="M951" s="1" t="s">
        <v>32</v>
      </c>
      <c r="N951" s="1" t="s">
        <v>14</v>
      </c>
      <c r="O951" t="s">
        <v>15</v>
      </c>
    </row>
    <row r="952" spans="1:15" x14ac:dyDescent="0.25">
      <c r="A952" s="1" t="s">
        <v>1430</v>
      </c>
      <c r="B952" s="1" t="s">
        <v>1429</v>
      </c>
      <c r="C952" s="3">
        <v>44891.258333333331</v>
      </c>
      <c r="D952" s="4">
        <f t="shared" si="57"/>
        <v>44891</v>
      </c>
      <c r="E952" s="6">
        <v>40.202777777774202</v>
      </c>
      <c r="F952" s="6" t="str" cm="1">
        <f t="array" ref="F952">_xlfn.IFS(
     AND(HOUR(session_data[[#This Row],[Time]])&gt;5,HOUR(session_data[[#This Row],[Time]])&lt;12),"Morning",
     AND(HOUR(session_data[[#This Row],[Time]])&gt;=12,HOUR(session_data[[#This Row],[Time]])&lt;17),"Afternoon",
     AND(HOUR(session_data[[#This Row],[Time]])&gt;=17,HOUR(session_data[[#This Row],[Time]])&lt;21),"Evening",
     TRUE,"Night"
)</f>
        <v>Night</v>
      </c>
      <c r="G952" s="1">
        <f t="shared" si="58"/>
        <v>2022</v>
      </c>
      <c r="H952" s="1" t="str">
        <f t="shared" si="59"/>
        <v>Nov</v>
      </c>
      <c r="I952" s="1" t="str">
        <f t="shared" si="56"/>
        <v>Sat</v>
      </c>
      <c r="J952" s="1" t="s">
        <v>18</v>
      </c>
      <c r="K952" s="1" t="s">
        <v>29</v>
      </c>
      <c r="L952" s="1" t="s">
        <v>94</v>
      </c>
      <c r="M952" s="1" t="s">
        <v>32</v>
      </c>
      <c r="N952" s="1" t="s">
        <v>22</v>
      </c>
      <c r="O952" t="s">
        <v>15</v>
      </c>
    </row>
    <row r="953" spans="1:15" x14ac:dyDescent="0.25">
      <c r="A953" s="1" t="s">
        <v>1431</v>
      </c>
      <c r="B953" s="1" t="s">
        <v>1429</v>
      </c>
      <c r="C953" s="2">
        <v>44693.716666666667</v>
      </c>
      <c r="D953" s="4">
        <f t="shared" si="57"/>
        <v>44693</v>
      </c>
      <c r="E953" s="6">
        <v>40.244444444440902</v>
      </c>
      <c r="F953" s="6" t="str" cm="1">
        <f t="array" ref="F953">_xlfn.IFS(
     AND(HOUR(session_data[[#This Row],[Time]])&gt;5,HOUR(session_data[[#This Row],[Time]])&lt;12),"Morning",
     AND(HOUR(session_data[[#This Row],[Time]])&gt;=12,HOUR(session_data[[#This Row],[Time]])&lt;17),"Afternoon",
     AND(HOUR(session_data[[#This Row],[Time]])&gt;=17,HOUR(session_data[[#This Row],[Time]])&lt;21),"Evening",
     TRUE,"Night"
)</f>
        <v>Night</v>
      </c>
      <c r="G953" s="1">
        <f t="shared" si="58"/>
        <v>2022</v>
      </c>
      <c r="H953" s="1" t="str">
        <f t="shared" si="59"/>
        <v>May</v>
      </c>
      <c r="I953" s="1" t="str">
        <f t="shared" si="56"/>
        <v>Thu</v>
      </c>
      <c r="J953" s="1" t="s">
        <v>18</v>
      </c>
      <c r="K953" s="1" t="s">
        <v>29</v>
      </c>
      <c r="L953" s="1" t="s">
        <v>94</v>
      </c>
      <c r="M953" s="1" t="s">
        <v>32</v>
      </c>
      <c r="N953" s="1" t="s">
        <v>22</v>
      </c>
      <c r="O953" t="s">
        <v>15</v>
      </c>
    </row>
    <row r="954" spans="1:15" x14ac:dyDescent="0.25">
      <c r="A954" s="1" t="s">
        <v>1432</v>
      </c>
      <c r="B954" s="1" t="s">
        <v>1429</v>
      </c>
      <c r="C954" s="3">
        <v>44940.800000000003</v>
      </c>
      <c r="D954" s="4">
        <f t="shared" si="57"/>
        <v>44940</v>
      </c>
      <c r="E954" s="6">
        <v>40.286111111107601</v>
      </c>
      <c r="F954" s="6" t="str" cm="1">
        <f t="array" ref="F954">_xlfn.IFS(
     AND(HOUR(session_data[[#This Row],[Time]])&gt;5,HOUR(session_data[[#This Row],[Time]])&lt;12),"Morning",
     AND(HOUR(session_data[[#This Row],[Time]])&gt;=12,HOUR(session_data[[#This Row],[Time]])&lt;17),"Afternoon",
     AND(HOUR(session_data[[#This Row],[Time]])&gt;=17,HOUR(session_data[[#This Row],[Time]])&lt;21),"Evening",
     TRUE,"Night"
)</f>
        <v>Morning</v>
      </c>
      <c r="G954" s="1">
        <f t="shared" si="58"/>
        <v>2023</v>
      </c>
      <c r="H954" s="1" t="str">
        <f t="shared" si="59"/>
        <v>Jan</v>
      </c>
      <c r="I954" s="1" t="str">
        <f t="shared" si="56"/>
        <v>Sat</v>
      </c>
      <c r="J954" s="1" t="s">
        <v>18</v>
      </c>
      <c r="K954" s="1" t="s">
        <v>29</v>
      </c>
      <c r="L954" s="1" t="s">
        <v>94</v>
      </c>
      <c r="M954" s="1" t="s">
        <v>32</v>
      </c>
      <c r="N954" s="1" t="s">
        <v>22</v>
      </c>
      <c r="O954" t="s">
        <v>15</v>
      </c>
    </row>
    <row r="955" spans="1:15" x14ac:dyDescent="0.25">
      <c r="A955" s="1" t="s">
        <v>1433</v>
      </c>
      <c r="B955" s="1" t="s">
        <v>1429</v>
      </c>
      <c r="C955" s="3">
        <v>44949.008333333331</v>
      </c>
      <c r="D955" s="4">
        <f t="shared" si="57"/>
        <v>44949</v>
      </c>
      <c r="E955" s="6">
        <v>40.327777777774202</v>
      </c>
      <c r="F955" s="6" t="str" cm="1">
        <f t="array" ref="F955">_xlfn.IFS(
     AND(HOUR(session_data[[#This Row],[Time]])&gt;5,HOUR(session_data[[#This Row],[Time]])&lt;12),"Morning",
     AND(HOUR(session_data[[#This Row],[Time]])&gt;=12,HOUR(session_data[[#This Row],[Time]])&lt;17),"Afternoon",
     AND(HOUR(session_data[[#This Row],[Time]])&gt;=17,HOUR(session_data[[#This Row],[Time]])&lt;21),"Evening",
     TRUE,"Night"
)</f>
        <v>Morning</v>
      </c>
      <c r="G955" s="1">
        <f t="shared" si="58"/>
        <v>2023</v>
      </c>
      <c r="H955" s="1" t="str">
        <f t="shared" si="59"/>
        <v>Jan</v>
      </c>
      <c r="I955" s="1" t="str">
        <f t="shared" si="56"/>
        <v>Mon</v>
      </c>
      <c r="J955" s="1" t="s">
        <v>18</v>
      </c>
      <c r="K955" s="1" t="s">
        <v>29</v>
      </c>
      <c r="L955" s="1" t="s">
        <v>94</v>
      </c>
      <c r="M955" s="1" t="s">
        <v>32</v>
      </c>
      <c r="N955" s="1" t="s">
        <v>22</v>
      </c>
      <c r="O955" t="s">
        <v>15</v>
      </c>
    </row>
    <row r="956" spans="1:15" x14ac:dyDescent="0.25">
      <c r="A956" s="1" t="s">
        <v>1434</v>
      </c>
      <c r="B956" s="1" t="s">
        <v>1435</v>
      </c>
      <c r="C956" s="2">
        <v>44598.806250000001</v>
      </c>
      <c r="D956" s="4">
        <f t="shared" si="57"/>
        <v>44598</v>
      </c>
      <c r="E956" s="6">
        <v>40.369444444440902</v>
      </c>
      <c r="F956" s="6" t="str" cm="1">
        <f t="array" ref="F956">_xlfn.IFS(
     AND(HOUR(session_data[[#This Row],[Time]])&gt;5,HOUR(session_data[[#This Row],[Time]])&lt;12),"Morning",
     AND(HOUR(session_data[[#This Row],[Time]])&gt;=12,HOUR(session_data[[#This Row],[Time]])&lt;17),"Afternoon",
     AND(HOUR(session_data[[#This Row],[Time]])&gt;=17,HOUR(session_data[[#This Row],[Time]])&lt;21),"Evening",
     TRUE,"Night"
)</f>
        <v>Morning</v>
      </c>
      <c r="G956" s="1">
        <f t="shared" si="58"/>
        <v>2022</v>
      </c>
      <c r="H956" s="1" t="str">
        <f t="shared" si="59"/>
        <v>Feb</v>
      </c>
      <c r="I956" s="1" t="str">
        <f t="shared" si="56"/>
        <v>Sun</v>
      </c>
      <c r="J956" s="1" t="s">
        <v>28</v>
      </c>
      <c r="K956" s="1" t="s">
        <v>29</v>
      </c>
      <c r="L956" s="1" t="s">
        <v>119</v>
      </c>
      <c r="M956" s="1" t="s">
        <v>40</v>
      </c>
      <c r="N956" s="1" t="s">
        <v>14</v>
      </c>
      <c r="O956" t="s">
        <v>45</v>
      </c>
    </row>
    <row r="957" spans="1:15" x14ac:dyDescent="0.25">
      <c r="A957" s="1" t="s">
        <v>1436</v>
      </c>
      <c r="B957" s="1" t="s">
        <v>1435</v>
      </c>
      <c r="C957" s="3">
        <v>44732.76458333333</v>
      </c>
      <c r="D957" s="4">
        <f t="shared" si="57"/>
        <v>44732</v>
      </c>
      <c r="E957" s="6">
        <v>40.411111111107601</v>
      </c>
      <c r="F957" s="6" t="str" cm="1">
        <f t="array" ref="F957">_xlfn.IFS(
     AND(HOUR(session_data[[#This Row],[Time]])&gt;5,HOUR(session_data[[#This Row],[Time]])&lt;12),"Morning",
     AND(HOUR(session_data[[#This Row],[Time]])&gt;=12,HOUR(session_data[[#This Row],[Time]])&lt;17),"Afternoon",
     AND(HOUR(session_data[[#This Row],[Time]])&gt;=17,HOUR(session_data[[#This Row],[Time]])&lt;21),"Evening",
     TRUE,"Night"
)</f>
        <v>Morning</v>
      </c>
      <c r="G957" s="1">
        <f t="shared" si="58"/>
        <v>2022</v>
      </c>
      <c r="H957" s="1" t="str">
        <f t="shared" si="59"/>
        <v>Jun</v>
      </c>
      <c r="I957" s="1" t="str">
        <f t="shared" si="56"/>
        <v>Mon</v>
      </c>
      <c r="J957" s="1" t="s">
        <v>28</v>
      </c>
      <c r="K957" s="1" t="s">
        <v>29</v>
      </c>
      <c r="L957" s="1" t="s">
        <v>119</v>
      </c>
      <c r="M957" s="1" t="s">
        <v>40</v>
      </c>
      <c r="N957" s="1" t="s">
        <v>22</v>
      </c>
      <c r="O957" t="s">
        <v>45</v>
      </c>
    </row>
    <row r="958" spans="1:15" x14ac:dyDescent="0.25">
      <c r="A958" s="1" t="s">
        <v>1437</v>
      </c>
      <c r="B958" s="1" t="s">
        <v>1435</v>
      </c>
      <c r="C958" s="2">
        <v>44719.722916666666</v>
      </c>
      <c r="D958" s="4">
        <f t="shared" si="57"/>
        <v>44719</v>
      </c>
      <c r="E958" s="6">
        <v>40.452777777774202</v>
      </c>
      <c r="F958" s="6" t="str" cm="1">
        <f t="array" ref="F958">_xlfn.IFS(
     AND(HOUR(session_data[[#This Row],[Time]])&gt;5,HOUR(session_data[[#This Row],[Time]])&lt;12),"Morning",
     AND(HOUR(session_data[[#This Row],[Time]])&gt;=12,HOUR(session_data[[#This Row],[Time]])&lt;17),"Afternoon",
     AND(HOUR(session_data[[#This Row],[Time]])&gt;=17,HOUR(session_data[[#This Row],[Time]])&lt;21),"Evening",
     TRUE,"Night"
)</f>
        <v>Morning</v>
      </c>
      <c r="G958" s="1">
        <f t="shared" si="58"/>
        <v>2022</v>
      </c>
      <c r="H958" s="1" t="str">
        <f t="shared" si="59"/>
        <v>Jun</v>
      </c>
      <c r="I958" s="1" t="str">
        <f t="shared" si="56"/>
        <v>Tue</v>
      </c>
      <c r="J958" s="1" t="s">
        <v>28</v>
      </c>
      <c r="K958" s="1" t="s">
        <v>29</v>
      </c>
      <c r="L958" s="1" t="s">
        <v>119</v>
      </c>
      <c r="M958" s="1" t="s">
        <v>40</v>
      </c>
      <c r="N958" s="1" t="s">
        <v>22</v>
      </c>
      <c r="O958" t="s">
        <v>45</v>
      </c>
    </row>
    <row r="959" spans="1:15" x14ac:dyDescent="0.25">
      <c r="A959" s="1" t="s">
        <v>1438</v>
      </c>
      <c r="B959" s="1" t="s">
        <v>1439</v>
      </c>
      <c r="C959" s="3">
        <v>44802.636805555558</v>
      </c>
      <c r="D959" s="4">
        <f t="shared" si="57"/>
        <v>44802</v>
      </c>
      <c r="E959" s="6">
        <v>40.494444444440902</v>
      </c>
      <c r="F959" s="6" t="str" cm="1">
        <f t="array" ref="F959">_xlfn.IFS(
     AND(HOUR(session_data[[#This Row],[Time]])&gt;5,HOUR(session_data[[#This Row],[Time]])&lt;12),"Morning",
     AND(HOUR(session_data[[#This Row],[Time]])&gt;=12,HOUR(session_data[[#This Row],[Time]])&lt;17),"Afternoon",
     AND(HOUR(session_data[[#This Row],[Time]])&gt;=17,HOUR(session_data[[#This Row],[Time]])&lt;21),"Evening",
     TRUE,"Night"
)</f>
        <v>Morning</v>
      </c>
      <c r="G959" s="1">
        <f t="shared" si="58"/>
        <v>2022</v>
      </c>
      <c r="H959" s="1" t="str">
        <f t="shared" si="59"/>
        <v>Aug</v>
      </c>
      <c r="I959" s="1" t="str">
        <f t="shared" si="56"/>
        <v>Mon</v>
      </c>
      <c r="J959" s="1" t="s">
        <v>28</v>
      </c>
      <c r="K959" s="1" t="s">
        <v>12</v>
      </c>
      <c r="L959" s="1" t="s">
        <v>13</v>
      </c>
      <c r="M959" s="1" t="s">
        <v>32</v>
      </c>
      <c r="N959" s="1" t="s">
        <v>14</v>
      </c>
      <c r="O959" t="s">
        <v>45</v>
      </c>
    </row>
    <row r="960" spans="1:15" x14ac:dyDescent="0.25">
      <c r="A960" s="1" t="s">
        <v>1440</v>
      </c>
      <c r="B960" s="1" t="s">
        <v>1441</v>
      </c>
      <c r="C960" s="2">
        <v>44625.180555555555</v>
      </c>
      <c r="D960" s="4">
        <f t="shared" si="57"/>
        <v>44625</v>
      </c>
      <c r="E960" s="6">
        <v>40.536111111107601</v>
      </c>
      <c r="F960" s="6" t="str" cm="1">
        <f t="array" ref="F960">_xlfn.IFS(
     AND(HOUR(session_data[[#This Row],[Time]])&gt;5,HOUR(session_data[[#This Row],[Time]])&lt;12),"Morning",
     AND(HOUR(session_data[[#This Row],[Time]])&gt;=12,HOUR(session_data[[#This Row],[Time]])&lt;17),"Afternoon",
     AND(HOUR(session_data[[#This Row],[Time]])&gt;=17,HOUR(session_data[[#This Row],[Time]])&lt;21),"Evening",
     TRUE,"Night"
)</f>
        <v>Afternoon</v>
      </c>
      <c r="G960" s="1">
        <f t="shared" si="58"/>
        <v>2022</v>
      </c>
      <c r="H960" s="1" t="str">
        <f t="shared" si="59"/>
        <v>Mar</v>
      </c>
      <c r="I960" s="1" t="str">
        <f t="shared" si="56"/>
        <v>Sat</v>
      </c>
      <c r="J960" s="1" t="s">
        <v>44</v>
      </c>
      <c r="K960" s="1" t="s">
        <v>12</v>
      </c>
      <c r="L960" s="1" t="s">
        <v>79</v>
      </c>
      <c r="M960" s="1" t="s">
        <v>40</v>
      </c>
      <c r="N960" s="1" t="s">
        <v>14</v>
      </c>
      <c r="O960" t="s">
        <v>45</v>
      </c>
    </row>
    <row r="961" spans="1:15" x14ac:dyDescent="0.25">
      <c r="A961" s="1" t="s">
        <v>1442</v>
      </c>
      <c r="B961" s="1" t="s">
        <v>1443</v>
      </c>
      <c r="C961" s="3">
        <v>44766.426388888889</v>
      </c>
      <c r="D961" s="4">
        <f t="shared" si="57"/>
        <v>44766</v>
      </c>
      <c r="E961" s="6">
        <v>40.577777777774202</v>
      </c>
      <c r="F961" s="6" t="str" cm="1">
        <f t="array" ref="F961">_xlfn.IFS(
     AND(HOUR(session_data[[#This Row],[Time]])&gt;5,HOUR(session_data[[#This Row],[Time]])&lt;12),"Morning",
     AND(HOUR(session_data[[#This Row],[Time]])&gt;=12,HOUR(session_data[[#This Row],[Time]])&lt;17),"Afternoon",
     AND(HOUR(session_data[[#This Row],[Time]])&gt;=17,HOUR(session_data[[#This Row],[Time]])&lt;21),"Evening",
     TRUE,"Night"
)</f>
        <v>Afternoon</v>
      </c>
      <c r="G961" s="1">
        <f t="shared" si="58"/>
        <v>2022</v>
      </c>
      <c r="H961" s="1" t="str">
        <f t="shared" si="59"/>
        <v>Jul</v>
      </c>
      <c r="I961" s="1" t="str">
        <f t="shared" si="56"/>
        <v>Sun</v>
      </c>
      <c r="J961" s="1" t="s">
        <v>66</v>
      </c>
      <c r="K961" s="1" t="s">
        <v>12</v>
      </c>
      <c r="L961" s="1" t="s">
        <v>59</v>
      </c>
      <c r="M961" s="1" t="s">
        <v>19</v>
      </c>
      <c r="N961" s="1" t="s">
        <v>14</v>
      </c>
      <c r="O961" t="s">
        <v>15</v>
      </c>
    </row>
    <row r="962" spans="1:15" x14ac:dyDescent="0.25">
      <c r="A962" s="1" t="s">
        <v>1444</v>
      </c>
      <c r="B962" s="1" t="s">
        <v>1443</v>
      </c>
      <c r="C962" s="2">
        <v>44689.259722222225</v>
      </c>
      <c r="D962" s="4">
        <f t="shared" si="57"/>
        <v>44689</v>
      </c>
      <c r="E962" s="6">
        <v>40.619444444440902</v>
      </c>
      <c r="F962" s="6" t="str" cm="1">
        <f t="array" ref="F962">_xlfn.IFS(
     AND(HOUR(session_data[[#This Row],[Time]])&gt;5,HOUR(session_data[[#This Row],[Time]])&lt;12),"Morning",
     AND(HOUR(session_data[[#This Row],[Time]])&gt;=12,HOUR(session_data[[#This Row],[Time]])&lt;17),"Afternoon",
     AND(HOUR(session_data[[#This Row],[Time]])&gt;=17,HOUR(session_data[[#This Row],[Time]])&lt;21),"Evening",
     TRUE,"Night"
)</f>
        <v>Afternoon</v>
      </c>
      <c r="G962" s="1">
        <f t="shared" si="58"/>
        <v>2022</v>
      </c>
      <c r="H962" s="1" t="str">
        <f t="shared" si="59"/>
        <v>May</v>
      </c>
      <c r="I962" s="1" t="str">
        <f t="shared" ref="I962:I1025" si="60">TEXT(D962,"DDD")</f>
        <v>Sun</v>
      </c>
      <c r="J962" s="1" t="s">
        <v>66</v>
      </c>
      <c r="K962" s="1" t="s">
        <v>12</v>
      </c>
      <c r="L962" s="1" t="s">
        <v>59</v>
      </c>
      <c r="M962" s="1" t="s">
        <v>19</v>
      </c>
      <c r="N962" s="1" t="s">
        <v>22</v>
      </c>
      <c r="O962" t="s">
        <v>15</v>
      </c>
    </row>
    <row r="963" spans="1:15" x14ac:dyDescent="0.25">
      <c r="A963" s="1" t="s">
        <v>1445</v>
      </c>
      <c r="B963" s="1" t="s">
        <v>1443</v>
      </c>
      <c r="C963" s="3">
        <v>44799.384722222225</v>
      </c>
      <c r="D963" s="4">
        <f t="shared" ref="D963:D1026" si="61">INT(C963)</f>
        <v>44799</v>
      </c>
      <c r="E963" s="6">
        <v>40.661111111107601</v>
      </c>
      <c r="F963" s="6" t="str" cm="1">
        <f t="array" ref="F963">_xlfn.IFS(
     AND(HOUR(session_data[[#This Row],[Time]])&gt;5,HOUR(session_data[[#This Row],[Time]])&lt;12),"Morning",
     AND(HOUR(session_data[[#This Row],[Time]])&gt;=12,HOUR(session_data[[#This Row],[Time]])&lt;17),"Afternoon",
     AND(HOUR(session_data[[#This Row],[Time]])&gt;=17,HOUR(session_data[[#This Row],[Time]])&lt;21),"Evening",
     TRUE,"Night"
)</f>
        <v>Afternoon</v>
      </c>
      <c r="G963" s="1">
        <f t="shared" ref="G963:G1026" si="62">YEAR(D963)</f>
        <v>2022</v>
      </c>
      <c r="H963" s="1" t="str">
        <f t="shared" ref="H963:H1026" si="63">TEXT(D963,"MMM")</f>
        <v>Aug</v>
      </c>
      <c r="I963" s="1" t="str">
        <f t="shared" si="60"/>
        <v>Fri</v>
      </c>
      <c r="J963" s="1" t="s">
        <v>66</v>
      </c>
      <c r="K963" s="1" t="s">
        <v>12</v>
      </c>
      <c r="L963" s="1" t="s">
        <v>59</v>
      </c>
      <c r="M963" s="1" t="s">
        <v>19</v>
      </c>
      <c r="N963" s="1" t="s">
        <v>22</v>
      </c>
      <c r="O963" t="s">
        <v>15</v>
      </c>
    </row>
    <row r="964" spans="1:15" x14ac:dyDescent="0.25">
      <c r="A964" s="1" t="s">
        <v>1446</v>
      </c>
      <c r="B964" s="1" t="s">
        <v>1447</v>
      </c>
      <c r="C964" s="2">
        <v>44991.325694444444</v>
      </c>
      <c r="D964" s="4">
        <f t="shared" si="61"/>
        <v>44991</v>
      </c>
      <c r="E964" s="6">
        <v>40.702777777774202</v>
      </c>
      <c r="F964" s="6" t="str" cm="1">
        <f t="array" ref="F964">_xlfn.IFS(
     AND(HOUR(session_data[[#This Row],[Time]])&gt;5,HOUR(session_data[[#This Row],[Time]])&lt;12),"Morning",
     AND(HOUR(session_data[[#This Row],[Time]])&gt;=12,HOUR(session_data[[#This Row],[Time]])&lt;17),"Afternoon",
     AND(HOUR(session_data[[#This Row],[Time]])&gt;=17,HOUR(session_data[[#This Row],[Time]])&lt;21),"Evening",
     TRUE,"Night"
)</f>
        <v>Afternoon</v>
      </c>
      <c r="G964" s="1">
        <f t="shared" si="62"/>
        <v>2023</v>
      </c>
      <c r="H964" s="1" t="str">
        <f t="shared" si="63"/>
        <v>Mar</v>
      </c>
      <c r="I964" s="1" t="str">
        <f t="shared" si="60"/>
        <v>Mon</v>
      </c>
      <c r="J964" s="1" t="s">
        <v>18</v>
      </c>
      <c r="K964" s="1" t="s">
        <v>29</v>
      </c>
      <c r="L964" s="1" t="s">
        <v>41</v>
      </c>
      <c r="M964" s="1" t="s">
        <v>40</v>
      </c>
      <c r="N964" s="1" t="s">
        <v>14</v>
      </c>
      <c r="O964" t="s">
        <v>15</v>
      </c>
    </row>
    <row r="965" spans="1:15" x14ac:dyDescent="0.25">
      <c r="A965" s="1" t="s">
        <v>1448</v>
      </c>
      <c r="B965" s="1" t="s">
        <v>1447</v>
      </c>
      <c r="C965" s="3">
        <v>45092.90902777778</v>
      </c>
      <c r="D965" s="4">
        <f t="shared" si="61"/>
        <v>45092</v>
      </c>
      <c r="E965" s="6">
        <v>40.744444444440902</v>
      </c>
      <c r="F965" s="6" t="str" cm="1">
        <f t="array" ref="F965">_xlfn.IFS(
     AND(HOUR(session_data[[#This Row],[Time]])&gt;5,HOUR(session_data[[#This Row],[Time]])&lt;12),"Morning",
     AND(HOUR(session_data[[#This Row],[Time]])&gt;=12,HOUR(session_data[[#This Row],[Time]])&lt;17),"Afternoon",
     AND(HOUR(session_data[[#This Row],[Time]])&gt;=17,HOUR(session_data[[#This Row],[Time]])&lt;21),"Evening",
     TRUE,"Night"
)</f>
        <v>Evening</v>
      </c>
      <c r="G965" s="1">
        <f t="shared" si="62"/>
        <v>2023</v>
      </c>
      <c r="H965" s="1" t="str">
        <f t="shared" si="63"/>
        <v>Jun</v>
      </c>
      <c r="I965" s="1" t="str">
        <f t="shared" si="60"/>
        <v>Thu</v>
      </c>
      <c r="J965" s="1" t="s">
        <v>18</v>
      </c>
      <c r="K965" s="1" t="s">
        <v>29</v>
      </c>
      <c r="L965" s="1" t="s">
        <v>41</v>
      </c>
      <c r="M965" s="1" t="s">
        <v>40</v>
      </c>
      <c r="N965" s="1" t="s">
        <v>22</v>
      </c>
      <c r="O965" t="s">
        <v>15</v>
      </c>
    </row>
    <row r="966" spans="1:15" x14ac:dyDescent="0.25">
      <c r="A966" s="1" t="s">
        <v>1449</v>
      </c>
      <c r="B966" s="1" t="s">
        <v>1450</v>
      </c>
      <c r="C966" s="3">
        <v>44738.603472222225</v>
      </c>
      <c r="D966" s="4">
        <f t="shared" si="61"/>
        <v>44738</v>
      </c>
      <c r="E966" s="6">
        <v>40.786111111107601</v>
      </c>
      <c r="F966" s="6" t="str" cm="1">
        <f t="array" ref="F966">_xlfn.IFS(
     AND(HOUR(session_data[[#This Row],[Time]])&gt;5,HOUR(session_data[[#This Row],[Time]])&lt;12),"Morning",
     AND(HOUR(session_data[[#This Row],[Time]])&gt;=12,HOUR(session_data[[#This Row],[Time]])&lt;17),"Afternoon",
     AND(HOUR(session_data[[#This Row],[Time]])&gt;=17,HOUR(session_data[[#This Row],[Time]])&lt;21),"Evening",
     TRUE,"Night"
)</f>
        <v>Evening</v>
      </c>
      <c r="G966" s="1">
        <f t="shared" si="62"/>
        <v>2022</v>
      </c>
      <c r="H966" s="1" t="str">
        <f t="shared" si="63"/>
        <v>Jun</v>
      </c>
      <c r="I966" s="1" t="str">
        <f t="shared" si="60"/>
        <v>Sun</v>
      </c>
      <c r="J966" s="1" t="s">
        <v>18</v>
      </c>
      <c r="K966" s="1" t="s">
        <v>29</v>
      </c>
      <c r="L966" s="1" t="s">
        <v>41</v>
      </c>
      <c r="M966" s="1" t="s">
        <v>40</v>
      </c>
      <c r="N966" s="1" t="s">
        <v>14</v>
      </c>
      <c r="O966" t="s">
        <v>45</v>
      </c>
    </row>
    <row r="967" spans="1:15" x14ac:dyDescent="0.25">
      <c r="A967" s="1" t="s">
        <v>1451</v>
      </c>
      <c r="B967" s="1" t="s">
        <v>1450</v>
      </c>
      <c r="C967" s="3">
        <v>44763.603472222225</v>
      </c>
      <c r="D967" s="4">
        <f t="shared" si="61"/>
        <v>44763</v>
      </c>
      <c r="E967" s="6">
        <v>40.827777777774202</v>
      </c>
      <c r="F967" s="6" t="str" cm="1">
        <f t="array" ref="F967">_xlfn.IFS(
     AND(HOUR(session_data[[#This Row],[Time]])&gt;5,HOUR(session_data[[#This Row],[Time]])&lt;12),"Morning",
     AND(HOUR(session_data[[#This Row],[Time]])&gt;=12,HOUR(session_data[[#This Row],[Time]])&lt;17),"Afternoon",
     AND(HOUR(session_data[[#This Row],[Time]])&gt;=17,HOUR(session_data[[#This Row],[Time]])&lt;21),"Evening",
     TRUE,"Night"
)</f>
        <v>Evening</v>
      </c>
      <c r="G967" s="1">
        <f t="shared" si="62"/>
        <v>2022</v>
      </c>
      <c r="H967" s="1" t="str">
        <f t="shared" si="63"/>
        <v>Jul</v>
      </c>
      <c r="I967" s="1" t="str">
        <f t="shared" si="60"/>
        <v>Thu</v>
      </c>
      <c r="J967" s="1" t="s">
        <v>18</v>
      </c>
      <c r="K967" s="1" t="s">
        <v>29</v>
      </c>
      <c r="L967" s="1" t="s">
        <v>41</v>
      </c>
      <c r="M967" s="1" t="s">
        <v>40</v>
      </c>
      <c r="N967" s="1" t="s">
        <v>22</v>
      </c>
      <c r="O967" t="s">
        <v>45</v>
      </c>
    </row>
    <row r="968" spans="1:15" x14ac:dyDescent="0.25">
      <c r="A968" s="1" t="s">
        <v>1452</v>
      </c>
      <c r="B968" s="1" t="s">
        <v>1453</v>
      </c>
      <c r="C968" s="3">
        <v>44830.611805555556</v>
      </c>
      <c r="D968" s="4">
        <f t="shared" si="61"/>
        <v>44830</v>
      </c>
      <c r="E968" s="6">
        <v>40.869444444440902</v>
      </c>
      <c r="F968" s="6" t="str" cm="1">
        <f t="array" ref="F968">_xlfn.IFS(
     AND(HOUR(session_data[[#This Row],[Time]])&gt;5,HOUR(session_data[[#This Row],[Time]])&lt;12),"Morning",
     AND(HOUR(session_data[[#This Row],[Time]])&gt;=12,HOUR(session_data[[#This Row],[Time]])&lt;17),"Afternoon",
     AND(HOUR(session_data[[#This Row],[Time]])&gt;=17,HOUR(session_data[[#This Row],[Time]])&lt;21),"Evening",
     TRUE,"Night"
)</f>
        <v>Evening</v>
      </c>
      <c r="G968" s="1">
        <f t="shared" si="62"/>
        <v>2022</v>
      </c>
      <c r="H968" s="1" t="str">
        <f t="shared" si="63"/>
        <v>Sep</v>
      </c>
      <c r="I968" s="1" t="str">
        <f t="shared" si="60"/>
        <v>Mon</v>
      </c>
      <c r="J968" s="1" t="s">
        <v>11</v>
      </c>
      <c r="K968" s="1" t="s">
        <v>29</v>
      </c>
      <c r="L968" s="1" t="s">
        <v>50</v>
      </c>
      <c r="M968" s="1" t="s">
        <v>19</v>
      </c>
      <c r="N968" s="1" t="s">
        <v>14</v>
      </c>
      <c r="O968" t="s">
        <v>15</v>
      </c>
    </row>
    <row r="969" spans="1:15" x14ac:dyDescent="0.25">
      <c r="A969" s="1" t="s">
        <v>1454</v>
      </c>
      <c r="B969" s="1" t="s">
        <v>1453</v>
      </c>
      <c r="C969" s="3">
        <v>44860.52847222222</v>
      </c>
      <c r="D969" s="4">
        <f t="shared" si="61"/>
        <v>44860</v>
      </c>
      <c r="E969" s="6">
        <v>40.911111111107601</v>
      </c>
      <c r="F969" s="6" t="str" cm="1">
        <f t="array" ref="F969">_xlfn.IFS(
     AND(HOUR(session_data[[#This Row],[Time]])&gt;5,HOUR(session_data[[#This Row],[Time]])&lt;12),"Morning",
     AND(HOUR(session_data[[#This Row],[Time]])&gt;=12,HOUR(session_data[[#This Row],[Time]])&lt;17),"Afternoon",
     AND(HOUR(session_data[[#This Row],[Time]])&gt;=17,HOUR(session_data[[#This Row],[Time]])&lt;21),"Evening",
     TRUE,"Night"
)</f>
        <v>Night</v>
      </c>
      <c r="G969" s="1">
        <f t="shared" si="62"/>
        <v>2022</v>
      </c>
      <c r="H969" s="1" t="str">
        <f t="shared" si="63"/>
        <v>Oct</v>
      </c>
      <c r="I969" s="1" t="str">
        <f t="shared" si="60"/>
        <v>Wed</v>
      </c>
      <c r="J969" s="1" t="s">
        <v>11</v>
      </c>
      <c r="K969" s="1" t="s">
        <v>29</v>
      </c>
      <c r="L969" s="1" t="s">
        <v>50</v>
      </c>
      <c r="M969" s="1" t="s">
        <v>19</v>
      </c>
      <c r="N969" s="1" t="s">
        <v>22</v>
      </c>
      <c r="O969" t="s">
        <v>15</v>
      </c>
    </row>
    <row r="970" spans="1:15" x14ac:dyDescent="0.25">
      <c r="A970" s="1" t="s">
        <v>1455</v>
      </c>
      <c r="B970" s="1" t="s">
        <v>1453</v>
      </c>
      <c r="C970" s="2">
        <v>44692.52847222222</v>
      </c>
      <c r="D970" s="4">
        <f t="shared" si="61"/>
        <v>44692</v>
      </c>
      <c r="E970" s="6">
        <v>40.952777777774202</v>
      </c>
      <c r="F970" s="6" t="str" cm="1">
        <f t="array" ref="F970">_xlfn.IFS(
     AND(HOUR(session_data[[#This Row],[Time]])&gt;5,HOUR(session_data[[#This Row],[Time]])&lt;12),"Morning",
     AND(HOUR(session_data[[#This Row],[Time]])&gt;=12,HOUR(session_data[[#This Row],[Time]])&lt;17),"Afternoon",
     AND(HOUR(session_data[[#This Row],[Time]])&gt;=17,HOUR(session_data[[#This Row],[Time]])&lt;21),"Evening",
     TRUE,"Night"
)</f>
        <v>Night</v>
      </c>
      <c r="G970" s="1">
        <f t="shared" si="62"/>
        <v>2022</v>
      </c>
      <c r="H970" s="1" t="str">
        <f t="shared" si="63"/>
        <v>May</v>
      </c>
      <c r="I970" s="1" t="str">
        <f t="shared" si="60"/>
        <v>Wed</v>
      </c>
      <c r="J970" s="1" t="s">
        <v>11</v>
      </c>
      <c r="K970" s="1" t="s">
        <v>29</v>
      </c>
      <c r="L970" s="1" t="s">
        <v>50</v>
      </c>
      <c r="M970" s="1" t="s">
        <v>19</v>
      </c>
      <c r="N970" s="1" t="s">
        <v>22</v>
      </c>
      <c r="O970" t="s">
        <v>15</v>
      </c>
    </row>
    <row r="971" spans="1:15" x14ac:dyDescent="0.25">
      <c r="A971" s="1" t="s">
        <v>1456</v>
      </c>
      <c r="B971" s="1" t="s">
        <v>1453</v>
      </c>
      <c r="C971" s="3">
        <v>44888.695138888892</v>
      </c>
      <c r="D971" s="4">
        <f t="shared" si="61"/>
        <v>44888</v>
      </c>
      <c r="E971" s="6">
        <v>40.994444444440902</v>
      </c>
      <c r="F971" s="6" t="str" cm="1">
        <f t="array" ref="F971">_xlfn.IFS(
     AND(HOUR(session_data[[#This Row],[Time]])&gt;5,HOUR(session_data[[#This Row],[Time]])&lt;12),"Morning",
     AND(HOUR(session_data[[#This Row],[Time]])&gt;=12,HOUR(session_data[[#This Row],[Time]])&lt;17),"Afternoon",
     AND(HOUR(session_data[[#This Row],[Time]])&gt;=17,HOUR(session_data[[#This Row],[Time]])&lt;21),"Evening",
     TRUE,"Night"
)</f>
        <v>Night</v>
      </c>
      <c r="G971" s="1">
        <f t="shared" si="62"/>
        <v>2022</v>
      </c>
      <c r="H971" s="1" t="str">
        <f t="shared" si="63"/>
        <v>Nov</v>
      </c>
      <c r="I971" s="1" t="str">
        <f t="shared" si="60"/>
        <v>Wed</v>
      </c>
      <c r="J971" s="1" t="s">
        <v>11</v>
      </c>
      <c r="K971" s="1" t="s">
        <v>29</v>
      </c>
      <c r="L971" s="1" t="s">
        <v>50</v>
      </c>
      <c r="M971" s="1" t="s">
        <v>19</v>
      </c>
      <c r="N971" s="1" t="s">
        <v>22</v>
      </c>
      <c r="O971" t="s">
        <v>15</v>
      </c>
    </row>
    <row r="972" spans="1:15" x14ac:dyDescent="0.25">
      <c r="A972" s="1" t="s">
        <v>1457</v>
      </c>
      <c r="B972" s="1" t="s">
        <v>1458</v>
      </c>
      <c r="C972" s="3">
        <v>44635.341666666667</v>
      </c>
      <c r="D972" s="4">
        <f t="shared" si="61"/>
        <v>44635</v>
      </c>
      <c r="E972" s="6">
        <v>41.036111111107601</v>
      </c>
      <c r="F972" s="6" t="str" cm="1">
        <f t="array" ref="F972">_xlfn.IFS(
     AND(HOUR(session_data[[#This Row],[Time]])&gt;5,HOUR(session_data[[#This Row],[Time]])&lt;12),"Morning",
     AND(HOUR(session_data[[#This Row],[Time]])&gt;=12,HOUR(session_data[[#This Row],[Time]])&lt;17),"Afternoon",
     AND(HOUR(session_data[[#This Row],[Time]])&gt;=17,HOUR(session_data[[#This Row],[Time]])&lt;21),"Evening",
     TRUE,"Night"
)</f>
        <v>Night</v>
      </c>
      <c r="G972" s="1">
        <f t="shared" si="62"/>
        <v>2022</v>
      </c>
      <c r="H972" s="1" t="str">
        <f t="shared" si="63"/>
        <v>Mar</v>
      </c>
      <c r="I972" s="1" t="str">
        <f t="shared" si="60"/>
        <v>Tue</v>
      </c>
      <c r="J972" s="1" t="s">
        <v>18</v>
      </c>
      <c r="K972" s="1" t="s">
        <v>29</v>
      </c>
      <c r="L972" s="1" t="s">
        <v>119</v>
      </c>
      <c r="M972" s="1" t="s">
        <v>40</v>
      </c>
      <c r="N972" s="1" t="s">
        <v>14</v>
      </c>
      <c r="O972" t="s">
        <v>15</v>
      </c>
    </row>
    <row r="973" spans="1:15" x14ac:dyDescent="0.25">
      <c r="A973" s="1" t="s">
        <v>1459</v>
      </c>
      <c r="B973" s="1" t="s">
        <v>1460</v>
      </c>
      <c r="C973" s="3">
        <v>44616.646527777775</v>
      </c>
      <c r="D973" s="4">
        <f t="shared" si="61"/>
        <v>44616</v>
      </c>
      <c r="E973" s="6">
        <v>41.077777777774202</v>
      </c>
      <c r="F973" s="6" t="str" cm="1">
        <f t="array" ref="F973">_xlfn.IFS(
     AND(HOUR(session_data[[#This Row],[Time]])&gt;5,HOUR(session_data[[#This Row],[Time]])&lt;12),"Morning",
     AND(HOUR(session_data[[#This Row],[Time]])&gt;=12,HOUR(session_data[[#This Row],[Time]])&lt;17),"Afternoon",
     AND(HOUR(session_data[[#This Row],[Time]])&gt;=17,HOUR(session_data[[#This Row],[Time]])&lt;21),"Evening",
     TRUE,"Night"
)</f>
        <v>Night</v>
      </c>
      <c r="G973" s="1">
        <f t="shared" si="62"/>
        <v>2022</v>
      </c>
      <c r="H973" s="1" t="str">
        <f t="shared" si="63"/>
        <v>Feb</v>
      </c>
      <c r="I973" s="1" t="str">
        <f t="shared" si="60"/>
        <v>Thu</v>
      </c>
      <c r="J973" s="1" t="s">
        <v>18</v>
      </c>
      <c r="K973" s="1" t="s">
        <v>29</v>
      </c>
      <c r="L973" s="1" t="s">
        <v>59</v>
      </c>
      <c r="M973" s="1" t="s">
        <v>19</v>
      </c>
      <c r="N973" s="1" t="s">
        <v>14</v>
      </c>
      <c r="O973" t="s">
        <v>15</v>
      </c>
    </row>
    <row r="974" spans="1:15" x14ac:dyDescent="0.25">
      <c r="A974" s="1" t="s">
        <v>1461</v>
      </c>
      <c r="B974" s="1" t="s">
        <v>1460</v>
      </c>
      <c r="C974" s="3">
        <v>44638.813194444447</v>
      </c>
      <c r="D974" s="4">
        <f t="shared" si="61"/>
        <v>44638</v>
      </c>
      <c r="E974" s="6">
        <v>41.119444444440902</v>
      </c>
      <c r="F974" s="6" t="str" cm="1">
        <f t="array" ref="F974">_xlfn.IFS(
     AND(HOUR(session_data[[#This Row],[Time]])&gt;5,HOUR(session_data[[#This Row],[Time]])&lt;12),"Morning",
     AND(HOUR(session_data[[#This Row],[Time]])&gt;=12,HOUR(session_data[[#This Row],[Time]])&lt;17),"Afternoon",
     AND(HOUR(session_data[[#This Row],[Time]])&gt;=17,HOUR(session_data[[#This Row],[Time]])&lt;21),"Evening",
     TRUE,"Night"
)</f>
        <v>Night</v>
      </c>
      <c r="G974" s="1">
        <f t="shared" si="62"/>
        <v>2022</v>
      </c>
      <c r="H974" s="1" t="str">
        <f t="shared" si="63"/>
        <v>Mar</v>
      </c>
      <c r="I974" s="1" t="str">
        <f t="shared" si="60"/>
        <v>Fri</v>
      </c>
      <c r="J974" s="1" t="s">
        <v>18</v>
      </c>
      <c r="K974" s="1" t="s">
        <v>29</v>
      </c>
      <c r="L974" s="1" t="s">
        <v>59</v>
      </c>
      <c r="M974" s="1" t="s">
        <v>19</v>
      </c>
      <c r="N974" s="1" t="s">
        <v>22</v>
      </c>
      <c r="O974" t="s">
        <v>15</v>
      </c>
    </row>
    <row r="975" spans="1:15" x14ac:dyDescent="0.25">
      <c r="A975" s="1" t="s">
        <v>1462</v>
      </c>
      <c r="B975" s="1" t="s">
        <v>1463</v>
      </c>
      <c r="C975" s="3">
        <v>44769.293749999997</v>
      </c>
      <c r="D975" s="4">
        <f t="shared" si="61"/>
        <v>44769</v>
      </c>
      <c r="E975" s="6">
        <v>41.161111111107601</v>
      </c>
      <c r="F975" s="6" t="str" cm="1">
        <f t="array" ref="F975">_xlfn.IFS(
     AND(HOUR(session_data[[#This Row],[Time]])&gt;5,HOUR(session_data[[#This Row],[Time]])&lt;12),"Morning",
     AND(HOUR(session_data[[#This Row],[Time]])&gt;=12,HOUR(session_data[[#This Row],[Time]])&lt;17),"Afternoon",
     AND(HOUR(session_data[[#This Row],[Time]])&gt;=17,HOUR(session_data[[#This Row],[Time]])&lt;21),"Evening",
     TRUE,"Night"
)</f>
        <v>Night</v>
      </c>
      <c r="G975" s="1">
        <f t="shared" si="62"/>
        <v>2022</v>
      </c>
      <c r="H975" s="1" t="str">
        <f t="shared" si="63"/>
        <v>Jul</v>
      </c>
      <c r="I975" s="1" t="str">
        <f t="shared" si="60"/>
        <v>Wed</v>
      </c>
      <c r="J975" s="1" t="s">
        <v>18</v>
      </c>
      <c r="K975" s="1" t="s">
        <v>29</v>
      </c>
      <c r="L975" s="1" t="s">
        <v>59</v>
      </c>
      <c r="M975" s="1" t="s">
        <v>19</v>
      </c>
      <c r="N975" s="1" t="s">
        <v>14</v>
      </c>
      <c r="O975" t="s">
        <v>45</v>
      </c>
    </row>
    <row r="976" spans="1:15" x14ac:dyDescent="0.25">
      <c r="A976" s="1" t="s">
        <v>1464</v>
      </c>
      <c r="B976" s="1" t="s">
        <v>1465</v>
      </c>
      <c r="C976" s="3">
        <v>45101.020138888889</v>
      </c>
      <c r="D976" s="4">
        <f t="shared" si="61"/>
        <v>45101</v>
      </c>
      <c r="E976" s="6">
        <v>41.202777777774202</v>
      </c>
      <c r="F976" s="6" t="str" cm="1">
        <f t="array" ref="F976">_xlfn.IFS(
     AND(HOUR(session_data[[#This Row],[Time]])&gt;5,HOUR(session_data[[#This Row],[Time]])&lt;12),"Morning",
     AND(HOUR(session_data[[#This Row],[Time]])&gt;=12,HOUR(session_data[[#This Row],[Time]])&lt;17),"Afternoon",
     AND(HOUR(session_data[[#This Row],[Time]])&gt;=17,HOUR(session_data[[#This Row],[Time]])&lt;21),"Evening",
     TRUE,"Night"
)</f>
        <v>Night</v>
      </c>
      <c r="G976" s="1">
        <f t="shared" si="62"/>
        <v>2023</v>
      </c>
      <c r="H976" s="1" t="str">
        <f t="shared" si="63"/>
        <v>Jun</v>
      </c>
      <c r="I976" s="1" t="str">
        <f t="shared" si="60"/>
        <v>Sat</v>
      </c>
      <c r="J976" s="1" t="s">
        <v>28</v>
      </c>
      <c r="K976" s="1" t="s">
        <v>29</v>
      </c>
      <c r="L976" s="1" t="s">
        <v>41</v>
      </c>
      <c r="M976" s="1" t="s">
        <v>40</v>
      </c>
      <c r="N976" s="1" t="s">
        <v>14</v>
      </c>
      <c r="O976" t="s">
        <v>45</v>
      </c>
    </row>
    <row r="977" spans="1:15" x14ac:dyDescent="0.25">
      <c r="A977" s="1" t="s">
        <v>1466</v>
      </c>
      <c r="B977" s="1" t="s">
        <v>1465</v>
      </c>
      <c r="C977" s="3">
        <v>45120.353472222225</v>
      </c>
      <c r="D977" s="4">
        <f t="shared" si="61"/>
        <v>45120</v>
      </c>
      <c r="E977" s="6">
        <v>41.244444444440902</v>
      </c>
      <c r="F977" s="6" t="str" cm="1">
        <f t="array" ref="F977">_xlfn.IFS(
     AND(HOUR(session_data[[#This Row],[Time]])&gt;5,HOUR(session_data[[#This Row],[Time]])&lt;12),"Morning",
     AND(HOUR(session_data[[#This Row],[Time]])&gt;=12,HOUR(session_data[[#This Row],[Time]])&lt;17),"Afternoon",
     AND(HOUR(session_data[[#This Row],[Time]])&gt;=17,HOUR(session_data[[#This Row],[Time]])&lt;21),"Evening",
     TRUE,"Night"
)</f>
        <v>Night</v>
      </c>
      <c r="G977" s="1">
        <f t="shared" si="62"/>
        <v>2023</v>
      </c>
      <c r="H977" s="1" t="str">
        <f t="shared" si="63"/>
        <v>Jul</v>
      </c>
      <c r="I977" s="1" t="str">
        <f t="shared" si="60"/>
        <v>Thu</v>
      </c>
      <c r="J977" s="1" t="s">
        <v>28</v>
      </c>
      <c r="K977" s="1" t="s">
        <v>29</v>
      </c>
      <c r="L977" s="1" t="s">
        <v>41</v>
      </c>
      <c r="M977" s="1" t="s">
        <v>40</v>
      </c>
      <c r="N977" s="1" t="s">
        <v>22</v>
      </c>
      <c r="O977" t="s">
        <v>45</v>
      </c>
    </row>
    <row r="978" spans="1:15" x14ac:dyDescent="0.25">
      <c r="A978" s="1" t="s">
        <v>1467</v>
      </c>
      <c r="B978" s="1" t="s">
        <v>1468</v>
      </c>
      <c r="C978" s="3">
        <v>44696.706944444442</v>
      </c>
      <c r="D978" s="4">
        <f t="shared" si="61"/>
        <v>44696</v>
      </c>
      <c r="E978" s="6">
        <v>41.286111111107601</v>
      </c>
      <c r="F978" s="6" t="str" cm="1">
        <f t="array" ref="F978">_xlfn.IFS(
     AND(HOUR(session_data[[#This Row],[Time]])&gt;5,HOUR(session_data[[#This Row],[Time]])&lt;12),"Morning",
     AND(HOUR(session_data[[#This Row],[Time]])&gt;=12,HOUR(session_data[[#This Row],[Time]])&lt;17),"Afternoon",
     AND(HOUR(session_data[[#This Row],[Time]])&gt;=17,HOUR(session_data[[#This Row],[Time]])&lt;21),"Evening",
     TRUE,"Night"
)</f>
        <v>Morning</v>
      </c>
      <c r="G978" s="1">
        <f t="shared" si="62"/>
        <v>2022</v>
      </c>
      <c r="H978" s="1" t="str">
        <f t="shared" si="63"/>
        <v>May</v>
      </c>
      <c r="I978" s="1" t="str">
        <f t="shared" si="60"/>
        <v>Sun</v>
      </c>
      <c r="J978" s="1" t="s">
        <v>66</v>
      </c>
      <c r="K978" s="1" t="s">
        <v>29</v>
      </c>
      <c r="L978" s="1" t="s">
        <v>119</v>
      </c>
      <c r="M978" s="1" t="s">
        <v>40</v>
      </c>
      <c r="N978" s="1" t="s">
        <v>14</v>
      </c>
      <c r="O978" t="s">
        <v>45</v>
      </c>
    </row>
    <row r="979" spans="1:15" x14ac:dyDescent="0.25">
      <c r="A979" s="1" t="s">
        <v>1469</v>
      </c>
      <c r="B979" s="1" t="s">
        <v>1470</v>
      </c>
      <c r="C979" s="3">
        <v>44915.387499999997</v>
      </c>
      <c r="D979" s="4">
        <f t="shared" si="61"/>
        <v>44915</v>
      </c>
      <c r="E979" s="6">
        <v>41.327777777774202</v>
      </c>
      <c r="F979" s="6" t="str" cm="1">
        <f t="array" ref="F979">_xlfn.IFS(
     AND(HOUR(session_data[[#This Row],[Time]])&gt;5,HOUR(session_data[[#This Row],[Time]])&lt;12),"Morning",
     AND(HOUR(session_data[[#This Row],[Time]])&gt;=12,HOUR(session_data[[#This Row],[Time]])&lt;17),"Afternoon",
     AND(HOUR(session_data[[#This Row],[Time]])&gt;=17,HOUR(session_data[[#This Row],[Time]])&lt;21),"Evening",
     TRUE,"Night"
)</f>
        <v>Morning</v>
      </c>
      <c r="G979" s="1">
        <f t="shared" si="62"/>
        <v>2022</v>
      </c>
      <c r="H979" s="1" t="str">
        <f t="shared" si="63"/>
        <v>Dec</v>
      </c>
      <c r="I979" s="1" t="str">
        <f t="shared" si="60"/>
        <v>Tue</v>
      </c>
      <c r="J979" s="1" t="s">
        <v>18</v>
      </c>
      <c r="K979" s="1" t="s">
        <v>29</v>
      </c>
      <c r="L979" s="1" t="s">
        <v>79</v>
      </c>
      <c r="M979" s="1" t="s">
        <v>40</v>
      </c>
      <c r="N979" s="1" t="s">
        <v>14</v>
      </c>
      <c r="O979" t="s">
        <v>15</v>
      </c>
    </row>
    <row r="980" spans="1:15" x14ac:dyDescent="0.25">
      <c r="A980" s="1" t="s">
        <v>1471</v>
      </c>
      <c r="B980" s="1" t="s">
        <v>1472</v>
      </c>
      <c r="C980" s="3">
        <v>45034.972916666666</v>
      </c>
      <c r="D980" s="4">
        <f t="shared" si="61"/>
        <v>45034</v>
      </c>
      <c r="E980" s="6">
        <v>41.369444444440902</v>
      </c>
      <c r="F980" s="6" t="str" cm="1">
        <f t="array" ref="F980">_xlfn.IFS(
     AND(HOUR(session_data[[#This Row],[Time]])&gt;5,HOUR(session_data[[#This Row],[Time]])&lt;12),"Morning",
     AND(HOUR(session_data[[#This Row],[Time]])&gt;=12,HOUR(session_data[[#This Row],[Time]])&lt;17),"Afternoon",
     AND(HOUR(session_data[[#This Row],[Time]])&gt;=17,HOUR(session_data[[#This Row],[Time]])&lt;21),"Evening",
     TRUE,"Night"
)</f>
        <v>Morning</v>
      </c>
      <c r="G980" s="1">
        <f t="shared" si="62"/>
        <v>2023</v>
      </c>
      <c r="H980" s="1" t="str">
        <f t="shared" si="63"/>
        <v>Apr</v>
      </c>
      <c r="I980" s="1" t="str">
        <f t="shared" si="60"/>
        <v>Tue</v>
      </c>
      <c r="J980" s="1" t="s">
        <v>66</v>
      </c>
      <c r="K980" s="1" t="s">
        <v>12</v>
      </c>
      <c r="L980" s="1" t="s">
        <v>41</v>
      </c>
      <c r="M980" s="1" t="s">
        <v>40</v>
      </c>
      <c r="N980" s="1" t="s">
        <v>14</v>
      </c>
      <c r="O980" t="s">
        <v>15</v>
      </c>
    </row>
    <row r="981" spans="1:15" x14ac:dyDescent="0.25">
      <c r="A981" s="1" t="s">
        <v>1473</v>
      </c>
      <c r="B981" s="1" t="s">
        <v>1474</v>
      </c>
      <c r="C981" s="2">
        <v>44898.410416666666</v>
      </c>
      <c r="D981" s="4">
        <f t="shared" si="61"/>
        <v>44898</v>
      </c>
      <c r="E981" s="6">
        <v>41.411111111107601</v>
      </c>
      <c r="F981" s="6" t="str" cm="1">
        <f t="array" ref="F981">_xlfn.IFS(
     AND(HOUR(session_data[[#This Row],[Time]])&gt;5,HOUR(session_data[[#This Row],[Time]])&lt;12),"Morning",
     AND(HOUR(session_data[[#This Row],[Time]])&gt;=12,HOUR(session_data[[#This Row],[Time]])&lt;17),"Afternoon",
     AND(HOUR(session_data[[#This Row],[Time]])&gt;=17,HOUR(session_data[[#This Row],[Time]])&lt;21),"Evening",
     TRUE,"Night"
)</f>
        <v>Morning</v>
      </c>
      <c r="G981" s="1">
        <f t="shared" si="62"/>
        <v>2022</v>
      </c>
      <c r="H981" s="1" t="str">
        <f t="shared" si="63"/>
        <v>Dec</v>
      </c>
      <c r="I981" s="1" t="str">
        <f t="shared" si="60"/>
        <v>Sat</v>
      </c>
      <c r="J981" s="1" t="s">
        <v>18</v>
      </c>
      <c r="K981" s="1" t="s">
        <v>12</v>
      </c>
      <c r="L981" s="1" t="s">
        <v>20</v>
      </c>
      <c r="M981" s="1" t="s">
        <v>19</v>
      </c>
      <c r="N981" s="1" t="s">
        <v>14</v>
      </c>
      <c r="O981" t="s">
        <v>45</v>
      </c>
    </row>
    <row r="982" spans="1:15" x14ac:dyDescent="0.25">
      <c r="A982" s="1" t="s">
        <v>1475</v>
      </c>
      <c r="B982" s="1" t="s">
        <v>1474</v>
      </c>
      <c r="C982" s="3">
        <v>44668.868750000001</v>
      </c>
      <c r="D982" s="4">
        <f t="shared" si="61"/>
        <v>44668</v>
      </c>
      <c r="E982" s="6">
        <v>41.452777777774202</v>
      </c>
      <c r="F982" s="6" t="str" cm="1">
        <f t="array" ref="F982">_xlfn.IFS(
     AND(HOUR(session_data[[#This Row],[Time]])&gt;5,HOUR(session_data[[#This Row],[Time]])&lt;12),"Morning",
     AND(HOUR(session_data[[#This Row],[Time]])&gt;=12,HOUR(session_data[[#This Row],[Time]])&lt;17),"Afternoon",
     AND(HOUR(session_data[[#This Row],[Time]])&gt;=17,HOUR(session_data[[#This Row],[Time]])&lt;21),"Evening",
     TRUE,"Night"
)</f>
        <v>Morning</v>
      </c>
      <c r="G982" s="1">
        <f t="shared" si="62"/>
        <v>2022</v>
      </c>
      <c r="H982" s="1" t="str">
        <f t="shared" si="63"/>
        <v>Apr</v>
      </c>
      <c r="I982" s="1" t="str">
        <f t="shared" si="60"/>
        <v>Sun</v>
      </c>
      <c r="J982" s="1" t="s">
        <v>18</v>
      </c>
      <c r="K982" s="1" t="s">
        <v>12</v>
      </c>
      <c r="L982" s="1" t="s">
        <v>20</v>
      </c>
      <c r="M982" s="1" t="s">
        <v>19</v>
      </c>
      <c r="N982" s="1" t="s">
        <v>22</v>
      </c>
      <c r="O982" t="s">
        <v>45</v>
      </c>
    </row>
    <row r="983" spans="1:15" x14ac:dyDescent="0.25">
      <c r="A983" s="1" t="s">
        <v>1476</v>
      </c>
      <c r="B983" s="1" t="s">
        <v>1477</v>
      </c>
      <c r="C983" s="2">
        <v>44690.511805555558</v>
      </c>
      <c r="D983" s="4">
        <f t="shared" si="61"/>
        <v>44690</v>
      </c>
      <c r="E983" s="6">
        <v>41.494444444440902</v>
      </c>
      <c r="F983" s="6" t="str" cm="1">
        <f t="array" ref="F983">_xlfn.IFS(
     AND(HOUR(session_data[[#This Row],[Time]])&gt;5,HOUR(session_data[[#This Row],[Time]])&lt;12),"Morning",
     AND(HOUR(session_data[[#This Row],[Time]])&gt;=12,HOUR(session_data[[#This Row],[Time]])&lt;17),"Afternoon",
     AND(HOUR(session_data[[#This Row],[Time]])&gt;=17,HOUR(session_data[[#This Row],[Time]])&lt;21),"Evening",
     TRUE,"Night"
)</f>
        <v>Morning</v>
      </c>
      <c r="G983" s="1">
        <f t="shared" si="62"/>
        <v>2022</v>
      </c>
      <c r="H983" s="1" t="str">
        <f t="shared" si="63"/>
        <v>May</v>
      </c>
      <c r="I983" s="1" t="str">
        <f t="shared" si="60"/>
        <v>Mon</v>
      </c>
      <c r="J983" s="1" t="s">
        <v>18</v>
      </c>
      <c r="K983" s="1" t="s">
        <v>12</v>
      </c>
      <c r="L983" s="1" t="s">
        <v>59</v>
      </c>
      <c r="M983" s="1" t="s">
        <v>19</v>
      </c>
      <c r="N983" s="1" t="s">
        <v>14</v>
      </c>
      <c r="O983" t="s">
        <v>15</v>
      </c>
    </row>
    <row r="984" spans="1:15" x14ac:dyDescent="0.25">
      <c r="A984" s="1" t="s">
        <v>1478</v>
      </c>
      <c r="B984" s="1" t="s">
        <v>1477</v>
      </c>
      <c r="C984" s="3">
        <v>44830.595138888886</v>
      </c>
      <c r="D984" s="4">
        <f t="shared" si="61"/>
        <v>44830</v>
      </c>
      <c r="E984" s="6">
        <v>41.536111111107601</v>
      </c>
      <c r="F984" s="6" t="str" cm="1">
        <f t="array" ref="F984">_xlfn.IFS(
     AND(HOUR(session_data[[#This Row],[Time]])&gt;5,HOUR(session_data[[#This Row],[Time]])&lt;12),"Morning",
     AND(HOUR(session_data[[#This Row],[Time]])&gt;=12,HOUR(session_data[[#This Row],[Time]])&lt;17),"Afternoon",
     AND(HOUR(session_data[[#This Row],[Time]])&gt;=17,HOUR(session_data[[#This Row],[Time]])&lt;21),"Evening",
     TRUE,"Night"
)</f>
        <v>Afternoon</v>
      </c>
      <c r="G984" s="1">
        <f t="shared" si="62"/>
        <v>2022</v>
      </c>
      <c r="H984" s="1" t="str">
        <f t="shared" si="63"/>
        <v>Sep</v>
      </c>
      <c r="I984" s="1" t="str">
        <f t="shared" si="60"/>
        <v>Mon</v>
      </c>
      <c r="J984" s="1" t="s">
        <v>18</v>
      </c>
      <c r="K984" s="1" t="s">
        <v>12</v>
      </c>
      <c r="L984" s="1" t="s">
        <v>59</v>
      </c>
      <c r="M984" s="1" t="s">
        <v>19</v>
      </c>
      <c r="N984" s="1" t="s">
        <v>22</v>
      </c>
      <c r="O984" t="s">
        <v>15</v>
      </c>
    </row>
    <row r="985" spans="1:15" x14ac:dyDescent="0.25">
      <c r="A985" s="1" t="s">
        <v>1479</v>
      </c>
      <c r="B985" s="1" t="s">
        <v>1477</v>
      </c>
      <c r="C985" s="3">
        <v>44854.095138888886</v>
      </c>
      <c r="D985" s="4">
        <f t="shared" si="61"/>
        <v>44854</v>
      </c>
      <c r="E985" s="6">
        <v>41.577777777774202</v>
      </c>
      <c r="F985" s="6" t="str" cm="1">
        <f t="array" ref="F985">_xlfn.IFS(
     AND(HOUR(session_data[[#This Row],[Time]])&gt;5,HOUR(session_data[[#This Row],[Time]])&lt;12),"Morning",
     AND(HOUR(session_data[[#This Row],[Time]])&gt;=12,HOUR(session_data[[#This Row],[Time]])&lt;17),"Afternoon",
     AND(HOUR(session_data[[#This Row],[Time]])&gt;=17,HOUR(session_data[[#This Row],[Time]])&lt;21),"Evening",
     TRUE,"Night"
)</f>
        <v>Afternoon</v>
      </c>
      <c r="G985" s="1">
        <f t="shared" si="62"/>
        <v>2022</v>
      </c>
      <c r="H985" s="1" t="str">
        <f t="shared" si="63"/>
        <v>Oct</v>
      </c>
      <c r="I985" s="1" t="str">
        <f t="shared" si="60"/>
        <v>Thu</v>
      </c>
      <c r="J985" s="1" t="s">
        <v>18</v>
      </c>
      <c r="K985" s="1" t="s">
        <v>12</v>
      </c>
      <c r="L985" s="1" t="s">
        <v>59</v>
      </c>
      <c r="M985" s="1" t="s">
        <v>19</v>
      </c>
      <c r="N985" s="1" t="s">
        <v>22</v>
      </c>
      <c r="O985" t="s">
        <v>15</v>
      </c>
    </row>
    <row r="986" spans="1:15" x14ac:dyDescent="0.25">
      <c r="A986" s="1" t="s">
        <v>1480</v>
      </c>
      <c r="B986" s="1" t="s">
        <v>1481</v>
      </c>
      <c r="C986" s="2">
        <v>45271.063888888886</v>
      </c>
      <c r="D986" s="4">
        <f t="shared" si="61"/>
        <v>45271</v>
      </c>
      <c r="E986" s="6">
        <v>41.619444444440902</v>
      </c>
      <c r="F986" s="6" t="str" cm="1">
        <f t="array" ref="F986">_xlfn.IFS(
     AND(HOUR(session_data[[#This Row],[Time]])&gt;5,HOUR(session_data[[#This Row],[Time]])&lt;12),"Morning",
     AND(HOUR(session_data[[#This Row],[Time]])&gt;=12,HOUR(session_data[[#This Row],[Time]])&lt;17),"Afternoon",
     AND(HOUR(session_data[[#This Row],[Time]])&gt;=17,HOUR(session_data[[#This Row],[Time]])&lt;21),"Evening",
     TRUE,"Night"
)</f>
        <v>Afternoon</v>
      </c>
      <c r="G986" s="1">
        <f t="shared" si="62"/>
        <v>2023</v>
      </c>
      <c r="H986" s="1" t="str">
        <f t="shared" si="63"/>
        <v>Dec</v>
      </c>
      <c r="I986" s="1" t="str">
        <f t="shared" si="60"/>
        <v>Mon</v>
      </c>
      <c r="J986" s="1" t="s">
        <v>44</v>
      </c>
      <c r="K986" s="1" t="s">
        <v>29</v>
      </c>
      <c r="L986" s="1" t="s">
        <v>13</v>
      </c>
      <c r="M986" s="1" t="s">
        <v>32</v>
      </c>
      <c r="N986" s="1" t="s">
        <v>14</v>
      </c>
      <c r="O986" t="s">
        <v>45</v>
      </c>
    </row>
    <row r="987" spans="1:15" x14ac:dyDescent="0.25">
      <c r="A987" s="1" t="s">
        <v>1482</v>
      </c>
      <c r="B987" s="1" t="s">
        <v>1481</v>
      </c>
      <c r="C987" s="2">
        <v>45272.313888888886</v>
      </c>
      <c r="D987" s="4">
        <f t="shared" si="61"/>
        <v>45272</v>
      </c>
      <c r="E987" s="6">
        <v>41.661111111107601</v>
      </c>
      <c r="F987" s="6" t="str" cm="1">
        <f t="array" ref="F987">_xlfn.IFS(
     AND(HOUR(session_data[[#This Row],[Time]])&gt;5,HOUR(session_data[[#This Row],[Time]])&lt;12),"Morning",
     AND(HOUR(session_data[[#This Row],[Time]])&gt;=12,HOUR(session_data[[#This Row],[Time]])&lt;17),"Afternoon",
     AND(HOUR(session_data[[#This Row],[Time]])&gt;=17,HOUR(session_data[[#This Row],[Time]])&lt;21),"Evening",
     TRUE,"Night"
)</f>
        <v>Afternoon</v>
      </c>
      <c r="G987" s="1">
        <f t="shared" si="62"/>
        <v>2023</v>
      </c>
      <c r="H987" s="1" t="str">
        <f t="shared" si="63"/>
        <v>Dec</v>
      </c>
      <c r="I987" s="1" t="str">
        <f t="shared" si="60"/>
        <v>Tue</v>
      </c>
      <c r="J987" s="1" t="s">
        <v>44</v>
      </c>
      <c r="K987" s="1" t="s">
        <v>29</v>
      </c>
      <c r="L987" s="1" t="s">
        <v>13</v>
      </c>
      <c r="M987" s="1" t="s">
        <v>32</v>
      </c>
      <c r="N987" s="1" t="s">
        <v>22</v>
      </c>
      <c r="O987" t="s">
        <v>45</v>
      </c>
    </row>
    <row r="988" spans="1:15" x14ac:dyDescent="0.25">
      <c r="A988" s="1" t="s">
        <v>1483</v>
      </c>
      <c r="B988" s="1" t="s">
        <v>1484</v>
      </c>
      <c r="C988" s="2">
        <v>44687.224305555559</v>
      </c>
      <c r="D988" s="4">
        <f t="shared" si="61"/>
        <v>44687</v>
      </c>
      <c r="E988" s="6">
        <v>41.702777777774202</v>
      </c>
      <c r="F988" s="6" t="str" cm="1">
        <f t="array" ref="F988">_xlfn.IFS(
     AND(HOUR(session_data[[#This Row],[Time]])&gt;5,HOUR(session_data[[#This Row],[Time]])&lt;12),"Morning",
     AND(HOUR(session_data[[#This Row],[Time]])&gt;=12,HOUR(session_data[[#This Row],[Time]])&lt;17),"Afternoon",
     AND(HOUR(session_data[[#This Row],[Time]])&gt;=17,HOUR(session_data[[#This Row],[Time]])&lt;21),"Evening",
     TRUE,"Night"
)</f>
        <v>Afternoon</v>
      </c>
      <c r="G988" s="1">
        <f t="shared" si="62"/>
        <v>2022</v>
      </c>
      <c r="H988" s="1" t="str">
        <f t="shared" si="63"/>
        <v>May</v>
      </c>
      <c r="I988" s="1" t="str">
        <f t="shared" si="60"/>
        <v>Fri</v>
      </c>
      <c r="J988" s="1" t="s">
        <v>11</v>
      </c>
      <c r="K988" s="1" t="s">
        <v>29</v>
      </c>
      <c r="L988" s="1" t="s">
        <v>119</v>
      </c>
      <c r="M988" s="1" t="s">
        <v>40</v>
      </c>
      <c r="N988" s="1" t="s">
        <v>14</v>
      </c>
      <c r="O988" t="s">
        <v>45</v>
      </c>
    </row>
    <row r="989" spans="1:15" x14ac:dyDescent="0.25">
      <c r="A989" s="1" t="s">
        <v>1485</v>
      </c>
      <c r="B989" s="1" t="s">
        <v>1484</v>
      </c>
      <c r="C989" s="3">
        <v>44726.724305555559</v>
      </c>
      <c r="D989" s="4">
        <f t="shared" si="61"/>
        <v>44726</v>
      </c>
      <c r="E989" s="6">
        <v>41.744444444440902</v>
      </c>
      <c r="F989" s="6" t="str" cm="1">
        <f t="array" ref="F989">_xlfn.IFS(
     AND(HOUR(session_data[[#This Row],[Time]])&gt;5,HOUR(session_data[[#This Row],[Time]])&lt;12),"Morning",
     AND(HOUR(session_data[[#This Row],[Time]])&gt;=12,HOUR(session_data[[#This Row],[Time]])&lt;17),"Afternoon",
     AND(HOUR(session_data[[#This Row],[Time]])&gt;=17,HOUR(session_data[[#This Row],[Time]])&lt;21),"Evening",
     TRUE,"Night"
)</f>
        <v>Evening</v>
      </c>
      <c r="G989" s="1">
        <f t="shared" si="62"/>
        <v>2022</v>
      </c>
      <c r="H989" s="1" t="str">
        <f t="shared" si="63"/>
        <v>Jun</v>
      </c>
      <c r="I989" s="1" t="str">
        <f t="shared" si="60"/>
        <v>Tue</v>
      </c>
      <c r="J989" s="1" t="s">
        <v>11</v>
      </c>
      <c r="K989" s="1" t="s">
        <v>29</v>
      </c>
      <c r="L989" s="1" t="s">
        <v>119</v>
      </c>
      <c r="M989" s="1" t="s">
        <v>40</v>
      </c>
      <c r="N989" s="1" t="s">
        <v>22</v>
      </c>
      <c r="O989" t="s">
        <v>45</v>
      </c>
    </row>
    <row r="990" spans="1:15" x14ac:dyDescent="0.25">
      <c r="A990" s="1" t="s">
        <v>1486</v>
      </c>
      <c r="B990" s="1" t="s">
        <v>1484</v>
      </c>
      <c r="C990" s="2">
        <v>44902.307638888888</v>
      </c>
      <c r="D990" s="4">
        <f t="shared" si="61"/>
        <v>44902</v>
      </c>
      <c r="E990" s="6">
        <v>41.786111111107601</v>
      </c>
      <c r="F990" s="6" t="str" cm="1">
        <f t="array" ref="F990">_xlfn.IFS(
     AND(HOUR(session_data[[#This Row],[Time]])&gt;5,HOUR(session_data[[#This Row],[Time]])&lt;12),"Morning",
     AND(HOUR(session_data[[#This Row],[Time]])&gt;=12,HOUR(session_data[[#This Row],[Time]])&lt;17),"Afternoon",
     AND(HOUR(session_data[[#This Row],[Time]])&gt;=17,HOUR(session_data[[#This Row],[Time]])&lt;21),"Evening",
     TRUE,"Night"
)</f>
        <v>Evening</v>
      </c>
      <c r="G990" s="1">
        <f t="shared" si="62"/>
        <v>2022</v>
      </c>
      <c r="H990" s="1" t="str">
        <f t="shared" si="63"/>
        <v>Dec</v>
      </c>
      <c r="I990" s="1" t="str">
        <f t="shared" si="60"/>
        <v>Wed</v>
      </c>
      <c r="J990" s="1" t="s">
        <v>11</v>
      </c>
      <c r="K990" s="1" t="s">
        <v>29</v>
      </c>
      <c r="L990" s="1" t="s">
        <v>119</v>
      </c>
      <c r="M990" s="1" t="s">
        <v>40</v>
      </c>
      <c r="N990" s="1" t="s">
        <v>22</v>
      </c>
      <c r="O990" t="s">
        <v>45</v>
      </c>
    </row>
    <row r="991" spans="1:15" x14ac:dyDescent="0.25">
      <c r="A991" s="1" t="s">
        <v>1487</v>
      </c>
      <c r="B991" s="1" t="s">
        <v>1484</v>
      </c>
      <c r="C991" s="2">
        <v>44689.682638888888</v>
      </c>
      <c r="D991" s="4">
        <f t="shared" si="61"/>
        <v>44689</v>
      </c>
      <c r="E991" s="6">
        <v>41.827777777774202</v>
      </c>
      <c r="F991" s="6" t="str" cm="1">
        <f t="array" ref="F991">_xlfn.IFS(
     AND(HOUR(session_data[[#This Row],[Time]])&gt;5,HOUR(session_data[[#This Row],[Time]])&lt;12),"Morning",
     AND(HOUR(session_data[[#This Row],[Time]])&gt;=12,HOUR(session_data[[#This Row],[Time]])&lt;17),"Afternoon",
     AND(HOUR(session_data[[#This Row],[Time]])&gt;=17,HOUR(session_data[[#This Row],[Time]])&lt;21),"Evening",
     TRUE,"Night"
)</f>
        <v>Evening</v>
      </c>
      <c r="G991" s="1">
        <f t="shared" si="62"/>
        <v>2022</v>
      </c>
      <c r="H991" s="1" t="str">
        <f t="shared" si="63"/>
        <v>May</v>
      </c>
      <c r="I991" s="1" t="str">
        <f t="shared" si="60"/>
        <v>Sun</v>
      </c>
      <c r="J991" s="1" t="s">
        <v>11</v>
      </c>
      <c r="K991" s="1" t="s">
        <v>29</v>
      </c>
      <c r="L991" s="1" t="s">
        <v>119</v>
      </c>
      <c r="M991" s="1" t="s">
        <v>40</v>
      </c>
      <c r="N991" s="1" t="s">
        <v>22</v>
      </c>
      <c r="O991" t="s">
        <v>45</v>
      </c>
    </row>
    <row r="992" spans="1:15" x14ac:dyDescent="0.25">
      <c r="A992" s="1" t="s">
        <v>1488</v>
      </c>
      <c r="B992" s="1" t="s">
        <v>1484</v>
      </c>
      <c r="C992" s="3">
        <v>44799.515972222223</v>
      </c>
      <c r="D992" s="4">
        <f t="shared" si="61"/>
        <v>44799</v>
      </c>
      <c r="E992" s="6">
        <v>41.869444444440902</v>
      </c>
      <c r="F992" s="6" t="str" cm="1">
        <f t="array" ref="F992">_xlfn.IFS(
     AND(HOUR(session_data[[#This Row],[Time]])&gt;5,HOUR(session_data[[#This Row],[Time]])&lt;12),"Morning",
     AND(HOUR(session_data[[#This Row],[Time]])&gt;=12,HOUR(session_data[[#This Row],[Time]])&lt;17),"Afternoon",
     AND(HOUR(session_data[[#This Row],[Time]])&gt;=17,HOUR(session_data[[#This Row],[Time]])&lt;21),"Evening",
     TRUE,"Night"
)</f>
        <v>Evening</v>
      </c>
      <c r="G992" s="1">
        <f t="shared" si="62"/>
        <v>2022</v>
      </c>
      <c r="H992" s="1" t="str">
        <f t="shared" si="63"/>
        <v>Aug</v>
      </c>
      <c r="I992" s="1" t="str">
        <f t="shared" si="60"/>
        <v>Fri</v>
      </c>
      <c r="J992" s="1" t="s">
        <v>11</v>
      </c>
      <c r="K992" s="1" t="s">
        <v>29</v>
      </c>
      <c r="L992" s="1" t="s">
        <v>119</v>
      </c>
      <c r="M992" s="1" t="s">
        <v>40</v>
      </c>
      <c r="N992" s="1" t="s">
        <v>22</v>
      </c>
      <c r="O992" t="s">
        <v>45</v>
      </c>
    </row>
    <row r="993" spans="1:15" x14ac:dyDescent="0.25">
      <c r="A993" s="1" t="s">
        <v>1489</v>
      </c>
      <c r="B993" s="1" t="s">
        <v>1490</v>
      </c>
      <c r="C993" s="3">
        <v>44711.095833333333</v>
      </c>
      <c r="D993" s="4">
        <f t="shared" si="61"/>
        <v>44711</v>
      </c>
      <c r="E993" s="6">
        <v>41.911111111107601</v>
      </c>
      <c r="F993" s="6" t="str" cm="1">
        <f t="array" ref="F993">_xlfn.IFS(
     AND(HOUR(session_data[[#This Row],[Time]])&gt;5,HOUR(session_data[[#This Row],[Time]])&lt;12),"Morning",
     AND(HOUR(session_data[[#This Row],[Time]])&gt;=12,HOUR(session_data[[#This Row],[Time]])&lt;17),"Afternoon",
     AND(HOUR(session_data[[#This Row],[Time]])&gt;=17,HOUR(session_data[[#This Row],[Time]])&lt;21),"Evening",
     TRUE,"Night"
)</f>
        <v>Night</v>
      </c>
      <c r="G993" s="1">
        <f t="shared" si="62"/>
        <v>2022</v>
      </c>
      <c r="H993" s="1" t="str">
        <f t="shared" si="63"/>
        <v>May</v>
      </c>
      <c r="I993" s="1" t="str">
        <f t="shared" si="60"/>
        <v>Mon</v>
      </c>
      <c r="J993" s="1" t="s">
        <v>11</v>
      </c>
      <c r="K993" s="1" t="s">
        <v>12</v>
      </c>
      <c r="L993" s="1" t="s">
        <v>30</v>
      </c>
      <c r="M993" s="1" t="s">
        <v>32</v>
      </c>
      <c r="N993" s="1" t="s">
        <v>14</v>
      </c>
      <c r="O993" t="s">
        <v>45</v>
      </c>
    </row>
    <row r="994" spans="1:15" x14ac:dyDescent="0.25">
      <c r="A994" s="1" t="s">
        <v>1491</v>
      </c>
      <c r="B994" s="1" t="s">
        <v>1492</v>
      </c>
      <c r="C994" s="2">
        <v>44809.4375</v>
      </c>
      <c r="D994" s="4">
        <f t="shared" si="61"/>
        <v>44809</v>
      </c>
      <c r="E994" s="6">
        <v>41.952777777774202</v>
      </c>
      <c r="F994" s="6" t="str" cm="1">
        <f t="array" ref="F994">_xlfn.IFS(
     AND(HOUR(session_data[[#This Row],[Time]])&gt;5,HOUR(session_data[[#This Row],[Time]])&lt;12),"Morning",
     AND(HOUR(session_data[[#This Row],[Time]])&gt;=12,HOUR(session_data[[#This Row],[Time]])&lt;17),"Afternoon",
     AND(HOUR(session_data[[#This Row],[Time]])&gt;=17,HOUR(session_data[[#This Row],[Time]])&lt;21),"Evening",
     TRUE,"Night"
)</f>
        <v>Night</v>
      </c>
      <c r="G994" s="1">
        <f t="shared" si="62"/>
        <v>2022</v>
      </c>
      <c r="H994" s="1" t="str">
        <f t="shared" si="63"/>
        <v>Sep</v>
      </c>
      <c r="I994" s="1" t="str">
        <f t="shared" si="60"/>
        <v>Mon</v>
      </c>
      <c r="J994" s="1" t="s">
        <v>18</v>
      </c>
      <c r="K994" s="1" t="s">
        <v>12</v>
      </c>
      <c r="L994" s="1" t="s">
        <v>94</v>
      </c>
      <c r="M994" s="1" t="s">
        <v>32</v>
      </c>
      <c r="N994" s="1" t="s">
        <v>14</v>
      </c>
      <c r="O994" t="s">
        <v>45</v>
      </c>
    </row>
    <row r="995" spans="1:15" x14ac:dyDescent="0.25">
      <c r="A995" s="1" t="s">
        <v>1493</v>
      </c>
      <c r="B995" s="1" t="s">
        <v>1494</v>
      </c>
      <c r="C995" s="3">
        <v>44772.004861111112</v>
      </c>
      <c r="D995" s="4">
        <f t="shared" si="61"/>
        <v>44772</v>
      </c>
      <c r="E995" s="6">
        <v>41.994444444440902</v>
      </c>
      <c r="F995" s="6" t="str" cm="1">
        <f t="array" ref="F995">_xlfn.IFS(
     AND(HOUR(session_data[[#This Row],[Time]])&gt;5,HOUR(session_data[[#This Row],[Time]])&lt;12),"Morning",
     AND(HOUR(session_data[[#This Row],[Time]])&gt;=12,HOUR(session_data[[#This Row],[Time]])&lt;17),"Afternoon",
     AND(HOUR(session_data[[#This Row],[Time]])&gt;=17,HOUR(session_data[[#This Row],[Time]])&lt;21),"Evening",
     TRUE,"Night"
)</f>
        <v>Night</v>
      </c>
      <c r="G995" s="1">
        <f t="shared" si="62"/>
        <v>2022</v>
      </c>
      <c r="H995" s="1" t="str">
        <f t="shared" si="63"/>
        <v>Jul</v>
      </c>
      <c r="I995" s="1" t="str">
        <f t="shared" si="60"/>
        <v>Sat</v>
      </c>
      <c r="J995" s="1" t="s">
        <v>11</v>
      </c>
      <c r="K995" s="1" t="s">
        <v>12</v>
      </c>
      <c r="L995" s="1" t="s">
        <v>50</v>
      </c>
      <c r="M995" s="1" t="s">
        <v>19</v>
      </c>
      <c r="N995" s="1" t="s">
        <v>14</v>
      </c>
      <c r="O995" t="s">
        <v>45</v>
      </c>
    </row>
    <row r="996" spans="1:15" x14ac:dyDescent="0.25">
      <c r="A996" s="1" t="s">
        <v>1495</v>
      </c>
      <c r="B996" s="1" t="s">
        <v>1494</v>
      </c>
      <c r="C996" s="3">
        <v>44799.463194444441</v>
      </c>
      <c r="D996" s="4">
        <f t="shared" si="61"/>
        <v>44799</v>
      </c>
      <c r="E996" s="6">
        <v>42.036111111107601</v>
      </c>
      <c r="F996" s="6" t="str" cm="1">
        <f t="array" ref="F996">_xlfn.IFS(
     AND(HOUR(session_data[[#This Row],[Time]])&gt;5,HOUR(session_data[[#This Row],[Time]])&lt;12),"Morning",
     AND(HOUR(session_data[[#This Row],[Time]])&gt;=12,HOUR(session_data[[#This Row],[Time]])&lt;17),"Afternoon",
     AND(HOUR(session_data[[#This Row],[Time]])&gt;=17,HOUR(session_data[[#This Row],[Time]])&lt;21),"Evening",
     TRUE,"Night"
)</f>
        <v>Night</v>
      </c>
      <c r="G996" s="1">
        <f t="shared" si="62"/>
        <v>2022</v>
      </c>
      <c r="H996" s="1" t="str">
        <f t="shared" si="63"/>
        <v>Aug</v>
      </c>
      <c r="I996" s="1" t="str">
        <f t="shared" si="60"/>
        <v>Fri</v>
      </c>
      <c r="J996" s="1" t="s">
        <v>11</v>
      </c>
      <c r="K996" s="1" t="s">
        <v>12</v>
      </c>
      <c r="L996" s="1" t="s">
        <v>50</v>
      </c>
      <c r="M996" s="1" t="s">
        <v>19</v>
      </c>
      <c r="N996" s="1" t="s">
        <v>22</v>
      </c>
      <c r="O996" t="s">
        <v>45</v>
      </c>
    </row>
    <row r="997" spans="1:15" x14ac:dyDescent="0.25">
      <c r="A997" s="1" t="s">
        <v>1496</v>
      </c>
      <c r="B997" s="1" t="s">
        <v>1494</v>
      </c>
      <c r="C997" s="3">
        <v>44827.713194444441</v>
      </c>
      <c r="D997" s="4">
        <f t="shared" si="61"/>
        <v>44827</v>
      </c>
      <c r="E997" s="6">
        <v>42.077777777774202</v>
      </c>
      <c r="F997" s="6" t="str" cm="1">
        <f t="array" ref="F997">_xlfn.IFS(
     AND(HOUR(session_data[[#This Row],[Time]])&gt;5,HOUR(session_data[[#This Row],[Time]])&lt;12),"Morning",
     AND(HOUR(session_data[[#This Row],[Time]])&gt;=12,HOUR(session_data[[#This Row],[Time]])&lt;17),"Afternoon",
     AND(HOUR(session_data[[#This Row],[Time]])&gt;=17,HOUR(session_data[[#This Row],[Time]])&lt;21),"Evening",
     TRUE,"Night"
)</f>
        <v>Night</v>
      </c>
      <c r="G997" s="1">
        <f t="shared" si="62"/>
        <v>2022</v>
      </c>
      <c r="H997" s="1" t="str">
        <f t="shared" si="63"/>
        <v>Sep</v>
      </c>
      <c r="I997" s="1" t="str">
        <f t="shared" si="60"/>
        <v>Fri</v>
      </c>
      <c r="J997" s="1" t="s">
        <v>11</v>
      </c>
      <c r="K997" s="1" t="s">
        <v>12</v>
      </c>
      <c r="L997" s="1" t="s">
        <v>50</v>
      </c>
      <c r="M997" s="1" t="s">
        <v>19</v>
      </c>
      <c r="N997" s="1" t="s">
        <v>22</v>
      </c>
      <c r="O997" t="s">
        <v>45</v>
      </c>
    </row>
    <row r="998" spans="1:15" x14ac:dyDescent="0.25">
      <c r="A998" s="1" t="s">
        <v>1497</v>
      </c>
      <c r="B998" s="1" t="s">
        <v>1494</v>
      </c>
      <c r="C998" s="3">
        <v>44827.004861111112</v>
      </c>
      <c r="D998" s="4">
        <f t="shared" si="61"/>
        <v>44827</v>
      </c>
      <c r="E998" s="6">
        <v>42.119444444440902</v>
      </c>
      <c r="F998" s="6" t="str" cm="1">
        <f t="array" ref="F998">_xlfn.IFS(
     AND(HOUR(session_data[[#This Row],[Time]])&gt;5,HOUR(session_data[[#This Row],[Time]])&lt;12),"Morning",
     AND(HOUR(session_data[[#This Row],[Time]])&gt;=12,HOUR(session_data[[#This Row],[Time]])&lt;17),"Afternoon",
     AND(HOUR(session_data[[#This Row],[Time]])&gt;=17,HOUR(session_data[[#This Row],[Time]])&lt;21),"Evening",
     TRUE,"Night"
)</f>
        <v>Night</v>
      </c>
      <c r="G998" s="1">
        <f t="shared" si="62"/>
        <v>2022</v>
      </c>
      <c r="H998" s="1" t="str">
        <f t="shared" si="63"/>
        <v>Sep</v>
      </c>
      <c r="I998" s="1" t="str">
        <f t="shared" si="60"/>
        <v>Fri</v>
      </c>
      <c r="J998" s="1" t="s">
        <v>11</v>
      </c>
      <c r="K998" s="1" t="s">
        <v>12</v>
      </c>
      <c r="L998" s="1" t="s">
        <v>50</v>
      </c>
      <c r="M998" s="1" t="s">
        <v>19</v>
      </c>
      <c r="N998" s="1" t="s">
        <v>22</v>
      </c>
      <c r="O998" t="s">
        <v>45</v>
      </c>
    </row>
    <row r="999" spans="1:15" x14ac:dyDescent="0.25">
      <c r="A999" s="1" t="s">
        <v>1498</v>
      </c>
      <c r="B999" s="1" t="s">
        <v>1499</v>
      </c>
      <c r="C999" s="2">
        <v>45202.243750000001</v>
      </c>
      <c r="D999" s="4">
        <f t="shared" si="61"/>
        <v>45202</v>
      </c>
      <c r="E999" s="6">
        <v>42.161111111107601</v>
      </c>
      <c r="F999" s="6" t="str" cm="1">
        <f t="array" ref="F999">_xlfn.IFS(
     AND(HOUR(session_data[[#This Row],[Time]])&gt;5,HOUR(session_data[[#This Row],[Time]])&lt;12),"Morning",
     AND(HOUR(session_data[[#This Row],[Time]])&gt;=12,HOUR(session_data[[#This Row],[Time]])&lt;17),"Afternoon",
     AND(HOUR(session_data[[#This Row],[Time]])&gt;=17,HOUR(session_data[[#This Row],[Time]])&lt;21),"Evening",
     TRUE,"Night"
)</f>
        <v>Night</v>
      </c>
      <c r="G999" s="1">
        <f t="shared" si="62"/>
        <v>2023</v>
      </c>
      <c r="H999" s="1" t="str">
        <f t="shared" si="63"/>
        <v>Oct</v>
      </c>
      <c r="I999" s="1" t="str">
        <f t="shared" si="60"/>
        <v>Tue</v>
      </c>
      <c r="J999" s="1" t="s">
        <v>18</v>
      </c>
      <c r="K999" s="1" t="s">
        <v>29</v>
      </c>
      <c r="L999" s="1" t="s">
        <v>59</v>
      </c>
      <c r="M999" s="1" t="s">
        <v>19</v>
      </c>
      <c r="N999" s="1" t="s">
        <v>14</v>
      </c>
      <c r="O999" t="s">
        <v>15</v>
      </c>
    </row>
    <row r="1000" spans="1:15" x14ac:dyDescent="0.25">
      <c r="A1000" s="1" t="s">
        <v>1500</v>
      </c>
      <c r="B1000" s="1" t="s">
        <v>1501</v>
      </c>
      <c r="C1000" s="3">
        <v>45013.09652777778</v>
      </c>
      <c r="D1000" s="4">
        <f t="shared" si="61"/>
        <v>45013</v>
      </c>
      <c r="E1000" s="6">
        <v>42.202777777774202</v>
      </c>
      <c r="F1000" s="6" t="str" cm="1">
        <f t="array" ref="F1000">_xlfn.IFS(
     AND(HOUR(session_data[[#This Row],[Time]])&gt;5,HOUR(session_data[[#This Row],[Time]])&lt;12),"Morning",
     AND(HOUR(session_data[[#This Row],[Time]])&gt;=12,HOUR(session_data[[#This Row],[Time]])&lt;17),"Afternoon",
     AND(HOUR(session_data[[#This Row],[Time]])&gt;=17,HOUR(session_data[[#This Row],[Time]])&lt;21),"Evening",
     TRUE,"Night"
)</f>
        <v>Night</v>
      </c>
      <c r="G1000" s="1">
        <f t="shared" si="62"/>
        <v>2023</v>
      </c>
      <c r="H1000" s="1" t="str">
        <f t="shared" si="63"/>
        <v>Mar</v>
      </c>
      <c r="I1000" s="1" t="str">
        <f t="shared" si="60"/>
        <v>Tue</v>
      </c>
      <c r="J1000" s="1" t="s">
        <v>44</v>
      </c>
      <c r="K1000" s="1" t="s">
        <v>12</v>
      </c>
      <c r="L1000" s="1" t="s">
        <v>50</v>
      </c>
      <c r="M1000" s="1" t="s">
        <v>19</v>
      </c>
      <c r="N1000" s="1" t="s">
        <v>14</v>
      </c>
      <c r="O1000" t="s">
        <v>45</v>
      </c>
    </row>
    <row r="1001" spans="1:15" x14ac:dyDescent="0.25">
      <c r="A1001" s="1" t="s">
        <v>1502</v>
      </c>
      <c r="B1001" s="1" t="s">
        <v>1501</v>
      </c>
      <c r="C1001" s="2">
        <v>45264.804861111108</v>
      </c>
      <c r="D1001" s="4">
        <f t="shared" si="61"/>
        <v>45264</v>
      </c>
      <c r="E1001" s="6">
        <v>42.244444444440902</v>
      </c>
      <c r="F1001" s="6" t="str" cm="1">
        <f t="array" ref="F1001">_xlfn.IFS(
     AND(HOUR(session_data[[#This Row],[Time]])&gt;5,HOUR(session_data[[#This Row],[Time]])&lt;12),"Morning",
     AND(HOUR(session_data[[#This Row],[Time]])&gt;=12,HOUR(session_data[[#This Row],[Time]])&lt;17),"Afternoon",
     AND(HOUR(session_data[[#This Row],[Time]])&gt;=17,HOUR(session_data[[#This Row],[Time]])&lt;21),"Evening",
     TRUE,"Night"
)</f>
        <v>Night</v>
      </c>
      <c r="G1001" s="1">
        <f t="shared" si="62"/>
        <v>2023</v>
      </c>
      <c r="H1001" s="1" t="str">
        <f t="shared" si="63"/>
        <v>Dec</v>
      </c>
      <c r="I1001" s="1" t="str">
        <f t="shared" si="60"/>
        <v>Mon</v>
      </c>
      <c r="J1001" s="1" t="s">
        <v>44</v>
      </c>
      <c r="K1001" s="1" t="s">
        <v>12</v>
      </c>
      <c r="L1001" s="1" t="s">
        <v>50</v>
      </c>
      <c r="M1001" s="1" t="s">
        <v>19</v>
      </c>
      <c r="N1001" s="1" t="s">
        <v>22</v>
      </c>
      <c r="O1001" t="s">
        <v>45</v>
      </c>
    </row>
    <row r="1002" spans="1:15" x14ac:dyDescent="0.25">
      <c r="A1002" s="1" t="s">
        <v>1503</v>
      </c>
      <c r="B1002" s="1" t="s">
        <v>1501</v>
      </c>
      <c r="C1002" s="3">
        <v>45062.388194444444</v>
      </c>
      <c r="D1002" s="4">
        <f t="shared" si="61"/>
        <v>45062</v>
      </c>
      <c r="E1002" s="6">
        <v>42.286111111107601</v>
      </c>
      <c r="F1002" s="6" t="str" cm="1">
        <f t="array" ref="F1002">_xlfn.IFS(
     AND(HOUR(session_data[[#This Row],[Time]])&gt;5,HOUR(session_data[[#This Row],[Time]])&lt;12),"Morning",
     AND(HOUR(session_data[[#This Row],[Time]])&gt;=12,HOUR(session_data[[#This Row],[Time]])&lt;17),"Afternoon",
     AND(HOUR(session_data[[#This Row],[Time]])&gt;=17,HOUR(session_data[[#This Row],[Time]])&lt;21),"Evening",
     TRUE,"Night"
)</f>
        <v>Morning</v>
      </c>
      <c r="G1002" s="1">
        <f t="shared" si="62"/>
        <v>2023</v>
      </c>
      <c r="H1002" s="1" t="str">
        <f t="shared" si="63"/>
        <v>May</v>
      </c>
      <c r="I1002" s="1" t="str">
        <f t="shared" si="60"/>
        <v>Tue</v>
      </c>
      <c r="J1002" s="1" t="s">
        <v>44</v>
      </c>
      <c r="K1002" s="1" t="s">
        <v>12</v>
      </c>
      <c r="L1002" s="1" t="s">
        <v>50</v>
      </c>
      <c r="M1002" s="1" t="s">
        <v>19</v>
      </c>
      <c r="N1002" s="1" t="s">
        <v>22</v>
      </c>
      <c r="O1002" t="s">
        <v>45</v>
      </c>
    </row>
    <row r="1003" spans="1:15" x14ac:dyDescent="0.25">
      <c r="A1003" s="1" t="s">
        <v>1504</v>
      </c>
      <c r="B1003" s="1" t="s">
        <v>1501</v>
      </c>
      <c r="C1003" s="3">
        <v>45068.054861111108</v>
      </c>
      <c r="D1003" s="4">
        <f t="shared" si="61"/>
        <v>45068</v>
      </c>
      <c r="E1003" s="6">
        <v>42.327777777774202</v>
      </c>
      <c r="F1003" s="6" t="str" cm="1">
        <f t="array" ref="F1003">_xlfn.IFS(
     AND(HOUR(session_data[[#This Row],[Time]])&gt;5,HOUR(session_data[[#This Row],[Time]])&lt;12),"Morning",
     AND(HOUR(session_data[[#This Row],[Time]])&gt;=12,HOUR(session_data[[#This Row],[Time]])&lt;17),"Afternoon",
     AND(HOUR(session_data[[#This Row],[Time]])&gt;=17,HOUR(session_data[[#This Row],[Time]])&lt;21),"Evening",
     TRUE,"Night"
)</f>
        <v>Morning</v>
      </c>
      <c r="G1003" s="1">
        <f t="shared" si="62"/>
        <v>2023</v>
      </c>
      <c r="H1003" s="1" t="str">
        <f t="shared" si="63"/>
        <v>May</v>
      </c>
      <c r="I1003" s="1" t="str">
        <f t="shared" si="60"/>
        <v>Mon</v>
      </c>
      <c r="J1003" s="1" t="s">
        <v>44</v>
      </c>
      <c r="K1003" s="1" t="s">
        <v>12</v>
      </c>
      <c r="L1003" s="1" t="s">
        <v>50</v>
      </c>
      <c r="M1003" s="1" t="s">
        <v>19</v>
      </c>
      <c r="N1003" s="1" t="s">
        <v>22</v>
      </c>
      <c r="O1003" t="s">
        <v>45</v>
      </c>
    </row>
    <row r="1004" spans="1:15" x14ac:dyDescent="0.25">
      <c r="A1004" s="1" t="s">
        <v>1505</v>
      </c>
      <c r="B1004" s="1" t="s">
        <v>1501</v>
      </c>
      <c r="C1004" s="2">
        <v>45175.263194444444</v>
      </c>
      <c r="D1004" s="4">
        <f t="shared" si="61"/>
        <v>45175</v>
      </c>
      <c r="E1004" s="6">
        <v>42.369444444440902</v>
      </c>
      <c r="F1004" s="6" t="str" cm="1">
        <f t="array" ref="F1004">_xlfn.IFS(
     AND(HOUR(session_data[[#This Row],[Time]])&gt;5,HOUR(session_data[[#This Row],[Time]])&lt;12),"Morning",
     AND(HOUR(session_data[[#This Row],[Time]])&gt;=12,HOUR(session_data[[#This Row],[Time]])&lt;17),"Afternoon",
     AND(HOUR(session_data[[#This Row],[Time]])&gt;=17,HOUR(session_data[[#This Row],[Time]])&lt;21),"Evening",
     TRUE,"Night"
)</f>
        <v>Morning</v>
      </c>
      <c r="G1004" s="1">
        <f t="shared" si="62"/>
        <v>2023</v>
      </c>
      <c r="H1004" s="1" t="str">
        <f t="shared" si="63"/>
        <v>Sep</v>
      </c>
      <c r="I1004" s="1" t="str">
        <f t="shared" si="60"/>
        <v>Wed</v>
      </c>
      <c r="J1004" s="1" t="s">
        <v>44</v>
      </c>
      <c r="K1004" s="1" t="s">
        <v>12</v>
      </c>
      <c r="L1004" s="1" t="s">
        <v>50</v>
      </c>
      <c r="M1004" s="1" t="s">
        <v>19</v>
      </c>
      <c r="N1004" s="1" t="s">
        <v>22</v>
      </c>
      <c r="O1004" t="s">
        <v>45</v>
      </c>
    </row>
    <row r="1005" spans="1:15" x14ac:dyDescent="0.25">
      <c r="A1005" s="1" t="s">
        <v>1506</v>
      </c>
      <c r="B1005" s="1" t="s">
        <v>1507</v>
      </c>
      <c r="C1005" s="2">
        <v>45083.249305555553</v>
      </c>
      <c r="D1005" s="4">
        <f t="shared" si="61"/>
        <v>45083</v>
      </c>
      <c r="E1005" s="6">
        <v>42.411111111107601</v>
      </c>
      <c r="F1005" s="6" t="str" cm="1">
        <f t="array" ref="F1005">_xlfn.IFS(
     AND(HOUR(session_data[[#This Row],[Time]])&gt;5,HOUR(session_data[[#This Row],[Time]])&lt;12),"Morning",
     AND(HOUR(session_data[[#This Row],[Time]])&gt;=12,HOUR(session_data[[#This Row],[Time]])&lt;17),"Afternoon",
     AND(HOUR(session_data[[#This Row],[Time]])&gt;=17,HOUR(session_data[[#This Row],[Time]])&lt;21),"Evening",
     TRUE,"Night"
)</f>
        <v>Morning</v>
      </c>
      <c r="G1005" s="1">
        <f t="shared" si="62"/>
        <v>2023</v>
      </c>
      <c r="H1005" s="1" t="str">
        <f t="shared" si="63"/>
        <v>Jun</v>
      </c>
      <c r="I1005" s="1" t="str">
        <f t="shared" si="60"/>
        <v>Tue</v>
      </c>
      <c r="J1005" s="1" t="s">
        <v>11</v>
      </c>
      <c r="K1005" s="1" t="s">
        <v>29</v>
      </c>
      <c r="L1005" s="1" t="s">
        <v>30</v>
      </c>
      <c r="M1005" s="1" t="s">
        <v>32</v>
      </c>
      <c r="N1005" s="1" t="s">
        <v>14</v>
      </c>
      <c r="O1005" t="s">
        <v>45</v>
      </c>
    </row>
    <row r="1006" spans="1:15" x14ac:dyDescent="0.25">
      <c r="A1006" s="1" t="s">
        <v>1508</v>
      </c>
      <c r="B1006" s="1" t="s">
        <v>1509</v>
      </c>
      <c r="C1006" s="3">
        <v>44766.695833333331</v>
      </c>
      <c r="D1006" s="4">
        <f t="shared" si="61"/>
        <v>44766</v>
      </c>
      <c r="E1006" s="6">
        <v>42.452777777774202</v>
      </c>
      <c r="F1006" s="6" t="str" cm="1">
        <f t="array" ref="F1006">_xlfn.IFS(
     AND(HOUR(session_data[[#This Row],[Time]])&gt;5,HOUR(session_data[[#This Row],[Time]])&lt;12),"Morning",
     AND(HOUR(session_data[[#This Row],[Time]])&gt;=12,HOUR(session_data[[#This Row],[Time]])&lt;17),"Afternoon",
     AND(HOUR(session_data[[#This Row],[Time]])&gt;=17,HOUR(session_data[[#This Row],[Time]])&lt;21),"Evening",
     TRUE,"Night"
)</f>
        <v>Morning</v>
      </c>
      <c r="G1006" s="1">
        <f t="shared" si="62"/>
        <v>2022</v>
      </c>
      <c r="H1006" s="1" t="str">
        <f t="shared" si="63"/>
        <v>Jul</v>
      </c>
      <c r="I1006" s="1" t="str">
        <f t="shared" si="60"/>
        <v>Sun</v>
      </c>
      <c r="J1006" s="1" t="s">
        <v>66</v>
      </c>
      <c r="K1006" s="1" t="s">
        <v>12</v>
      </c>
      <c r="L1006" s="1" t="s">
        <v>79</v>
      </c>
      <c r="M1006" s="1" t="s">
        <v>40</v>
      </c>
      <c r="N1006" s="1" t="s">
        <v>14</v>
      </c>
      <c r="O1006" t="s">
        <v>45</v>
      </c>
    </row>
    <row r="1007" spans="1:15" x14ac:dyDescent="0.25">
      <c r="A1007" s="1" t="s">
        <v>1510</v>
      </c>
      <c r="B1007" s="1" t="s">
        <v>1509</v>
      </c>
      <c r="C1007" s="2">
        <v>44781.362500000003</v>
      </c>
      <c r="D1007" s="4">
        <f t="shared" si="61"/>
        <v>44781</v>
      </c>
      <c r="E1007" s="6">
        <v>42.494444444440902</v>
      </c>
      <c r="F1007" s="6" t="str" cm="1">
        <f t="array" ref="F1007">_xlfn.IFS(
     AND(HOUR(session_data[[#This Row],[Time]])&gt;5,HOUR(session_data[[#This Row],[Time]])&lt;12),"Morning",
     AND(HOUR(session_data[[#This Row],[Time]])&gt;=12,HOUR(session_data[[#This Row],[Time]])&lt;17),"Afternoon",
     AND(HOUR(session_data[[#This Row],[Time]])&gt;=17,HOUR(session_data[[#This Row],[Time]])&lt;21),"Evening",
     TRUE,"Night"
)</f>
        <v>Morning</v>
      </c>
      <c r="G1007" s="1">
        <f t="shared" si="62"/>
        <v>2022</v>
      </c>
      <c r="H1007" s="1" t="str">
        <f t="shared" si="63"/>
        <v>Aug</v>
      </c>
      <c r="I1007" s="1" t="str">
        <f t="shared" si="60"/>
        <v>Mon</v>
      </c>
      <c r="J1007" s="1" t="s">
        <v>66</v>
      </c>
      <c r="K1007" s="1" t="s">
        <v>12</v>
      </c>
      <c r="L1007" s="1" t="s">
        <v>79</v>
      </c>
      <c r="M1007" s="1" t="s">
        <v>40</v>
      </c>
      <c r="N1007" s="1" t="s">
        <v>22</v>
      </c>
      <c r="O1007" t="s">
        <v>45</v>
      </c>
    </row>
    <row r="1008" spans="1:15" x14ac:dyDescent="0.25">
      <c r="A1008" s="1" t="s">
        <v>1511</v>
      </c>
      <c r="B1008" s="1" t="s">
        <v>1509</v>
      </c>
      <c r="C1008" s="3">
        <v>44821.237500000003</v>
      </c>
      <c r="D1008" s="4">
        <f t="shared" si="61"/>
        <v>44821</v>
      </c>
      <c r="E1008" s="6">
        <v>42.536111111107601</v>
      </c>
      <c r="F1008" s="6" t="str" cm="1">
        <f t="array" ref="F1008">_xlfn.IFS(
     AND(HOUR(session_data[[#This Row],[Time]])&gt;5,HOUR(session_data[[#This Row],[Time]])&lt;12),"Morning",
     AND(HOUR(session_data[[#This Row],[Time]])&gt;=12,HOUR(session_data[[#This Row],[Time]])&lt;17),"Afternoon",
     AND(HOUR(session_data[[#This Row],[Time]])&gt;=17,HOUR(session_data[[#This Row],[Time]])&lt;21),"Evening",
     TRUE,"Night"
)</f>
        <v>Afternoon</v>
      </c>
      <c r="G1008" s="1">
        <f t="shared" si="62"/>
        <v>2022</v>
      </c>
      <c r="H1008" s="1" t="str">
        <f t="shared" si="63"/>
        <v>Sep</v>
      </c>
      <c r="I1008" s="1" t="str">
        <f t="shared" si="60"/>
        <v>Sat</v>
      </c>
      <c r="J1008" s="1" t="s">
        <v>66</v>
      </c>
      <c r="K1008" s="1" t="s">
        <v>12</v>
      </c>
      <c r="L1008" s="1" t="s">
        <v>79</v>
      </c>
      <c r="M1008" s="1" t="s">
        <v>40</v>
      </c>
      <c r="N1008" s="1" t="s">
        <v>22</v>
      </c>
      <c r="O1008" t="s">
        <v>45</v>
      </c>
    </row>
    <row r="1009" spans="1:15" x14ac:dyDescent="0.25">
      <c r="A1009" s="1" t="s">
        <v>1512</v>
      </c>
      <c r="B1009" s="1" t="s">
        <v>1509</v>
      </c>
      <c r="C1009" s="3">
        <v>44830.737500000003</v>
      </c>
      <c r="D1009" s="4">
        <f t="shared" si="61"/>
        <v>44830</v>
      </c>
      <c r="E1009" s="6">
        <v>42.577777777774202</v>
      </c>
      <c r="F1009" s="6" t="str" cm="1">
        <f t="array" ref="F1009">_xlfn.IFS(
     AND(HOUR(session_data[[#This Row],[Time]])&gt;5,HOUR(session_data[[#This Row],[Time]])&lt;12),"Morning",
     AND(HOUR(session_data[[#This Row],[Time]])&gt;=12,HOUR(session_data[[#This Row],[Time]])&lt;17),"Afternoon",
     AND(HOUR(session_data[[#This Row],[Time]])&gt;=17,HOUR(session_data[[#This Row],[Time]])&lt;21),"Evening",
     TRUE,"Night"
)</f>
        <v>Afternoon</v>
      </c>
      <c r="G1009" s="1">
        <f t="shared" si="62"/>
        <v>2022</v>
      </c>
      <c r="H1009" s="1" t="str">
        <f t="shared" si="63"/>
        <v>Sep</v>
      </c>
      <c r="I1009" s="1" t="str">
        <f t="shared" si="60"/>
        <v>Mon</v>
      </c>
      <c r="J1009" s="1" t="s">
        <v>66</v>
      </c>
      <c r="K1009" s="1" t="s">
        <v>12</v>
      </c>
      <c r="L1009" s="1" t="s">
        <v>79</v>
      </c>
      <c r="M1009" s="1" t="s">
        <v>40</v>
      </c>
      <c r="N1009" s="1" t="s">
        <v>22</v>
      </c>
      <c r="O1009" t="s">
        <v>45</v>
      </c>
    </row>
    <row r="1010" spans="1:15" x14ac:dyDescent="0.25">
      <c r="A1010" s="1" t="s">
        <v>1513</v>
      </c>
      <c r="B1010" s="1" t="s">
        <v>1509</v>
      </c>
      <c r="C1010" s="3">
        <v>44854.070833333331</v>
      </c>
      <c r="D1010" s="4">
        <f t="shared" si="61"/>
        <v>44854</v>
      </c>
      <c r="E1010" s="6">
        <v>42.619444444440902</v>
      </c>
      <c r="F1010" s="6" t="str" cm="1">
        <f t="array" ref="F1010">_xlfn.IFS(
     AND(HOUR(session_data[[#This Row],[Time]])&gt;5,HOUR(session_data[[#This Row],[Time]])&lt;12),"Morning",
     AND(HOUR(session_data[[#This Row],[Time]])&gt;=12,HOUR(session_data[[#This Row],[Time]])&lt;17),"Afternoon",
     AND(HOUR(session_data[[#This Row],[Time]])&gt;=17,HOUR(session_data[[#This Row],[Time]])&lt;21),"Evening",
     TRUE,"Night"
)</f>
        <v>Afternoon</v>
      </c>
      <c r="G1010" s="1">
        <f t="shared" si="62"/>
        <v>2022</v>
      </c>
      <c r="H1010" s="1" t="str">
        <f t="shared" si="63"/>
        <v>Oct</v>
      </c>
      <c r="I1010" s="1" t="str">
        <f t="shared" si="60"/>
        <v>Thu</v>
      </c>
      <c r="J1010" s="1" t="s">
        <v>66</v>
      </c>
      <c r="K1010" s="1" t="s">
        <v>12</v>
      </c>
      <c r="L1010" s="1" t="s">
        <v>79</v>
      </c>
      <c r="M1010" s="1" t="s">
        <v>40</v>
      </c>
      <c r="N1010" s="1" t="s">
        <v>22</v>
      </c>
      <c r="O1010" t="s">
        <v>45</v>
      </c>
    </row>
    <row r="1011" spans="1:15" x14ac:dyDescent="0.25">
      <c r="A1011" s="1" t="s">
        <v>1514</v>
      </c>
      <c r="B1011" s="1" t="s">
        <v>1515</v>
      </c>
      <c r="C1011" s="3">
        <v>44726.884722222225</v>
      </c>
      <c r="D1011" s="4">
        <f t="shared" si="61"/>
        <v>44726</v>
      </c>
      <c r="E1011" s="6">
        <v>42.661111111107601</v>
      </c>
      <c r="F1011" s="6" t="str" cm="1">
        <f t="array" ref="F1011">_xlfn.IFS(
     AND(HOUR(session_data[[#This Row],[Time]])&gt;5,HOUR(session_data[[#This Row],[Time]])&lt;12),"Morning",
     AND(HOUR(session_data[[#This Row],[Time]])&gt;=12,HOUR(session_data[[#This Row],[Time]])&lt;17),"Afternoon",
     AND(HOUR(session_data[[#This Row],[Time]])&gt;=17,HOUR(session_data[[#This Row],[Time]])&lt;21),"Evening",
     TRUE,"Night"
)</f>
        <v>Afternoon</v>
      </c>
      <c r="G1011" s="1">
        <f t="shared" si="62"/>
        <v>2022</v>
      </c>
      <c r="H1011" s="1" t="str">
        <f t="shared" si="63"/>
        <v>Jun</v>
      </c>
      <c r="I1011" s="1" t="str">
        <f t="shared" si="60"/>
        <v>Tue</v>
      </c>
      <c r="J1011" s="1" t="s">
        <v>28</v>
      </c>
      <c r="K1011" s="1" t="s">
        <v>12</v>
      </c>
      <c r="L1011" s="1" t="s">
        <v>20</v>
      </c>
      <c r="M1011" s="1" t="s">
        <v>19</v>
      </c>
      <c r="N1011" s="1" t="s">
        <v>14</v>
      </c>
      <c r="O1011" t="s">
        <v>45</v>
      </c>
    </row>
    <row r="1012" spans="1:15" x14ac:dyDescent="0.25">
      <c r="A1012" s="1" t="s">
        <v>1516</v>
      </c>
      <c r="B1012" s="1" t="s">
        <v>1517</v>
      </c>
      <c r="C1012" s="2">
        <v>44873.714583333334</v>
      </c>
      <c r="D1012" s="4">
        <f t="shared" si="61"/>
        <v>44873</v>
      </c>
      <c r="E1012" s="6">
        <v>42.702777777774202</v>
      </c>
      <c r="F1012" s="6" t="str" cm="1">
        <f t="array" ref="F1012">_xlfn.IFS(
     AND(HOUR(session_data[[#This Row],[Time]])&gt;5,HOUR(session_data[[#This Row],[Time]])&lt;12),"Morning",
     AND(HOUR(session_data[[#This Row],[Time]])&gt;=12,HOUR(session_data[[#This Row],[Time]])&lt;17),"Afternoon",
     AND(HOUR(session_data[[#This Row],[Time]])&gt;=17,HOUR(session_data[[#This Row],[Time]])&lt;21),"Evening",
     TRUE,"Night"
)</f>
        <v>Afternoon</v>
      </c>
      <c r="G1012" s="1">
        <f t="shared" si="62"/>
        <v>2022</v>
      </c>
      <c r="H1012" s="1" t="str">
        <f t="shared" si="63"/>
        <v>Nov</v>
      </c>
      <c r="I1012" s="1" t="str">
        <f t="shared" si="60"/>
        <v>Tue</v>
      </c>
      <c r="J1012" s="1" t="s">
        <v>11</v>
      </c>
      <c r="K1012" s="1" t="s">
        <v>12</v>
      </c>
      <c r="L1012" s="1" t="s">
        <v>79</v>
      </c>
      <c r="M1012" s="1" t="s">
        <v>40</v>
      </c>
      <c r="N1012" s="1" t="s">
        <v>14</v>
      </c>
      <c r="O1012" t="s">
        <v>15</v>
      </c>
    </row>
    <row r="1013" spans="1:15" x14ac:dyDescent="0.25">
      <c r="A1013" s="1" t="s">
        <v>1518</v>
      </c>
      <c r="B1013" s="1" t="s">
        <v>1517</v>
      </c>
      <c r="C1013" s="2">
        <v>44690.131249999999</v>
      </c>
      <c r="D1013" s="4">
        <f t="shared" si="61"/>
        <v>44690</v>
      </c>
      <c r="E1013" s="6">
        <v>42.744444444440902</v>
      </c>
      <c r="F1013" s="6" t="str" cm="1">
        <f t="array" ref="F1013">_xlfn.IFS(
     AND(HOUR(session_data[[#This Row],[Time]])&gt;5,HOUR(session_data[[#This Row],[Time]])&lt;12),"Morning",
     AND(HOUR(session_data[[#This Row],[Time]])&gt;=12,HOUR(session_data[[#This Row],[Time]])&lt;17),"Afternoon",
     AND(HOUR(session_data[[#This Row],[Time]])&gt;=17,HOUR(session_data[[#This Row],[Time]])&lt;21),"Evening",
     TRUE,"Night"
)</f>
        <v>Evening</v>
      </c>
      <c r="G1013" s="1">
        <f t="shared" si="62"/>
        <v>2022</v>
      </c>
      <c r="H1013" s="1" t="str">
        <f t="shared" si="63"/>
        <v>May</v>
      </c>
      <c r="I1013" s="1" t="str">
        <f t="shared" si="60"/>
        <v>Mon</v>
      </c>
      <c r="J1013" s="1" t="s">
        <v>11</v>
      </c>
      <c r="K1013" s="1" t="s">
        <v>12</v>
      </c>
      <c r="L1013" s="1" t="s">
        <v>79</v>
      </c>
      <c r="M1013" s="1" t="s">
        <v>40</v>
      </c>
      <c r="N1013" s="1" t="s">
        <v>22</v>
      </c>
      <c r="O1013" t="s">
        <v>15</v>
      </c>
    </row>
    <row r="1014" spans="1:15" x14ac:dyDescent="0.25">
      <c r="A1014" s="1" t="s">
        <v>1519</v>
      </c>
      <c r="B1014" s="1" t="s">
        <v>1517</v>
      </c>
      <c r="C1014" s="3">
        <v>44833.04791666667</v>
      </c>
      <c r="D1014" s="4">
        <f t="shared" si="61"/>
        <v>44833</v>
      </c>
      <c r="E1014" s="6">
        <v>42.786111111107601</v>
      </c>
      <c r="F1014" s="6" t="str" cm="1">
        <f t="array" ref="F1014">_xlfn.IFS(
     AND(HOUR(session_data[[#This Row],[Time]])&gt;5,HOUR(session_data[[#This Row],[Time]])&lt;12),"Morning",
     AND(HOUR(session_data[[#This Row],[Time]])&gt;=12,HOUR(session_data[[#This Row],[Time]])&lt;17),"Afternoon",
     AND(HOUR(session_data[[#This Row],[Time]])&gt;=17,HOUR(session_data[[#This Row],[Time]])&lt;21),"Evening",
     TRUE,"Night"
)</f>
        <v>Evening</v>
      </c>
      <c r="G1014" s="1">
        <f t="shared" si="62"/>
        <v>2022</v>
      </c>
      <c r="H1014" s="1" t="str">
        <f t="shared" si="63"/>
        <v>Sep</v>
      </c>
      <c r="I1014" s="1" t="str">
        <f t="shared" si="60"/>
        <v>Thu</v>
      </c>
      <c r="J1014" s="1" t="s">
        <v>11</v>
      </c>
      <c r="K1014" s="1" t="s">
        <v>12</v>
      </c>
      <c r="L1014" s="1" t="s">
        <v>79</v>
      </c>
      <c r="M1014" s="1" t="s">
        <v>40</v>
      </c>
      <c r="N1014" s="1" t="s">
        <v>22</v>
      </c>
      <c r="O1014" t="s">
        <v>15</v>
      </c>
    </row>
    <row r="1015" spans="1:15" x14ac:dyDescent="0.25">
      <c r="A1015" s="1" t="s">
        <v>1520</v>
      </c>
      <c r="B1015" s="1" t="s">
        <v>1517</v>
      </c>
      <c r="C1015" s="3">
        <v>44854.006249999999</v>
      </c>
      <c r="D1015" s="4">
        <f t="shared" si="61"/>
        <v>44854</v>
      </c>
      <c r="E1015" s="6">
        <v>42.827777777774202</v>
      </c>
      <c r="F1015" s="6" t="str" cm="1">
        <f t="array" ref="F1015">_xlfn.IFS(
     AND(HOUR(session_data[[#This Row],[Time]])&gt;5,HOUR(session_data[[#This Row],[Time]])&lt;12),"Morning",
     AND(HOUR(session_data[[#This Row],[Time]])&gt;=12,HOUR(session_data[[#This Row],[Time]])&lt;17),"Afternoon",
     AND(HOUR(session_data[[#This Row],[Time]])&gt;=17,HOUR(session_data[[#This Row],[Time]])&lt;21),"Evening",
     TRUE,"Night"
)</f>
        <v>Evening</v>
      </c>
      <c r="G1015" s="1">
        <f t="shared" si="62"/>
        <v>2022</v>
      </c>
      <c r="H1015" s="1" t="str">
        <f t="shared" si="63"/>
        <v>Oct</v>
      </c>
      <c r="I1015" s="1" t="str">
        <f t="shared" si="60"/>
        <v>Thu</v>
      </c>
      <c r="J1015" s="1" t="s">
        <v>11</v>
      </c>
      <c r="K1015" s="1" t="s">
        <v>12</v>
      </c>
      <c r="L1015" s="1" t="s">
        <v>79</v>
      </c>
      <c r="M1015" s="1" t="s">
        <v>40</v>
      </c>
      <c r="N1015" s="1" t="s">
        <v>22</v>
      </c>
      <c r="O1015" t="s">
        <v>15</v>
      </c>
    </row>
    <row r="1016" spans="1:15" x14ac:dyDescent="0.25">
      <c r="A1016" s="1" t="s">
        <v>1521</v>
      </c>
      <c r="B1016" s="1" t="s">
        <v>1522</v>
      </c>
      <c r="C1016" s="3">
        <v>44985.012499999997</v>
      </c>
      <c r="D1016" s="4">
        <f t="shared" si="61"/>
        <v>44985</v>
      </c>
      <c r="E1016" s="6">
        <v>42.869444444440902</v>
      </c>
      <c r="F1016" s="6" t="str" cm="1">
        <f t="array" ref="F1016">_xlfn.IFS(
     AND(HOUR(session_data[[#This Row],[Time]])&gt;5,HOUR(session_data[[#This Row],[Time]])&lt;12),"Morning",
     AND(HOUR(session_data[[#This Row],[Time]])&gt;=12,HOUR(session_data[[#This Row],[Time]])&lt;17),"Afternoon",
     AND(HOUR(session_data[[#This Row],[Time]])&gt;=17,HOUR(session_data[[#This Row],[Time]])&lt;21),"Evening",
     TRUE,"Night"
)</f>
        <v>Evening</v>
      </c>
      <c r="G1016" s="1">
        <f t="shared" si="62"/>
        <v>2023</v>
      </c>
      <c r="H1016" s="1" t="str">
        <f t="shared" si="63"/>
        <v>Feb</v>
      </c>
      <c r="I1016" s="1" t="str">
        <f t="shared" si="60"/>
        <v>Tue</v>
      </c>
      <c r="J1016" s="1" t="s">
        <v>11</v>
      </c>
      <c r="K1016" s="1" t="s">
        <v>29</v>
      </c>
      <c r="L1016" s="1" t="s">
        <v>41</v>
      </c>
      <c r="M1016" s="1" t="s">
        <v>40</v>
      </c>
      <c r="N1016" s="1" t="s">
        <v>14</v>
      </c>
      <c r="O1016" t="s">
        <v>45</v>
      </c>
    </row>
    <row r="1017" spans="1:15" x14ac:dyDescent="0.25">
      <c r="A1017" s="1" t="s">
        <v>1523</v>
      </c>
      <c r="B1017" s="1" t="s">
        <v>1522</v>
      </c>
      <c r="C1017" s="3">
        <v>45001.595833333333</v>
      </c>
      <c r="D1017" s="4">
        <f t="shared" si="61"/>
        <v>45001</v>
      </c>
      <c r="E1017" s="6">
        <v>42.911111111107601</v>
      </c>
      <c r="F1017" s="6" t="str" cm="1">
        <f t="array" ref="F1017">_xlfn.IFS(
     AND(HOUR(session_data[[#This Row],[Time]])&gt;5,HOUR(session_data[[#This Row],[Time]])&lt;12),"Morning",
     AND(HOUR(session_data[[#This Row],[Time]])&gt;=12,HOUR(session_data[[#This Row],[Time]])&lt;17),"Afternoon",
     AND(HOUR(session_data[[#This Row],[Time]])&gt;=17,HOUR(session_data[[#This Row],[Time]])&lt;21),"Evening",
     TRUE,"Night"
)</f>
        <v>Night</v>
      </c>
      <c r="G1017" s="1">
        <f t="shared" si="62"/>
        <v>2023</v>
      </c>
      <c r="H1017" s="1" t="str">
        <f t="shared" si="63"/>
        <v>Mar</v>
      </c>
      <c r="I1017" s="1" t="str">
        <f t="shared" si="60"/>
        <v>Thu</v>
      </c>
      <c r="J1017" s="1" t="s">
        <v>11</v>
      </c>
      <c r="K1017" s="1" t="s">
        <v>29</v>
      </c>
      <c r="L1017" s="1" t="s">
        <v>41</v>
      </c>
      <c r="M1017" s="1" t="s">
        <v>40</v>
      </c>
      <c r="N1017" s="1" t="s">
        <v>22</v>
      </c>
      <c r="O1017" t="s">
        <v>45</v>
      </c>
    </row>
    <row r="1018" spans="1:15" x14ac:dyDescent="0.25">
      <c r="A1018" s="1" t="s">
        <v>1524</v>
      </c>
      <c r="B1018" s="1" t="s">
        <v>1525</v>
      </c>
      <c r="C1018" s="3">
        <v>44638.956944444442</v>
      </c>
      <c r="D1018" s="4">
        <f t="shared" si="61"/>
        <v>44638</v>
      </c>
      <c r="E1018" s="6">
        <v>42.952777777774202</v>
      </c>
      <c r="F1018" s="6" t="str" cm="1">
        <f t="array" ref="F1018">_xlfn.IFS(
     AND(HOUR(session_data[[#This Row],[Time]])&gt;5,HOUR(session_data[[#This Row],[Time]])&lt;12),"Morning",
     AND(HOUR(session_data[[#This Row],[Time]])&gt;=12,HOUR(session_data[[#This Row],[Time]])&lt;17),"Afternoon",
     AND(HOUR(session_data[[#This Row],[Time]])&gt;=17,HOUR(session_data[[#This Row],[Time]])&lt;21),"Evening",
     TRUE,"Night"
)</f>
        <v>Night</v>
      </c>
      <c r="G1018" s="1">
        <f t="shared" si="62"/>
        <v>2022</v>
      </c>
      <c r="H1018" s="1" t="str">
        <f t="shared" si="63"/>
        <v>Mar</v>
      </c>
      <c r="I1018" s="1" t="str">
        <f t="shared" si="60"/>
        <v>Fri</v>
      </c>
      <c r="J1018" s="1" t="s">
        <v>28</v>
      </c>
      <c r="K1018" s="1" t="s">
        <v>12</v>
      </c>
      <c r="L1018" s="1" t="s">
        <v>20</v>
      </c>
      <c r="M1018" s="1" t="s">
        <v>19</v>
      </c>
      <c r="N1018" s="1" t="s">
        <v>14</v>
      </c>
      <c r="O1018" t="s">
        <v>45</v>
      </c>
    </row>
    <row r="1019" spans="1:15" x14ac:dyDescent="0.25">
      <c r="A1019" s="1" t="s">
        <v>1526</v>
      </c>
      <c r="B1019" s="1" t="s">
        <v>1525</v>
      </c>
      <c r="C1019" s="2">
        <v>44596.540277777778</v>
      </c>
      <c r="D1019" s="4">
        <f t="shared" si="61"/>
        <v>44596</v>
      </c>
      <c r="E1019" s="6">
        <v>42.994444444440902</v>
      </c>
      <c r="F1019" s="6" t="str" cm="1">
        <f t="array" ref="F1019">_xlfn.IFS(
     AND(HOUR(session_data[[#This Row],[Time]])&gt;5,HOUR(session_data[[#This Row],[Time]])&lt;12),"Morning",
     AND(HOUR(session_data[[#This Row],[Time]])&gt;=12,HOUR(session_data[[#This Row],[Time]])&lt;17),"Afternoon",
     AND(HOUR(session_data[[#This Row],[Time]])&gt;=17,HOUR(session_data[[#This Row],[Time]])&lt;21),"Evening",
     TRUE,"Night"
)</f>
        <v>Night</v>
      </c>
      <c r="G1019" s="1">
        <f t="shared" si="62"/>
        <v>2022</v>
      </c>
      <c r="H1019" s="1" t="str">
        <f t="shared" si="63"/>
        <v>Feb</v>
      </c>
      <c r="I1019" s="1" t="str">
        <f t="shared" si="60"/>
        <v>Fri</v>
      </c>
      <c r="J1019" s="1" t="s">
        <v>28</v>
      </c>
      <c r="K1019" s="1" t="s">
        <v>12</v>
      </c>
      <c r="L1019" s="1" t="s">
        <v>20</v>
      </c>
      <c r="M1019" s="1" t="s">
        <v>19</v>
      </c>
      <c r="N1019" s="1" t="s">
        <v>22</v>
      </c>
      <c r="O1019" t="s">
        <v>45</v>
      </c>
    </row>
    <row r="1020" spans="1:15" x14ac:dyDescent="0.25">
      <c r="A1020" s="1" t="s">
        <v>1527</v>
      </c>
      <c r="B1020" s="1" t="s">
        <v>1525</v>
      </c>
      <c r="C1020" s="3">
        <v>44671.831944444442</v>
      </c>
      <c r="D1020" s="4">
        <f t="shared" si="61"/>
        <v>44671</v>
      </c>
      <c r="E1020" s="6">
        <v>43.036111111107601</v>
      </c>
      <c r="F1020" s="6" t="str" cm="1">
        <f t="array" ref="F1020">_xlfn.IFS(
     AND(HOUR(session_data[[#This Row],[Time]])&gt;5,HOUR(session_data[[#This Row],[Time]])&lt;12),"Morning",
     AND(HOUR(session_data[[#This Row],[Time]])&gt;=12,HOUR(session_data[[#This Row],[Time]])&lt;17),"Afternoon",
     AND(HOUR(session_data[[#This Row],[Time]])&gt;=17,HOUR(session_data[[#This Row],[Time]])&lt;21),"Evening",
     TRUE,"Night"
)</f>
        <v>Night</v>
      </c>
      <c r="G1020" s="1">
        <f t="shared" si="62"/>
        <v>2022</v>
      </c>
      <c r="H1020" s="1" t="str">
        <f t="shared" si="63"/>
        <v>Apr</v>
      </c>
      <c r="I1020" s="1" t="str">
        <f t="shared" si="60"/>
        <v>Wed</v>
      </c>
      <c r="J1020" s="1" t="s">
        <v>28</v>
      </c>
      <c r="K1020" s="1" t="s">
        <v>12</v>
      </c>
      <c r="L1020" s="1" t="s">
        <v>20</v>
      </c>
      <c r="M1020" s="1" t="s">
        <v>19</v>
      </c>
      <c r="N1020" s="1" t="s">
        <v>22</v>
      </c>
      <c r="O1020" t="s">
        <v>45</v>
      </c>
    </row>
    <row r="1021" spans="1:15" x14ac:dyDescent="0.25">
      <c r="A1021" s="1" t="s">
        <v>1528</v>
      </c>
      <c r="B1021" s="1" t="s">
        <v>1525</v>
      </c>
      <c r="C1021" s="2">
        <v>44900.165277777778</v>
      </c>
      <c r="D1021" s="4">
        <f t="shared" si="61"/>
        <v>44900</v>
      </c>
      <c r="E1021" s="6">
        <v>43.077777777774202</v>
      </c>
      <c r="F1021" s="6" t="str" cm="1">
        <f t="array" ref="F1021">_xlfn.IFS(
     AND(HOUR(session_data[[#This Row],[Time]])&gt;5,HOUR(session_data[[#This Row],[Time]])&lt;12),"Morning",
     AND(HOUR(session_data[[#This Row],[Time]])&gt;=12,HOUR(session_data[[#This Row],[Time]])&lt;17),"Afternoon",
     AND(HOUR(session_data[[#This Row],[Time]])&gt;=17,HOUR(session_data[[#This Row],[Time]])&lt;21),"Evening",
     TRUE,"Night"
)</f>
        <v>Night</v>
      </c>
      <c r="G1021" s="1">
        <f t="shared" si="62"/>
        <v>2022</v>
      </c>
      <c r="H1021" s="1" t="str">
        <f t="shared" si="63"/>
        <v>Dec</v>
      </c>
      <c r="I1021" s="1" t="str">
        <f t="shared" si="60"/>
        <v>Mon</v>
      </c>
      <c r="J1021" s="1" t="s">
        <v>28</v>
      </c>
      <c r="K1021" s="1" t="s">
        <v>12</v>
      </c>
      <c r="L1021" s="1" t="s">
        <v>20</v>
      </c>
      <c r="M1021" s="1" t="s">
        <v>19</v>
      </c>
      <c r="N1021" s="1" t="s">
        <v>22</v>
      </c>
      <c r="O1021" t="s">
        <v>45</v>
      </c>
    </row>
    <row r="1022" spans="1:15" x14ac:dyDescent="0.25">
      <c r="A1022" s="1" t="s">
        <v>1529</v>
      </c>
      <c r="B1022" s="1" t="s">
        <v>1525</v>
      </c>
      <c r="C1022" s="2">
        <v>44871.498611111114</v>
      </c>
      <c r="D1022" s="4">
        <f t="shared" si="61"/>
        <v>44871</v>
      </c>
      <c r="E1022" s="6">
        <v>43.119444444440902</v>
      </c>
      <c r="F1022" s="6" t="str" cm="1">
        <f t="array" ref="F1022">_xlfn.IFS(
     AND(HOUR(session_data[[#This Row],[Time]])&gt;5,HOUR(session_data[[#This Row],[Time]])&lt;12),"Morning",
     AND(HOUR(session_data[[#This Row],[Time]])&gt;=12,HOUR(session_data[[#This Row],[Time]])&lt;17),"Afternoon",
     AND(HOUR(session_data[[#This Row],[Time]])&gt;=17,HOUR(session_data[[#This Row],[Time]])&lt;21),"Evening",
     TRUE,"Night"
)</f>
        <v>Night</v>
      </c>
      <c r="G1022" s="1">
        <f t="shared" si="62"/>
        <v>2022</v>
      </c>
      <c r="H1022" s="1" t="str">
        <f t="shared" si="63"/>
        <v>Nov</v>
      </c>
      <c r="I1022" s="1" t="str">
        <f t="shared" si="60"/>
        <v>Sun</v>
      </c>
      <c r="J1022" s="1" t="s">
        <v>28</v>
      </c>
      <c r="K1022" s="1" t="s">
        <v>12</v>
      </c>
      <c r="L1022" s="1" t="s">
        <v>20</v>
      </c>
      <c r="M1022" s="1" t="s">
        <v>19</v>
      </c>
      <c r="N1022" s="1" t="s">
        <v>22</v>
      </c>
      <c r="O1022" t="s">
        <v>45</v>
      </c>
    </row>
    <row r="1023" spans="1:15" x14ac:dyDescent="0.25">
      <c r="A1023" s="1" t="s">
        <v>1530</v>
      </c>
      <c r="B1023" s="1" t="s">
        <v>1531</v>
      </c>
      <c r="C1023" s="3">
        <v>44641.167361111111</v>
      </c>
      <c r="D1023" s="4">
        <f t="shared" si="61"/>
        <v>44641</v>
      </c>
      <c r="E1023" s="6">
        <v>43.161111111107601</v>
      </c>
      <c r="F1023" s="6" t="str" cm="1">
        <f t="array" ref="F1023">_xlfn.IFS(
     AND(HOUR(session_data[[#This Row],[Time]])&gt;5,HOUR(session_data[[#This Row],[Time]])&lt;12),"Morning",
     AND(HOUR(session_data[[#This Row],[Time]])&gt;=12,HOUR(session_data[[#This Row],[Time]])&lt;17),"Afternoon",
     AND(HOUR(session_data[[#This Row],[Time]])&gt;=17,HOUR(session_data[[#This Row],[Time]])&lt;21),"Evening",
     TRUE,"Night"
)</f>
        <v>Night</v>
      </c>
      <c r="G1023" s="1">
        <f t="shared" si="62"/>
        <v>2022</v>
      </c>
      <c r="H1023" s="1" t="str">
        <f t="shared" si="63"/>
        <v>Mar</v>
      </c>
      <c r="I1023" s="1" t="str">
        <f t="shared" si="60"/>
        <v>Mon</v>
      </c>
      <c r="J1023" s="1" t="s">
        <v>11</v>
      </c>
      <c r="K1023" s="1" t="s">
        <v>29</v>
      </c>
      <c r="L1023" s="1" t="s">
        <v>50</v>
      </c>
      <c r="M1023" s="1" t="s">
        <v>19</v>
      </c>
      <c r="N1023" s="1" t="s">
        <v>14</v>
      </c>
      <c r="O1023" t="s">
        <v>45</v>
      </c>
    </row>
    <row r="1024" spans="1:15" x14ac:dyDescent="0.25">
      <c r="A1024" s="1" t="s">
        <v>1532</v>
      </c>
      <c r="B1024" s="1" t="s">
        <v>1533</v>
      </c>
      <c r="C1024" s="3">
        <v>44882.672222222223</v>
      </c>
      <c r="D1024" s="4">
        <f t="shared" si="61"/>
        <v>44882</v>
      </c>
      <c r="E1024" s="6">
        <v>43.202777777774202</v>
      </c>
      <c r="F1024" s="6" t="str" cm="1">
        <f t="array" ref="F1024">_xlfn.IFS(
     AND(HOUR(session_data[[#This Row],[Time]])&gt;5,HOUR(session_data[[#This Row],[Time]])&lt;12),"Morning",
     AND(HOUR(session_data[[#This Row],[Time]])&gt;=12,HOUR(session_data[[#This Row],[Time]])&lt;17),"Afternoon",
     AND(HOUR(session_data[[#This Row],[Time]])&gt;=17,HOUR(session_data[[#This Row],[Time]])&lt;21),"Evening",
     TRUE,"Night"
)</f>
        <v>Night</v>
      </c>
      <c r="G1024" s="1">
        <f t="shared" si="62"/>
        <v>2022</v>
      </c>
      <c r="H1024" s="1" t="str">
        <f t="shared" si="63"/>
        <v>Nov</v>
      </c>
      <c r="I1024" s="1" t="str">
        <f t="shared" si="60"/>
        <v>Thu</v>
      </c>
      <c r="J1024" s="1" t="s">
        <v>11</v>
      </c>
      <c r="K1024" s="1" t="s">
        <v>29</v>
      </c>
      <c r="L1024" s="1" t="s">
        <v>94</v>
      </c>
      <c r="M1024" s="1" t="s">
        <v>32</v>
      </c>
      <c r="N1024" s="1" t="s">
        <v>14</v>
      </c>
      <c r="O1024" t="s">
        <v>45</v>
      </c>
    </row>
    <row r="1025" spans="1:15" x14ac:dyDescent="0.25">
      <c r="A1025" s="1" t="s">
        <v>1534</v>
      </c>
      <c r="B1025" s="1" t="s">
        <v>1533</v>
      </c>
      <c r="C1025" s="2">
        <v>44785.380555555559</v>
      </c>
      <c r="D1025" s="4">
        <f t="shared" si="61"/>
        <v>44785</v>
      </c>
      <c r="E1025" s="6">
        <v>43.244444444440902</v>
      </c>
      <c r="F1025" s="6" t="str" cm="1">
        <f t="array" ref="F1025">_xlfn.IFS(
     AND(HOUR(session_data[[#This Row],[Time]])&gt;5,HOUR(session_data[[#This Row],[Time]])&lt;12),"Morning",
     AND(HOUR(session_data[[#This Row],[Time]])&gt;=12,HOUR(session_data[[#This Row],[Time]])&lt;17),"Afternoon",
     AND(HOUR(session_data[[#This Row],[Time]])&gt;=17,HOUR(session_data[[#This Row],[Time]])&lt;21),"Evening",
     TRUE,"Night"
)</f>
        <v>Night</v>
      </c>
      <c r="G1025" s="1">
        <f t="shared" si="62"/>
        <v>2022</v>
      </c>
      <c r="H1025" s="1" t="str">
        <f t="shared" si="63"/>
        <v>Aug</v>
      </c>
      <c r="I1025" s="1" t="str">
        <f t="shared" si="60"/>
        <v>Fri</v>
      </c>
      <c r="J1025" s="1" t="s">
        <v>11</v>
      </c>
      <c r="K1025" s="1" t="s">
        <v>29</v>
      </c>
      <c r="L1025" s="1" t="s">
        <v>94</v>
      </c>
      <c r="M1025" s="1" t="s">
        <v>32</v>
      </c>
      <c r="N1025" s="1" t="s">
        <v>22</v>
      </c>
      <c r="O1025" t="s">
        <v>45</v>
      </c>
    </row>
    <row r="1026" spans="1:15" x14ac:dyDescent="0.25">
      <c r="A1026" s="1" t="s">
        <v>1535</v>
      </c>
      <c r="B1026" s="1" t="s">
        <v>1536</v>
      </c>
      <c r="C1026" s="3">
        <v>44638.640972222223</v>
      </c>
      <c r="D1026" s="4">
        <f t="shared" si="61"/>
        <v>44638</v>
      </c>
      <c r="E1026" s="6">
        <v>43.286111111107601</v>
      </c>
      <c r="F1026" s="6" t="str" cm="1">
        <f t="array" ref="F1026">_xlfn.IFS(
     AND(HOUR(session_data[[#This Row],[Time]])&gt;5,HOUR(session_data[[#This Row],[Time]])&lt;12),"Morning",
     AND(HOUR(session_data[[#This Row],[Time]])&gt;=12,HOUR(session_data[[#This Row],[Time]])&lt;17),"Afternoon",
     AND(HOUR(session_data[[#This Row],[Time]])&gt;=17,HOUR(session_data[[#This Row],[Time]])&lt;21),"Evening",
     TRUE,"Night"
)</f>
        <v>Morning</v>
      </c>
      <c r="G1026" s="1">
        <f t="shared" si="62"/>
        <v>2022</v>
      </c>
      <c r="H1026" s="1" t="str">
        <f t="shared" si="63"/>
        <v>Mar</v>
      </c>
      <c r="I1026" s="1" t="str">
        <f t="shared" ref="I1026:I1080" si="64">TEXT(D1026,"DDD")</f>
        <v>Fri</v>
      </c>
      <c r="J1026" s="1" t="s">
        <v>18</v>
      </c>
      <c r="K1026" s="1" t="s">
        <v>12</v>
      </c>
      <c r="L1026" s="1" t="s">
        <v>50</v>
      </c>
      <c r="M1026" s="1" t="s">
        <v>19</v>
      </c>
      <c r="N1026" s="1" t="s">
        <v>14</v>
      </c>
      <c r="O1026" t="s">
        <v>45</v>
      </c>
    </row>
    <row r="1027" spans="1:15" x14ac:dyDescent="0.25">
      <c r="A1027" s="1" t="s">
        <v>1537</v>
      </c>
      <c r="B1027" s="1" t="s">
        <v>1536</v>
      </c>
      <c r="C1027" s="3">
        <v>44665.724305555559</v>
      </c>
      <c r="D1027" s="4">
        <f t="shared" ref="D1027:D1080" si="65">INT(C1027)</f>
        <v>44665</v>
      </c>
      <c r="E1027" s="6">
        <v>43.327777777774202</v>
      </c>
      <c r="F1027" s="6" t="str" cm="1">
        <f t="array" ref="F1027">_xlfn.IFS(
     AND(HOUR(session_data[[#This Row],[Time]])&gt;5,HOUR(session_data[[#This Row],[Time]])&lt;12),"Morning",
     AND(HOUR(session_data[[#This Row],[Time]])&gt;=12,HOUR(session_data[[#This Row],[Time]])&lt;17),"Afternoon",
     AND(HOUR(session_data[[#This Row],[Time]])&gt;=17,HOUR(session_data[[#This Row],[Time]])&lt;21),"Evening",
     TRUE,"Night"
)</f>
        <v>Morning</v>
      </c>
      <c r="G1027" s="1">
        <f t="shared" ref="G1027:G1080" si="66">YEAR(D1027)</f>
        <v>2022</v>
      </c>
      <c r="H1027" s="1" t="str">
        <f t="shared" ref="H1027:H1080" si="67">TEXT(D1027,"MMM")</f>
        <v>Apr</v>
      </c>
      <c r="I1027" s="1" t="str">
        <f t="shared" si="64"/>
        <v>Thu</v>
      </c>
      <c r="J1027" s="1" t="s">
        <v>18</v>
      </c>
      <c r="K1027" s="1" t="s">
        <v>12</v>
      </c>
      <c r="L1027" s="1" t="s">
        <v>50</v>
      </c>
      <c r="M1027" s="1" t="s">
        <v>19</v>
      </c>
      <c r="N1027" s="1" t="s">
        <v>22</v>
      </c>
      <c r="O1027" t="s">
        <v>45</v>
      </c>
    </row>
    <row r="1028" spans="1:15" x14ac:dyDescent="0.25">
      <c r="A1028" s="1" t="s">
        <v>1538</v>
      </c>
      <c r="B1028" s="1" t="s">
        <v>1536</v>
      </c>
      <c r="C1028" s="3">
        <v>44668.640972222223</v>
      </c>
      <c r="D1028" s="4">
        <f t="shared" si="65"/>
        <v>44668</v>
      </c>
      <c r="E1028" s="6">
        <v>43.369444444440902</v>
      </c>
      <c r="F1028" s="6" t="str" cm="1">
        <f t="array" ref="F1028">_xlfn.IFS(
     AND(HOUR(session_data[[#This Row],[Time]])&gt;5,HOUR(session_data[[#This Row],[Time]])&lt;12),"Morning",
     AND(HOUR(session_data[[#This Row],[Time]])&gt;=12,HOUR(session_data[[#This Row],[Time]])&lt;17),"Afternoon",
     AND(HOUR(session_data[[#This Row],[Time]])&gt;=17,HOUR(session_data[[#This Row],[Time]])&lt;21),"Evening",
     TRUE,"Night"
)</f>
        <v>Morning</v>
      </c>
      <c r="G1028" s="1">
        <f t="shared" si="66"/>
        <v>2022</v>
      </c>
      <c r="H1028" s="1" t="str">
        <f t="shared" si="67"/>
        <v>Apr</v>
      </c>
      <c r="I1028" s="1" t="str">
        <f t="shared" si="64"/>
        <v>Sun</v>
      </c>
      <c r="J1028" s="1" t="s">
        <v>18</v>
      </c>
      <c r="K1028" s="1" t="s">
        <v>12</v>
      </c>
      <c r="L1028" s="1" t="s">
        <v>50</v>
      </c>
      <c r="M1028" s="1" t="s">
        <v>19</v>
      </c>
      <c r="N1028" s="1" t="s">
        <v>22</v>
      </c>
      <c r="O1028" t="s">
        <v>45</v>
      </c>
    </row>
    <row r="1029" spans="1:15" x14ac:dyDescent="0.25">
      <c r="A1029" s="1" t="s">
        <v>1539</v>
      </c>
      <c r="B1029" s="1" t="s">
        <v>1536</v>
      </c>
      <c r="C1029" s="3">
        <v>44699.557638888888</v>
      </c>
      <c r="D1029" s="4">
        <f t="shared" si="65"/>
        <v>44699</v>
      </c>
      <c r="E1029" s="6">
        <v>43.411111111107601</v>
      </c>
      <c r="F1029" s="6" t="str" cm="1">
        <f t="array" ref="F1029">_xlfn.IFS(
     AND(HOUR(session_data[[#This Row],[Time]])&gt;5,HOUR(session_data[[#This Row],[Time]])&lt;12),"Morning",
     AND(HOUR(session_data[[#This Row],[Time]])&gt;=12,HOUR(session_data[[#This Row],[Time]])&lt;17),"Afternoon",
     AND(HOUR(session_data[[#This Row],[Time]])&gt;=17,HOUR(session_data[[#This Row],[Time]])&lt;21),"Evening",
     TRUE,"Night"
)</f>
        <v>Morning</v>
      </c>
      <c r="G1029" s="1">
        <f t="shared" si="66"/>
        <v>2022</v>
      </c>
      <c r="H1029" s="1" t="str">
        <f t="shared" si="67"/>
        <v>May</v>
      </c>
      <c r="I1029" s="1" t="str">
        <f t="shared" si="64"/>
        <v>Wed</v>
      </c>
      <c r="J1029" s="1" t="s">
        <v>18</v>
      </c>
      <c r="K1029" s="1" t="s">
        <v>12</v>
      </c>
      <c r="L1029" s="1" t="s">
        <v>50</v>
      </c>
      <c r="M1029" s="1" t="s">
        <v>19</v>
      </c>
      <c r="N1029" s="1" t="s">
        <v>22</v>
      </c>
      <c r="O1029" t="s">
        <v>45</v>
      </c>
    </row>
    <row r="1030" spans="1:15" x14ac:dyDescent="0.25">
      <c r="A1030" s="1" t="s">
        <v>1540</v>
      </c>
      <c r="B1030" s="1" t="s">
        <v>1536</v>
      </c>
      <c r="C1030" s="3">
        <v>44729.932638888888</v>
      </c>
      <c r="D1030" s="4">
        <f t="shared" si="65"/>
        <v>44729</v>
      </c>
      <c r="E1030" s="6">
        <v>43.452777777774202</v>
      </c>
      <c r="F1030" s="6" t="str" cm="1">
        <f t="array" ref="F1030">_xlfn.IFS(
     AND(HOUR(session_data[[#This Row],[Time]])&gt;5,HOUR(session_data[[#This Row],[Time]])&lt;12),"Morning",
     AND(HOUR(session_data[[#This Row],[Time]])&gt;=12,HOUR(session_data[[#This Row],[Time]])&lt;17),"Afternoon",
     AND(HOUR(session_data[[#This Row],[Time]])&gt;=17,HOUR(session_data[[#This Row],[Time]])&lt;21),"Evening",
     TRUE,"Night"
)</f>
        <v>Morning</v>
      </c>
      <c r="G1030" s="1">
        <f t="shared" si="66"/>
        <v>2022</v>
      </c>
      <c r="H1030" s="1" t="str">
        <f t="shared" si="67"/>
        <v>Jun</v>
      </c>
      <c r="I1030" s="1" t="str">
        <f t="shared" si="64"/>
        <v>Fri</v>
      </c>
      <c r="J1030" s="1" t="s">
        <v>18</v>
      </c>
      <c r="K1030" s="1" t="s">
        <v>12</v>
      </c>
      <c r="L1030" s="1" t="s">
        <v>50</v>
      </c>
      <c r="M1030" s="1" t="s">
        <v>19</v>
      </c>
      <c r="N1030" s="1" t="s">
        <v>22</v>
      </c>
      <c r="O1030" t="s">
        <v>45</v>
      </c>
    </row>
    <row r="1031" spans="1:15" x14ac:dyDescent="0.25">
      <c r="A1031" s="1" t="s">
        <v>1541</v>
      </c>
      <c r="B1031" s="1" t="s">
        <v>1542</v>
      </c>
      <c r="C1031" s="2">
        <v>44900.802083333336</v>
      </c>
      <c r="D1031" s="4">
        <f t="shared" si="65"/>
        <v>44900</v>
      </c>
      <c r="E1031" s="6">
        <v>43.494444444440902</v>
      </c>
      <c r="F1031" s="6" t="str" cm="1">
        <f t="array" ref="F1031">_xlfn.IFS(
     AND(HOUR(session_data[[#This Row],[Time]])&gt;5,HOUR(session_data[[#This Row],[Time]])&lt;12),"Morning",
     AND(HOUR(session_data[[#This Row],[Time]])&gt;=12,HOUR(session_data[[#This Row],[Time]])&lt;17),"Afternoon",
     AND(HOUR(session_data[[#This Row],[Time]])&gt;=17,HOUR(session_data[[#This Row],[Time]])&lt;21),"Evening",
     TRUE,"Night"
)</f>
        <v>Morning</v>
      </c>
      <c r="G1031" s="1">
        <f t="shared" si="66"/>
        <v>2022</v>
      </c>
      <c r="H1031" s="1" t="str">
        <f t="shared" si="67"/>
        <v>Dec</v>
      </c>
      <c r="I1031" s="1" t="str">
        <f t="shared" si="64"/>
        <v>Mon</v>
      </c>
      <c r="J1031" s="1" t="s">
        <v>11</v>
      </c>
      <c r="K1031" s="1" t="s">
        <v>12</v>
      </c>
      <c r="L1031" s="1" t="s">
        <v>94</v>
      </c>
      <c r="M1031" s="1" t="s">
        <v>32</v>
      </c>
      <c r="N1031" s="1" t="s">
        <v>14</v>
      </c>
      <c r="O1031" t="s">
        <v>45</v>
      </c>
    </row>
    <row r="1032" spans="1:15" x14ac:dyDescent="0.25">
      <c r="A1032" s="1" t="s">
        <v>1543</v>
      </c>
      <c r="B1032" s="1" t="s">
        <v>1542</v>
      </c>
      <c r="C1032" s="2">
        <v>44598.052083333336</v>
      </c>
      <c r="D1032" s="4">
        <f t="shared" si="65"/>
        <v>44598</v>
      </c>
      <c r="E1032" s="6">
        <v>43.536111111107601</v>
      </c>
      <c r="F1032" s="6" t="str" cm="1">
        <f t="array" ref="F1032">_xlfn.IFS(
     AND(HOUR(session_data[[#This Row],[Time]])&gt;5,HOUR(session_data[[#This Row],[Time]])&lt;12),"Morning",
     AND(HOUR(session_data[[#This Row],[Time]])&gt;=12,HOUR(session_data[[#This Row],[Time]])&lt;17),"Afternoon",
     AND(HOUR(session_data[[#This Row],[Time]])&gt;=17,HOUR(session_data[[#This Row],[Time]])&lt;21),"Evening",
     TRUE,"Night"
)</f>
        <v>Afternoon</v>
      </c>
      <c r="G1032" s="1">
        <f t="shared" si="66"/>
        <v>2022</v>
      </c>
      <c r="H1032" s="1" t="str">
        <f t="shared" si="67"/>
        <v>Feb</v>
      </c>
      <c r="I1032" s="1" t="str">
        <f t="shared" si="64"/>
        <v>Sun</v>
      </c>
      <c r="J1032" s="1" t="s">
        <v>11</v>
      </c>
      <c r="K1032" s="1" t="s">
        <v>12</v>
      </c>
      <c r="L1032" s="1" t="s">
        <v>94</v>
      </c>
      <c r="M1032" s="1" t="s">
        <v>32</v>
      </c>
      <c r="N1032" s="1" t="s">
        <v>22</v>
      </c>
      <c r="O1032" t="s">
        <v>45</v>
      </c>
    </row>
    <row r="1033" spans="1:15" x14ac:dyDescent="0.25">
      <c r="A1033" s="1" t="s">
        <v>1544</v>
      </c>
      <c r="B1033" s="1" t="s">
        <v>1545</v>
      </c>
      <c r="C1033" s="3">
        <v>44641.966666666667</v>
      </c>
      <c r="D1033" s="4">
        <f t="shared" si="65"/>
        <v>44641</v>
      </c>
      <c r="E1033" s="6">
        <v>43.577777777774202</v>
      </c>
      <c r="F1033" s="6" t="str" cm="1">
        <f t="array" ref="F1033">_xlfn.IFS(
     AND(HOUR(session_data[[#This Row],[Time]])&gt;5,HOUR(session_data[[#This Row],[Time]])&lt;12),"Morning",
     AND(HOUR(session_data[[#This Row],[Time]])&gt;=12,HOUR(session_data[[#This Row],[Time]])&lt;17),"Afternoon",
     AND(HOUR(session_data[[#This Row],[Time]])&gt;=17,HOUR(session_data[[#This Row],[Time]])&lt;21),"Evening",
     TRUE,"Night"
)</f>
        <v>Afternoon</v>
      </c>
      <c r="G1033" s="1">
        <f t="shared" si="66"/>
        <v>2022</v>
      </c>
      <c r="H1033" s="1" t="str">
        <f t="shared" si="67"/>
        <v>Mar</v>
      </c>
      <c r="I1033" s="1" t="str">
        <f t="shared" si="64"/>
        <v>Mon</v>
      </c>
      <c r="J1033" s="1" t="s">
        <v>11</v>
      </c>
      <c r="K1033" s="1" t="s">
        <v>29</v>
      </c>
      <c r="L1033" s="1" t="s">
        <v>50</v>
      </c>
      <c r="M1033" s="1" t="s">
        <v>19</v>
      </c>
      <c r="N1033" s="1" t="s">
        <v>14</v>
      </c>
      <c r="O1033" t="s">
        <v>15</v>
      </c>
    </row>
    <row r="1034" spans="1:15" x14ac:dyDescent="0.25">
      <c r="A1034" s="1" t="s">
        <v>1546</v>
      </c>
      <c r="B1034" s="1" t="s">
        <v>1545</v>
      </c>
      <c r="C1034" s="2">
        <v>44869.508333333331</v>
      </c>
      <c r="D1034" s="4">
        <f t="shared" si="65"/>
        <v>44869</v>
      </c>
      <c r="E1034" s="6">
        <v>43.619444444440902</v>
      </c>
      <c r="F1034" s="6" t="str" cm="1">
        <f t="array" ref="F1034">_xlfn.IFS(
     AND(HOUR(session_data[[#This Row],[Time]])&gt;5,HOUR(session_data[[#This Row],[Time]])&lt;12),"Morning",
     AND(HOUR(session_data[[#This Row],[Time]])&gt;=12,HOUR(session_data[[#This Row],[Time]])&lt;17),"Afternoon",
     AND(HOUR(session_data[[#This Row],[Time]])&gt;=17,HOUR(session_data[[#This Row],[Time]])&lt;21),"Evening",
     TRUE,"Night"
)</f>
        <v>Afternoon</v>
      </c>
      <c r="G1034" s="1">
        <f t="shared" si="66"/>
        <v>2022</v>
      </c>
      <c r="H1034" s="1" t="str">
        <f t="shared" si="67"/>
        <v>Nov</v>
      </c>
      <c r="I1034" s="1" t="str">
        <f t="shared" si="64"/>
        <v>Fri</v>
      </c>
      <c r="J1034" s="1" t="s">
        <v>11</v>
      </c>
      <c r="K1034" s="1" t="s">
        <v>29</v>
      </c>
      <c r="L1034" s="1" t="s">
        <v>50</v>
      </c>
      <c r="M1034" s="1" t="s">
        <v>19</v>
      </c>
      <c r="N1034" s="1" t="s">
        <v>22</v>
      </c>
      <c r="O1034" t="s">
        <v>15</v>
      </c>
    </row>
    <row r="1035" spans="1:15" x14ac:dyDescent="0.25">
      <c r="A1035" s="1" t="s">
        <v>1547</v>
      </c>
      <c r="B1035" s="1" t="s">
        <v>1548</v>
      </c>
      <c r="C1035" s="2">
        <v>44777.663194444445</v>
      </c>
      <c r="D1035" s="4">
        <f t="shared" si="65"/>
        <v>44777</v>
      </c>
      <c r="E1035" s="6">
        <v>43.661111111107601</v>
      </c>
      <c r="F1035" s="6" t="str" cm="1">
        <f t="array" ref="F1035">_xlfn.IFS(
     AND(HOUR(session_data[[#This Row],[Time]])&gt;5,HOUR(session_data[[#This Row],[Time]])&lt;12),"Morning",
     AND(HOUR(session_data[[#This Row],[Time]])&gt;=12,HOUR(session_data[[#This Row],[Time]])&lt;17),"Afternoon",
     AND(HOUR(session_data[[#This Row],[Time]])&gt;=17,HOUR(session_data[[#This Row],[Time]])&lt;21),"Evening",
     TRUE,"Night"
)</f>
        <v>Afternoon</v>
      </c>
      <c r="G1035" s="1">
        <f t="shared" si="66"/>
        <v>2022</v>
      </c>
      <c r="H1035" s="1" t="str">
        <f t="shared" si="67"/>
        <v>Aug</v>
      </c>
      <c r="I1035" s="1" t="str">
        <f t="shared" si="64"/>
        <v>Thu</v>
      </c>
      <c r="J1035" s="1" t="s">
        <v>18</v>
      </c>
      <c r="K1035" s="1" t="s">
        <v>12</v>
      </c>
      <c r="L1035" s="1" t="s">
        <v>119</v>
      </c>
      <c r="M1035" s="1" t="s">
        <v>40</v>
      </c>
      <c r="N1035" s="1" t="s">
        <v>14</v>
      </c>
      <c r="O1035" t="s">
        <v>45</v>
      </c>
    </row>
    <row r="1036" spans="1:15" x14ac:dyDescent="0.25">
      <c r="A1036" s="1" t="s">
        <v>1549</v>
      </c>
      <c r="B1036" s="1" t="s">
        <v>1548</v>
      </c>
      <c r="C1036" s="3">
        <v>44680.538194444445</v>
      </c>
      <c r="D1036" s="4">
        <f t="shared" si="65"/>
        <v>44680</v>
      </c>
      <c r="E1036" s="6">
        <v>43.702777777774202</v>
      </c>
      <c r="F1036" s="6" t="str" cm="1">
        <f t="array" ref="F1036">_xlfn.IFS(
     AND(HOUR(session_data[[#This Row],[Time]])&gt;5,HOUR(session_data[[#This Row],[Time]])&lt;12),"Morning",
     AND(HOUR(session_data[[#This Row],[Time]])&gt;=12,HOUR(session_data[[#This Row],[Time]])&lt;17),"Afternoon",
     AND(HOUR(session_data[[#This Row],[Time]])&gt;=17,HOUR(session_data[[#This Row],[Time]])&lt;21),"Evening",
     TRUE,"Night"
)</f>
        <v>Afternoon</v>
      </c>
      <c r="G1036" s="1">
        <f t="shared" si="66"/>
        <v>2022</v>
      </c>
      <c r="H1036" s="1" t="str">
        <f t="shared" si="67"/>
        <v>Apr</v>
      </c>
      <c r="I1036" s="1" t="str">
        <f t="shared" si="64"/>
        <v>Fri</v>
      </c>
      <c r="J1036" s="1" t="s">
        <v>18</v>
      </c>
      <c r="K1036" s="1" t="s">
        <v>12</v>
      </c>
      <c r="L1036" s="1" t="s">
        <v>119</v>
      </c>
      <c r="M1036" s="1" t="s">
        <v>40</v>
      </c>
      <c r="N1036" s="1" t="s">
        <v>22</v>
      </c>
      <c r="O1036" t="s">
        <v>45</v>
      </c>
    </row>
    <row r="1037" spans="1:15" x14ac:dyDescent="0.25">
      <c r="A1037" s="1" t="s">
        <v>1550</v>
      </c>
      <c r="B1037" s="1" t="s">
        <v>1548</v>
      </c>
      <c r="C1037" s="3">
        <v>44699.954861111109</v>
      </c>
      <c r="D1037" s="4">
        <f t="shared" si="65"/>
        <v>44699</v>
      </c>
      <c r="E1037" s="6">
        <v>43.744444444440902</v>
      </c>
      <c r="F1037" s="6" t="str" cm="1">
        <f t="array" ref="F1037">_xlfn.IFS(
     AND(HOUR(session_data[[#This Row],[Time]])&gt;5,HOUR(session_data[[#This Row],[Time]])&lt;12),"Morning",
     AND(HOUR(session_data[[#This Row],[Time]])&gt;=12,HOUR(session_data[[#This Row],[Time]])&lt;17),"Afternoon",
     AND(HOUR(session_data[[#This Row],[Time]])&gt;=17,HOUR(session_data[[#This Row],[Time]])&lt;21),"Evening",
     TRUE,"Night"
)</f>
        <v>Evening</v>
      </c>
      <c r="G1037" s="1">
        <f t="shared" si="66"/>
        <v>2022</v>
      </c>
      <c r="H1037" s="1" t="str">
        <f t="shared" si="67"/>
        <v>May</v>
      </c>
      <c r="I1037" s="1" t="str">
        <f t="shared" si="64"/>
        <v>Wed</v>
      </c>
      <c r="J1037" s="1" t="s">
        <v>18</v>
      </c>
      <c r="K1037" s="1" t="s">
        <v>12</v>
      </c>
      <c r="L1037" s="1" t="s">
        <v>119</v>
      </c>
      <c r="M1037" s="1" t="s">
        <v>40</v>
      </c>
      <c r="N1037" s="1" t="s">
        <v>22</v>
      </c>
      <c r="O1037" t="s">
        <v>45</v>
      </c>
    </row>
    <row r="1038" spans="1:15" x14ac:dyDescent="0.25">
      <c r="A1038" s="1" t="s">
        <v>1551</v>
      </c>
      <c r="B1038" s="1" t="s">
        <v>1552</v>
      </c>
      <c r="C1038" s="2">
        <v>44627.947916666664</v>
      </c>
      <c r="D1038" s="4">
        <f t="shared" si="65"/>
        <v>44627</v>
      </c>
      <c r="E1038" s="6">
        <v>43.786111111107601</v>
      </c>
      <c r="F1038" s="6" t="str" cm="1">
        <f t="array" ref="F1038">_xlfn.IFS(
     AND(HOUR(session_data[[#This Row],[Time]])&gt;5,HOUR(session_data[[#This Row],[Time]])&lt;12),"Morning",
     AND(HOUR(session_data[[#This Row],[Time]])&gt;=12,HOUR(session_data[[#This Row],[Time]])&lt;17),"Afternoon",
     AND(HOUR(session_data[[#This Row],[Time]])&gt;=17,HOUR(session_data[[#This Row],[Time]])&lt;21),"Evening",
     TRUE,"Night"
)</f>
        <v>Evening</v>
      </c>
      <c r="G1038" s="1">
        <f t="shared" si="66"/>
        <v>2022</v>
      </c>
      <c r="H1038" s="1" t="str">
        <f t="shared" si="67"/>
        <v>Mar</v>
      </c>
      <c r="I1038" s="1" t="str">
        <f t="shared" si="64"/>
        <v>Mon</v>
      </c>
      <c r="J1038" s="1" t="s">
        <v>28</v>
      </c>
      <c r="K1038" s="1" t="s">
        <v>29</v>
      </c>
      <c r="L1038" s="1" t="s">
        <v>59</v>
      </c>
      <c r="M1038" s="1" t="s">
        <v>19</v>
      </c>
      <c r="N1038" s="1" t="s">
        <v>14</v>
      </c>
      <c r="O1038" t="s">
        <v>15</v>
      </c>
    </row>
    <row r="1039" spans="1:15" x14ac:dyDescent="0.25">
      <c r="A1039" s="1" t="s">
        <v>1553</v>
      </c>
      <c r="B1039" s="1" t="s">
        <v>1552</v>
      </c>
      <c r="C1039" s="2">
        <v>44689.947916666664</v>
      </c>
      <c r="D1039" s="4">
        <f t="shared" si="65"/>
        <v>44689</v>
      </c>
      <c r="E1039" s="6">
        <v>43.827777777774202</v>
      </c>
      <c r="F1039" s="6" t="str" cm="1">
        <f t="array" ref="F1039">_xlfn.IFS(
     AND(HOUR(session_data[[#This Row],[Time]])&gt;5,HOUR(session_data[[#This Row],[Time]])&lt;12),"Morning",
     AND(HOUR(session_data[[#This Row],[Time]])&gt;=12,HOUR(session_data[[#This Row],[Time]])&lt;17),"Afternoon",
     AND(HOUR(session_data[[#This Row],[Time]])&gt;=17,HOUR(session_data[[#This Row],[Time]])&lt;21),"Evening",
     TRUE,"Night"
)</f>
        <v>Evening</v>
      </c>
      <c r="G1039" s="1">
        <f t="shared" si="66"/>
        <v>2022</v>
      </c>
      <c r="H1039" s="1" t="str">
        <f t="shared" si="67"/>
        <v>May</v>
      </c>
      <c r="I1039" s="1" t="str">
        <f t="shared" si="64"/>
        <v>Sun</v>
      </c>
      <c r="J1039" s="1" t="s">
        <v>28</v>
      </c>
      <c r="K1039" s="1" t="s">
        <v>29</v>
      </c>
      <c r="L1039" s="1" t="s">
        <v>59</v>
      </c>
      <c r="M1039" s="1" t="s">
        <v>19</v>
      </c>
      <c r="N1039" s="1" t="s">
        <v>22</v>
      </c>
      <c r="O1039" t="s">
        <v>15</v>
      </c>
    </row>
    <row r="1040" spans="1:15" x14ac:dyDescent="0.25">
      <c r="A1040" s="1" t="s">
        <v>1554</v>
      </c>
      <c r="B1040" s="1" t="s">
        <v>1555</v>
      </c>
      <c r="C1040" s="3">
        <v>44827.799305555556</v>
      </c>
      <c r="D1040" s="4">
        <f t="shared" si="65"/>
        <v>44827</v>
      </c>
      <c r="E1040" s="6">
        <v>43.869444444440902</v>
      </c>
      <c r="F1040" s="6" t="str" cm="1">
        <f t="array" ref="F1040">_xlfn.IFS(
     AND(HOUR(session_data[[#This Row],[Time]])&gt;5,HOUR(session_data[[#This Row],[Time]])&lt;12),"Morning",
     AND(HOUR(session_data[[#This Row],[Time]])&gt;=12,HOUR(session_data[[#This Row],[Time]])&lt;17),"Afternoon",
     AND(HOUR(session_data[[#This Row],[Time]])&gt;=17,HOUR(session_data[[#This Row],[Time]])&lt;21),"Evening",
     TRUE,"Night"
)</f>
        <v>Evening</v>
      </c>
      <c r="G1040" s="1">
        <f t="shared" si="66"/>
        <v>2022</v>
      </c>
      <c r="H1040" s="1" t="str">
        <f t="shared" si="67"/>
        <v>Sep</v>
      </c>
      <c r="I1040" s="1" t="str">
        <f t="shared" si="64"/>
        <v>Fri</v>
      </c>
      <c r="J1040" s="1" t="s">
        <v>11</v>
      </c>
      <c r="K1040" s="1" t="s">
        <v>29</v>
      </c>
      <c r="L1040" s="1" t="s">
        <v>41</v>
      </c>
      <c r="M1040" s="1" t="s">
        <v>40</v>
      </c>
      <c r="N1040" s="1" t="s">
        <v>14</v>
      </c>
      <c r="O1040" t="s">
        <v>45</v>
      </c>
    </row>
    <row r="1041" spans="1:15" x14ac:dyDescent="0.25">
      <c r="A1041" s="1" t="s">
        <v>1556</v>
      </c>
      <c r="B1041" s="1" t="s">
        <v>1555</v>
      </c>
      <c r="C1041" s="2">
        <v>44875.09097222222</v>
      </c>
      <c r="D1041" s="4">
        <f t="shared" si="65"/>
        <v>44875</v>
      </c>
      <c r="E1041" s="6">
        <v>43.911111111107601</v>
      </c>
      <c r="F1041" s="6" t="str" cm="1">
        <f t="array" ref="F1041">_xlfn.IFS(
     AND(HOUR(session_data[[#This Row],[Time]])&gt;5,HOUR(session_data[[#This Row],[Time]])&lt;12),"Morning",
     AND(HOUR(session_data[[#This Row],[Time]])&gt;=12,HOUR(session_data[[#This Row],[Time]])&lt;17),"Afternoon",
     AND(HOUR(session_data[[#This Row],[Time]])&gt;=17,HOUR(session_data[[#This Row],[Time]])&lt;21),"Evening",
     TRUE,"Night"
)</f>
        <v>Night</v>
      </c>
      <c r="G1041" s="1">
        <f t="shared" si="66"/>
        <v>2022</v>
      </c>
      <c r="H1041" s="1" t="str">
        <f t="shared" si="67"/>
        <v>Nov</v>
      </c>
      <c r="I1041" s="1" t="str">
        <f t="shared" si="64"/>
        <v>Thu</v>
      </c>
      <c r="J1041" s="1" t="s">
        <v>11</v>
      </c>
      <c r="K1041" s="1" t="s">
        <v>29</v>
      </c>
      <c r="L1041" s="1" t="s">
        <v>41</v>
      </c>
      <c r="M1041" s="1" t="s">
        <v>40</v>
      </c>
      <c r="N1041" s="1" t="s">
        <v>22</v>
      </c>
      <c r="O1041" t="s">
        <v>45</v>
      </c>
    </row>
    <row r="1042" spans="1:15" x14ac:dyDescent="0.25">
      <c r="A1042" s="1" t="s">
        <v>1557</v>
      </c>
      <c r="B1042" s="1" t="s">
        <v>1558</v>
      </c>
      <c r="C1042" s="2">
        <v>44900.195138888892</v>
      </c>
      <c r="D1042" s="4">
        <f t="shared" si="65"/>
        <v>44900</v>
      </c>
      <c r="E1042" s="6">
        <v>43.952777777774202</v>
      </c>
      <c r="F1042" s="6" t="str" cm="1">
        <f t="array" ref="F1042">_xlfn.IFS(
     AND(HOUR(session_data[[#This Row],[Time]])&gt;5,HOUR(session_data[[#This Row],[Time]])&lt;12),"Morning",
     AND(HOUR(session_data[[#This Row],[Time]])&gt;=12,HOUR(session_data[[#This Row],[Time]])&lt;17),"Afternoon",
     AND(HOUR(session_data[[#This Row],[Time]])&gt;=17,HOUR(session_data[[#This Row],[Time]])&lt;21),"Evening",
     TRUE,"Night"
)</f>
        <v>Night</v>
      </c>
      <c r="G1042" s="1">
        <f t="shared" si="66"/>
        <v>2022</v>
      </c>
      <c r="H1042" s="1" t="str">
        <f t="shared" si="67"/>
        <v>Dec</v>
      </c>
      <c r="I1042" s="1" t="str">
        <f t="shared" si="64"/>
        <v>Mon</v>
      </c>
      <c r="J1042" s="1" t="s">
        <v>18</v>
      </c>
      <c r="K1042" s="1" t="s">
        <v>12</v>
      </c>
      <c r="L1042" s="1" t="s">
        <v>13</v>
      </c>
      <c r="M1042" s="1" t="s">
        <v>32</v>
      </c>
      <c r="N1042" s="1" t="s">
        <v>14</v>
      </c>
      <c r="O1042" t="s">
        <v>45</v>
      </c>
    </row>
    <row r="1043" spans="1:15" x14ac:dyDescent="0.25">
      <c r="A1043" s="1" t="s">
        <v>1559</v>
      </c>
      <c r="B1043" s="1" t="s">
        <v>1558</v>
      </c>
      <c r="C1043" s="3">
        <v>44711.111805555556</v>
      </c>
      <c r="D1043" s="4">
        <f t="shared" si="65"/>
        <v>44711</v>
      </c>
      <c r="E1043" s="6">
        <v>43.994444444440902</v>
      </c>
      <c r="F1043" s="6" t="str" cm="1">
        <f t="array" ref="F1043">_xlfn.IFS(
     AND(HOUR(session_data[[#This Row],[Time]])&gt;5,HOUR(session_data[[#This Row],[Time]])&lt;12),"Morning",
     AND(HOUR(session_data[[#This Row],[Time]])&gt;=12,HOUR(session_data[[#This Row],[Time]])&lt;17),"Afternoon",
     AND(HOUR(session_data[[#This Row],[Time]])&gt;=17,HOUR(session_data[[#This Row],[Time]])&lt;21),"Evening",
     TRUE,"Night"
)</f>
        <v>Night</v>
      </c>
      <c r="G1043" s="1">
        <f t="shared" si="66"/>
        <v>2022</v>
      </c>
      <c r="H1043" s="1" t="str">
        <f t="shared" si="67"/>
        <v>May</v>
      </c>
      <c r="I1043" s="1" t="str">
        <f t="shared" si="64"/>
        <v>Mon</v>
      </c>
      <c r="J1043" s="1" t="s">
        <v>18</v>
      </c>
      <c r="K1043" s="1" t="s">
        <v>12</v>
      </c>
      <c r="L1043" s="1" t="s">
        <v>13</v>
      </c>
      <c r="M1043" s="1" t="s">
        <v>32</v>
      </c>
      <c r="N1043" s="1" t="s">
        <v>22</v>
      </c>
      <c r="O1043" t="s">
        <v>45</v>
      </c>
    </row>
    <row r="1044" spans="1:15" x14ac:dyDescent="0.25">
      <c r="A1044" s="1" t="s">
        <v>1560</v>
      </c>
      <c r="B1044" s="1" t="s">
        <v>1561</v>
      </c>
      <c r="C1044" s="2">
        <v>44873.055555555555</v>
      </c>
      <c r="D1044" s="4">
        <f t="shared" si="65"/>
        <v>44873</v>
      </c>
      <c r="E1044" s="6">
        <v>44.036111111107601</v>
      </c>
      <c r="F1044" s="6" t="str" cm="1">
        <f t="array" ref="F1044">_xlfn.IFS(
     AND(HOUR(session_data[[#This Row],[Time]])&gt;5,HOUR(session_data[[#This Row],[Time]])&lt;12),"Morning",
     AND(HOUR(session_data[[#This Row],[Time]])&gt;=12,HOUR(session_data[[#This Row],[Time]])&lt;17),"Afternoon",
     AND(HOUR(session_data[[#This Row],[Time]])&gt;=17,HOUR(session_data[[#This Row],[Time]])&lt;21),"Evening",
     TRUE,"Night"
)</f>
        <v>Night</v>
      </c>
      <c r="G1044" s="1">
        <f t="shared" si="66"/>
        <v>2022</v>
      </c>
      <c r="H1044" s="1" t="str">
        <f t="shared" si="67"/>
        <v>Nov</v>
      </c>
      <c r="I1044" s="1" t="str">
        <f t="shared" si="64"/>
        <v>Tue</v>
      </c>
      <c r="J1044" s="1" t="s">
        <v>18</v>
      </c>
      <c r="K1044" s="1" t="s">
        <v>12</v>
      </c>
      <c r="L1044" s="1" t="s">
        <v>30</v>
      </c>
      <c r="M1044" s="1" t="s">
        <v>32</v>
      </c>
      <c r="N1044" s="1" t="s">
        <v>14</v>
      </c>
      <c r="O1044" t="s">
        <v>15</v>
      </c>
    </row>
    <row r="1045" spans="1:15" x14ac:dyDescent="0.25">
      <c r="A1045" s="1" t="s">
        <v>1562</v>
      </c>
      <c r="B1045" s="1" t="s">
        <v>1561</v>
      </c>
      <c r="C1045" s="3">
        <v>44793.430555555555</v>
      </c>
      <c r="D1045" s="4">
        <f t="shared" si="65"/>
        <v>44793</v>
      </c>
      <c r="E1045" s="6">
        <v>44.077777777774202</v>
      </c>
      <c r="F1045" s="6" t="str" cm="1">
        <f t="array" ref="F1045">_xlfn.IFS(
     AND(HOUR(session_data[[#This Row],[Time]])&gt;5,HOUR(session_data[[#This Row],[Time]])&lt;12),"Morning",
     AND(HOUR(session_data[[#This Row],[Time]])&gt;=12,HOUR(session_data[[#This Row],[Time]])&lt;17),"Afternoon",
     AND(HOUR(session_data[[#This Row],[Time]])&gt;=17,HOUR(session_data[[#This Row],[Time]])&lt;21),"Evening",
     TRUE,"Night"
)</f>
        <v>Night</v>
      </c>
      <c r="G1045" s="1">
        <f t="shared" si="66"/>
        <v>2022</v>
      </c>
      <c r="H1045" s="1" t="str">
        <f t="shared" si="67"/>
        <v>Aug</v>
      </c>
      <c r="I1045" s="1" t="str">
        <f t="shared" si="64"/>
        <v>Sat</v>
      </c>
      <c r="J1045" s="1" t="s">
        <v>18</v>
      </c>
      <c r="K1045" s="1" t="s">
        <v>12</v>
      </c>
      <c r="L1045" s="1" t="s">
        <v>30</v>
      </c>
      <c r="M1045" s="1" t="s">
        <v>32</v>
      </c>
      <c r="N1045" s="1" t="s">
        <v>22</v>
      </c>
      <c r="O1045" t="s">
        <v>15</v>
      </c>
    </row>
    <row r="1046" spans="1:15" x14ac:dyDescent="0.25">
      <c r="A1046" s="1" t="s">
        <v>1563</v>
      </c>
      <c r="B1046" s="1" t="s">
        <v>1561</v>
      </c>
      <c r="C1046" s="2">
        <v>44782.055555555555</v>
      </c>
      <c r="D1046" s="4">
        <f t="shared" si="65"/>
        <v>44782</v>
      </c>
      <c r="E1046" s="6">
        <v>44.119444444440902</v>
      </c>
      <c r="F1046" s="6" t="str" cm="1">
        <f t="array" ref="F1046">_xlfn.IFS(
     AND(HOUR(session_data[[#This Row],[Time]])&gt;5,HOUR(session_data[[#This Row],[Time]])&lt;12),"Morning",
     AND(HOUR(session_data[[#This Row],[Time]])&gt;=12,HOUR(session_data[[#This Row],[Time]])&lt;17),"Afternoon",
     AND(HOUR(session_data[[#This Row],[Time]])&gt;=17,HOUR(session_data[[#This Row],[Time]])&lt;21),"Evening",
     TRUE,"Night"
)</f>
        <v>Night</v>
      </c>
      <c r="G1046" s="1">
        <f t="shared" si="66"/>
        <v>2022</v>
      </c>
      <c r="H1046" s="1" t="str">
        <f t="shared" si="67"/>
        <v>Aug</v>
      </c>
      <c r="I1046" s="1" t="str">
        <f t="shared" si="64"/>
        <v>Tue</v>
      </c>
      <c r="J1046" s="1" t="s">
        <v>18</v>
      </c>
      <c r="K1046" s="1" t="s">
        <v>12</v>
      </c>
      <c r="L1046" s="1" t="s">
        <v>30</v>
      </c>
      <c r="M1046" s="1" t="s">
        <v>32</v>
      </c>
      <c r="N1046" s="1" t="s">
        <v>22</v>
      </c>
      <c r="O1046" t="s">
        <v>15</v>
      </c>
    </row>
    <row r="1047" spans="1:15" x14ac:dyDescent="0.25">
      <c r="A1047" s="1" t="s">
        <v>1564</v>
      </c>
      <c r="B1047" s="1" t="s">
        <v>1561</v>
      </c>
      <c r="C1047" s="2">
        <v>44783.638888888891</v>
      </c>
      <c r="D1047" s="4">
        <f t="shared" si="65"/>
        <v>44783</v>
      </c>
      <c r="E1047" s="6">
        <v>44.161111111107601</v>
      </c>
      <c r="F1047" s="6" t="str" cm="1">
        <f t="array" ref="F1047">_xlfn.IFS(
     AND(HOUR(session_data[[#This Row],[Time]])&gt;5,HOUR(session_data[[#This Row],[Time]])&lt;12),"Morning",
     AND(HOUR(session_data[[#This Row],[Time]])&gt;=12,HOUR(session_data[[#This Row],[Time]])&lt;17),"Afternoon",
     AND(HOUR(session_data[[#This Row],[Time]])&gt;=17,HOUR(session_data[[#This Row],[Time]])&lt;21),"Evening",
     TRUE,"Night"
)</f>
        <v>Night</v>
      </c>
      <c r="G1047" s="1">
        <f t="shared" si="66"/>
        <v>2022</v>
      </c>
      <c r="H1047" s="1" t="str">
        <f t="shared" si="67"/>
        <v>Aug</v>
      </c>
      <c r="I1047" s="1" t="str">
        <f t="shared" si="64"/>
        <v>Wed</v>
      </c>
      <c r="J1047" s="1" t="s">
        <v>18</v>
      </c>
      <c r="K1047" s="1" t="s">
        <v>12</v>
      </c>
      <c r="L1047" s="1" t="s">
        <v>30</v>
      </c>
      <c r="M1047" s="1" t="s">
        <v>32</v>
      </c>
      <c r="N1047" s="1" t="s">
        <v>22</v>
      </c>
      <c r="O1047" t="s">
        <v>15</v>
      </c>
    </row>
    <row r="1048" spans="1:15" x14ac:dyDescent="0.25">
      <c r="A1048" s="1" t="s">
        <v>1565</v>
      </c>
      <c r="B1048" s="1" t="s">
        <v>1566</v>
      </c>
      <c r="C1048" s="2">
        <v>44596.098611111112</v>
      </c>
      <c r="D1048" s="4">
        <f t="shared" si="65"/>
        <v>44596</v>
      </c>
      <c r="E1048" s="6">
        <v>44.202777777774202</v>
      </c>
      <c r="F1048" s="6" t="str" cm="1">
        <f t="array" ref="F1048">_xlfn.IFS(
     AND(HOUR(session_data[[#This Row],[Time]])&gt;5,HOUR(session_data[[#This Row],[Time]])&lt;12),"Morning",
     AND(HOUR(session_data[[#This Row],[Time]])&gt;=12,HOUR(session_data[[#This Row],[Time]])&lt;17),"Afternoon",
     AND(HOUR(session_data[[#This Row],[Time]])&gt;=17,HOUR(session_data[[#This Row],[Time]])&lt;21),"Evening",
     TRUE,"Night"
)</f>
        <v>Night</v>
      </c>
      <c r="G1048" s="1">
        <f t="shared" si="66"/>
        <v>2022</v>
      </c>
      <c r="H1048" s="1" t="str">
        <f t="shared" si="67"/>
        <v>Feb</v>
      </c>
      <c r="I1048" s="1" t="str">
        <f t="shared" si="64"/>
        <v>Fri</v>
      </c>
      <c r="J1048" s="1" t="s">
        <v>28</v>
      </c>
      <c r="K1048" s="1" t="s">
        <v>12</v>
      </c>
      <c r="L1048" s="1" t="s">
        <v>50</v>
      </c>
      <c r="M1048" s="1" t="s">
        <v>19</v>
      </c>
      <c r="N1048" s="1" t="s">
        <v>14</v>
      </c>
      <c r="O1048" t="s">
        <v>45</v>
      </c>
    </row>
    <row r="1049" spans="1:15" x14ac:dyDescent="0.25">
      <c r="A1049" s="1" t="s">
        <v>1567</v>
      </c>
      <c r="B1049" s="1" t="s">
        <v>1568</v>
      </c>
      <c r="C1049" s="3">
        <v>44650.202777777777</v>
      </c>
      <c r="D1049" s="4">
        <f t="shared" si="65"/>
        <v>44650</v>
      </c>
      <c r="E1049" s="6">
        <v>44.244444444440902</v>
      </c>
      <c r="F1049" s="6" t="str" cm="1">
        <f t="array" ref="F1049">_xlfn.IFS(
     AND(HOUR(session_data[[#This Row],[Time]])&gt;5,HOUR(session_data[[#This Row],[Time]])&lt;12),"Morning",
     AND(HOUR(session_data[[#This Row],[Time]])&gt;=12,HOUR(session_data[[#This Row],[Time]])&lt;17),"Afternoon",
     AND(HOUR(session_data[[#This Row],[Time]])&gt;=17,HOUR(session_data[[#This Row],[Time]])&lt;21),"Evening",
     TRUE,"Night"
)</f>
        <v>Night</v>
      </c>
      <c r="G1049" s="1">
        <f t="shared" si="66"/>
        <v>2022</v>
      </c>
      <c r="H1049" s="1" t="str">
        <f t="shared" si="67"/>
        <v>Mar</v>
      </c>
      <c r="I1049" s="1" t="str">
        <f t="shared" si="64"/>
        <v>Wed</v>
      </c>
      <c r="J1049" s="1" t="s">
        <v>66</v>
      </c>
      <c r="K1049" s="1" t="s">
        <v>12</v>
      </c>
      <c r="L1049" s="1" t="s">
        <v>20</v>
      </c>
      <c r="M1049" s="1" t="s">
        <v>19</v>
      </c>
      <c r="N1049" s="1" t="s">
        <v>14</v>
      </c>
      <c r="O1049" t="s">
        <v>45</v>
      </c>
    </row>
    <row r="1050" spans="1:15" x14ac:dyDescent="0.25">
      <c r="A1050" s="1" t="s">
        <v>1569</v>
      </c>
      <c r="B1050" s="1" t="s">
        <v>1570</v>
      </c>
      <c r="C1050" s="3">
        <v>44671.751388888886</v>
      </c>
      <c r="D1050" s="4">
        <f t="shared" si="65"/>
        <v>44671</v>
      </c>
      <c r="E1050" s="6">
        <v>44.286111111107601</v>
      </c>
      <c r="F1050" s="6" t="str" cm="1">
        <f t="array" ref="F1050">_xlfn.IFS(
     AND(HOUR(session_data[[#This Row],[Time]])&gt;5,HOUR(session_data[[#This Row],[Time]])&lt;12),"Morning",
     AND(HOUR(session_data[[#This Row],[Time]])&gt;=12,HOUR(session_data[[#This Row],[Time]])&lt;17),"Afternoon",
     AND(HOUR(session_data[[#This Row],[Time]])&gt;=17,HOUR(session_data[[#This Row],[Time]])&lt;21),"Evening",
     TRUE,"Night"
)</f>
        <v>Morning</v>
      </c>
      <c r="G1050" s="1">
        <f t="shared" si="66"/>
        <v>2022</v>
      </c>
      <c r="H1050" s="1" t="str">
        <f t="shared" si="67"/>
        <v>Apr</v>
      </c>
      <c r="I1050" s="1" t="str">
        <f t="shared" si="64"/>
        <v>Wed</v>
      </c>
      <c r="J1050" s="1" t="s">
        <v>18</v>
      </c>
      <c r="K1050" s="1" t="s">
        <v>29</v>
      </c>
      <c r="L1050" s="1" t="s">
        <v>59</v>
      </c>
      <c r="M1050" s="1" t="s">
        <v>19</v>
      </c>
      <c r="N1050" s="1" t="s">
        <v>14</v>
      </c>
      <c r="O1050" t="s">
        <v>15</v>
      </c>
    </row>
    <row r="1051" spans="1:15" x14ac:dyDescent="0.25">
      <c r="A1051" s="1" t="s">
        <v>1571</v>
      </c>
      <c r="B1051" s="1" t="s">
        <v>1570</v>
      </c>
      <c r="C1051" s="2">
        <v>44717.793055555558</v>
      </c>
      <c r="D1051" s="4">
        <f t="shared" si="65"/>
        <v>44717</v>
      </c>
      <c r="E1051" s="6">
        <v>44.327777777774202</v>
      </c>
      <c r="F1051" s="6" t="str" cm="1">
        <f t="array" ref="F1051">_xlfn.IFS(
     AND(HOUR(session_data[[#This Row],[Time]])&gt;5,HOUR(session_data[[#This Row],[Time]])&lt;12),"Morning",
     AND(HOUR(session_data[[#This Row],[Time]])&gt;=12,HOUR(session_data[[#This Row],[Time]])&lt;17),"Afternoon",
     AND(HOUR(session_data[[#This Row],[Time]])&gt;=17,HOUR(session_data[[#This Row],[Time]])&lt;21),"Evening",
     TRUE,"Night"
)</f>
        <v>Morning</v>
      </c>
      <c r="G1051" s="1">
        <f t="shared" si="66"/>
        <v>2022</v>
      </c>
      <c r="H1051" s="1" t="str">
        <f t="shared" si="67"/>
        <v>Jun</v>
      </c>
      <c r="I1051" s="1" t="str">
        <f t="shared" si="64"/>
        <v>Sun</v>
      </c>
      <c r="J1051" s="1" t="s">
        <v>18</v>
      </c>
      <c r="K1051" s="1" t="s">
        <v>29</v>
      </c>
      <c r="L1051" s="1" t="s">
        <v>59</v>
      </c>
      <c r="M1051" s="1" t="s">
        <v>19</v>
      </c>
      <c r="N1051" s="1" t="s">
        <v>22</v>
      </c>
      <c r="O1051" t="s">
        <v>15</v>
      </c>
    </row>
    <row r="1052" spans="1:15" x14ac:dyDescent="0.25">
      <c r="A1052" s="1" t="s">
        <v>1572</v>
      </c>
      <c r="B1052" s="1" t="s">
        <v>1570</v>
      </c>
      <c r="C1052" s="2">
        <v>44598.709722222222</v>
      </c>
      <c r="D1052" s="4">
        <f t="shared" si="65"/>
        <v>44598</v>
      </c>
      <c r="E1052" s="6">
        <v>44.369444444440902</v>
      </c>
      <c r="F1052" s="6" t="str" cm="1">
        <f t="array" ref="F1052">_xlfn.IFS(
     AND(HOUR(session_data[[#This Row],[Time]])&gt;5,HOUR(session_data[[#This Row],[Time]])&lt;12),"Morning",
     AND(HOUR(session_data[[#This Row],[Time]])&gt;=12,HOUR(session_data[[#This Row],[Time]])&lt;17),"Afternoon",
     AND(HOUR(session_data[[#This Row],[Time]])&gt;=17,HOUR(session_data[[#This Row],[Time]])&lt;21),"Evening",
     TRUE,"Night"
)</f>
        <v>Morning</v>
      </c>
      <c r="G1052" s="1">
        <f t="shared" si="66"/>
        <v>2022</v>
      </c>
      <c r="H1052" s="1" t="str">
        <f t="shared" si="67"/>
        <v>Feb</v>
      </c>
      <c r="I1052" s="1" t="str">
        <f t="shared" si="64"/>
        <v>Sun</v>
      </c>
      <c r="J1052" s="1" t="s">
        <v>18</v>
      </c>
      <c r="K1052" s="1" t="s">
        <v>29</v>
      </c>
      <c r="L1052" s="1" t="s">
        <v>59</v>
      </c>
      <c r="M1052" s="1" t="s">
        <v>19</v>
      </c>
      <c r="N1052" s="1" t="s">
        <v>22</v>
      </c>
      <c r="O1052" t="s">
        <v>15</v>
      </c>
    </row>
    <row r="1053" spans="1:15" x14ac:dyDescent="0.25">
      <c r="A1053" s="1" t="s">
        <v>1573</v>
      </c>
      <c r="B1053" s="1" t="s">
        <v>1570</v>
      </c>
      <c r="C1053" s="3">
        <v>44741.418055555558</v>
      </c>
      <c r="D1053" s="4">
        <f t="shared" si="65"/>
        <v>44741</v>
      </c>
      <c r="E1053" s="6">
        <v>44.411111111107601</v>
      </c>
      <c r="F1053" s="6" t="str" cm="1">
        <f t="array" ref="F1053">_xlfn.IFS(
     AND(HOUR(session_data[[#This Row],[Time]])&gt;5,HOUR(session_data[[#This Row],[Time]])&lt;12),"Morning",
     AND(HOUR(session_data[[#This Row],[Time]])&gt;=12,HOUR(session_data[[#This Row],[Time]])&lt;17),"Afternoon",
     AND(HOUR(session_data[[#This Row],[Time]])&gt;=17,HOUR(session_data[[#This Row],[Time]])&lt;21),"Evening",
     TRUE,"Night"
)</f>
        <v>Morning</v>
      </c>
      <c r="G1053" s="1">
        <f t="shared" si="66"/>
        <v>2022</v>
      </c>
      <c r="H1053" s="1" t="str">
        <f t="shared" si="67"/>
        <v>Jun</v>
      </c>
      <c r="I1053" s="1" t="str">
        <f t="shared" si="64"/>
        <v>Wed</v>
      </c>
      <c r="J1053" s="1" t="s">
        <v>18</v>
      </c>
      <c r="K1053" s="1" t="s">
        <v>29</v>
      </c>
      <c r="L1053" s="1" t="s">
        <v>59</v>
      </c>
      <c r="M1053" s="1" t="s">
        <v>19</v>
      </c>
      <c r="N1053" s="1" t="s">
        <v>22</v>
      </c>
      <c r="O1053" t="s">
        <v>15</v>
      </c>
    </row>
    <row r="1054" spans="1:15" x14ac:dyDescent="0.25">
      <c r="A1054" s="1" t="s">
        <v>1574</v>
      </c>
      <c r="B1054" s="1" t="s">
        <v>1570</v>
      </c>
      <c r="C1054" s="3">
        <v>44757.209722222222</v>
      </c>
      <c r="D1054" s="4">
        <f t="shared" si="65"/>
        <v>44757</v>
      </c>
      <c r="E1054" s="6">
        <v>44.452777777774202</v>
      </c>
      <c r="F1054" s="6" t="str" cm="1">
        <f t="array" ref="F1054">_xlfn.IFS(
     AND(HOUR(session_data[[#This Row],[Time]])&gt;5,HOUR(session_data[[#This Row],[Time]])&lt;12),"Morning",
     AND(HOUR(session_data[[#This Row],[Time]])&gt;=12,HOUR(session_data[[#This Row],[Time]])&lt;17),"Afternoon",
     AND(HOUR(session_data[[#This Row],[Time]])&gt;=17,HOUR(session_data[[#This Row],[Time]])&lt;21),"Evening",
     TRUE,"Night"
)</f>
        <v>Morning</v>
      </c>
      <c r="G1054" s="1">
        <f t="shared" si="66"/>
        <v>2022</v>
      </c>
      <c r="H1054" s="1" t="str">
        <f t="shared" si="67"/>
        <v>Jul</v>
      </c>
      <c r="I1054" s="1" t="str">
        <f t="shared" si="64"/>
        <v>Fri</v>
      </c>
      <c r="J1054" s="1" t="s">
        <v>18</v>
      </c>
      <c r="K1054" s="1" t="s">
        <v>29</v>
      </c>
      <c r="L1054" s="1" t="s">
        <v>59</v>
      </c>
      <c r="M1054" s="1" t="s">
        <v>19</v>
      </c>
      <c r="N1054" s="1" t="s">
        <v>22</v>
      </c>
      <c r="O1054" t="s">
        <v>15</v>
      </c>
    </row>
    <row r="1055" spans="1:15" x14ac:dyDescent="0.25">
      <c r="A1055" s="1" t="s">
        <v>1575</v>
      </c>
      <c r="B1055" s="1" t="s">
        <v>1576</v>
      </c>
      <c r="C1055" s="3">
        <v>45126.434027777781</v>
      </c>
      <c r="D1055" s="4">
        <f t="shared" si="65"/>
        <v>45126</v>
      </c>
      <c r="E1055" s="6">
        <v>44.494444444440902</v>
      </c>
      <c r="F1055" s="6" t="str" cm="1">
        <f t="array" ref="F1055">_xlfn.IFS(
     AND(HOUR(session_data[[#This Row],[Time]])&gt;5,HOUR(session_data[[#This Row],[Time]])&lt;12),"Morning",
     AND(HOUR(session_data[[#This Row],[Time]])&gt;=12,HOUR(session_data[[#This Row],[Time]])&lt;17),"Afternoon",
     AND(HOUR(session_data[[#This Row],[Time]])&gt;=17,HOUR(session_data[[#This Row],[Time]])&lt;21),"Evening",
     TRUE,"Night"
)</f>
        <v>Morning</v>
      </c>
      <c r="G1055" s="1">
        <f t="shared" si="66"/>
        <v>2023</v>
      </c>
      <c r="H1055" s="1" t="str">
        <f t="shared" si="67"/>
        <v>Jul</v>
      </c>
      <c r="I1055" s="1" t="str">
        <f t="shared" si="64"/>
        <v>Wed</v>
      </c>
      <c r="J1055" s="1" t="s">
        <v>18</v>
      </c>
      <c r="K1055" s="1" t="s">
        <v>12</v>
      </c>
      <c r="L1055" s="1" t="s">
        <v>59</v>
      </c>
      <c r="M1055" s="1" t="s">
        <v>19</v>
      </c>
      <c r="N1055" s="1" t="s">
        <v>14</v>
      </c>
      <c r="O1055" t="s">
        <v>15</v>
      </c>
    </row>
    <row r="1056" spans="1:15" x14ac:dyDescent="0.25">
      <c r="A1056" s="1" t="s">
        <v>1577</v>
      </c>
      <c r="B1056" s="1" t="s">
        <v>1576</v>
      </c>
      <c r="C1056" s="3">
        <v>45138.850694444445</v>
      </c>
      <c r="D1056" s="4">
        <f t="shared" si="65"/>
        <v>45138</v>
      </c>
      <c r="E1056" s="6">
        <v>44.536111111107601</v>
      </c>
      <c r="F1056" s="6" t="str" cm="1">
        <f t="array" ref="F1056">_xlfn.IFS(
     AND(HOUR(session_data[[#This Row],[Time]])&gt;5,HOUR(session_data[[#This Row],[Time]])&lt;12),"Morning",
     AND(HOUR(session_data[[#This Row],[Time]])&gt;=12,HOUR(session_data[[#This Row],[Time]])&lt;17),"Afternoon",
     AND(HOUR(session_data[[#This Row],[Time]])&gt;=17,HOUR(session_data[[#This Row],[Time]])&lt;21),"Evening",
     TRUE,"Night"
)</f>
        <v>Afternoon</v>
      </c>
      <c r="G1056" s="1">
        <f t="shared" si="66"/>
        <v>2023</v>
      </c>
      <c r="H1056" s="1" t="str">
        <f t="shared" si="67"/>
        <v>Jul</v>
      </c>
      <c r="I1056" s="1" t="str">
        <f t="shared" si="64"/>
        <v>Mon</v>
      </c>
      <c r="J1056" s="1" t="s">
        <v>18</v>
      </c>
      <c r="K1056" s="1" t="s">
        <v>12</v>
      </c>
      <c r="L1056" s="1" t="s">
        <v>59</v>
      </c>
      <c r="M1056" s="1" t="s">
        <v>19</v>
      </c>
      <c r="N1056" s="1" t="s">
        <v>22</v>
      </c>
      <c r="O1056" t="s">
        <v>15</v>
      </c>
    </row>
    <row r="1057" spans="1:15" x14ac:dyDescent="0.25">
      <c r="A1057" s="1" t="s">
        <v>1578</v>
      </c>
      <c r="B1057" s="1" t="s">
        <v>1576</v>
      </c>
      <c r="C1057" s="3">
        <v>45168.059027777781</v>
      </c>
      <c r="D1057" s="4">
        <f t="shared" si="65"/>
        <v>45168</v>
      </c>
      <c r="E1057" s="6">
        <v>44.577777777774202</v>
      </c>
      <c r="F1057" s="6" t="str" cm="1">
        <f t="array" ref="F1057">_xlfn.IFS(
     AND(HOUR(session_data[[#This Row],[Time]])&gt;5,HOUR(session_data[[#This Row],[Time]])&lt;12),"Morning",
     AND(HOUR(session_data[[#This Row],[Time]])&gt;=12,HOUR(session_data[[#This Row],[Time]])&lt;17),"Afternoon",
     AND(HOUR(session_data[[#This Row],[Time]])&gt;=17,HOUR(session_data[[#This Row],[Time]])&lt;21),"Evening",
     TRUE,"Night"
)</f>
        <v>Afternoon</v>
      </c>
      <c r="G1057" s="1">
        <f t="shared" si="66"/>
        <v>2023</v>
      </c>
      <c r="H1057" s="1" t="str">
        <f t="shared" si="67"/>
        <v>Aug</v>
      </c>
      <c r="I1057" s="1" t="str">
        <f t="shared" si="64"/>
        <v>Wed</v>
      </c>
      <c r="J1057" s="1" t="s">
        <v>18</v>
      </c>
      <c r="K1057" s="1" t="s">
        <v>12</v>
      </c>
      <c r="L1057" s="1" t="s">
        <v>59</v>
      </c>
      <c r="M1057" s="1" t="s">
        <v>19</v>
      </c>
      <c r="N1057" s="1" t="s">
        <v>22</v>
      </c>
      <c r="O1057" t="s">
        <v>15</v>
      </c>
    </row>
    <row r="1058" spans="1:15" x14ac:dyDescent="0.25">
      <c r="A1058" s="1" t="s">
        <v>1579</v>
      </c>
      <c r="B1058" s="1" t="s">
        <v>1576</v>
      </c>
      <c r="C1058" s="3">
        <v>45184.767361111109</v>
      </c>
      <c r="D1058" s="4">
        <f t="shared" si="65"/>
        <v>45184</v>
      </c>
      <c r="E1058" s="6">
        <v>44.619444444440902</v>
      </c>
      <c r="F1058" s="6" t="str" cm="1">
        <f t="array" ref="F1058">_xlfn.IFS(
     AND(HOUR(session_data[[#This Row],[Time]])&gt;5,HOUR(session_data[[#This Row],[Time]])&lt;12),"Morning",
     AND(HOUR(session_data[[#This Row],[Time]])&gt;=12,HOUR(session_data[[#This Row],[Time]])&lt;17),"Afternoon",
     AND(HOUR(session_data[[#This Row],[Time]])&gt;=17,HOUR(session_data[[#This Row],[Time]])&lt;21),"Evening",
     TRUE,"Night"
)</f>
        <v>Afternoon</v>
      </c>
      <c r="G1058" s="1">
        <f t="shared" si="66"/>
        <v>2023</v>
      </c>
      <c r="H1058" s="1" t="str">
        <f t="shared" si="67"/>
        <v>Sep</v>
      </c>
      <c r="I1058" s="1" t="str">
        <f t="shared" si="64"/>
        <v>Fri</v>
      </c>
      <c r="J1058" s="1" t="s">
        <v>18</v>
      </c>
      <c r="K1058" s="1" t="s">
        <v>12</v>
      </c>
      <c r="L1058" s="1" t="s">
        <v>59</v>
      </c>
      <c r="M1058" s="1" t="s">
        <v>19</v>
      </c>
      <c r="N1058" s="1" t="s">
        <v>22</v>
      </c>
      <c r="O1058" t="s">
        <v>15</v>
      </c>
    </row>
    <row r="1059" spans="1:15" x14ac:dyDescent="0.25">
      <c r="A1059" s="1" t="s">
        <v>1580</v>
      </c>
      <c r="B1059" s="1" t="s">
        <v>1581</v>
      </c>
      <c r="C1059" s="3">
        <v>44650.46597222222</v>
      </c>
      <c r="D1059" s="4">
        <f t="shared" si="65"/>
        <v>44650</v>
      </c>
      <c r="E1059" s="6">
        <v>44.661111111107601</v>
      </c>
      <c r="F1059" s="6" t="str" cm="1">
        <f t="array" ref="F1059">_xlfn.IFS(
     AND(HOUR(session_data[[#This Row],[Time]])&gt;5,HOUR(session_data[[#This Row],[Time]])&lt;12),"Morning",
     AND(HOUR(session_data[[#This Row],[Time]])&gt;=12,HOUR(session_data[[#This Row],[Time]])&lt;17),"Afternoon",
     AND(HOUR(session_data[[#This Row],[Time]])&gt;=17,HOUR(session_data[[#This Row],[Time]])&lt;21),"Evening",
     TRUE,"Night"
)</f>
        <v>Afternoon</v>
      </c>
      <c r="G1059" s="1">
        <f t="shared" si="66"/>
        <v>2022</v>
      </c>
      <c r="H1059" s="1" t="str">
        <f t="shared" si="67"/>
        <v>Mar</v>
      </c>
      <c r="I1059" s="1" t="str">
        <f t="shared" si="64"/>
        <v>Wed</v>
      </c>
      <c r="J1059" s="1" t="s">
        <v>18</v>
      </c>
      <c r="K1059" s="1" t="s">
        <v>36</v>
      </c>
      <c r="L1059" s="1" t="s">
        <v>119</v>
      </c>
      <c r="M1059" s="1" t="s">
        <v>40</v>
      </c>
      <c r="N1059" s="1" t="s">
        <v>14</v>
      </c>
      <c r="O1059" t="s">
        <v>45</v>
      </c>
    </row>
    <row r="1060" spans="1:15" x14ac:dyDescent="0.25">
      <c r="A1060" s="1" t="s">
        <v>1582</v>
      </c>
      <c r="B1060" s="1" t="s">
        <v>1581</v>
      </c>
      <c r="C1060" s="3">
        <v>44668.757638888892</v>
      </c>
      <c r="D1060" s="4">
        <f t="shared" si="65"/>
        <v>44668</v>
      </c>
      <c r="E1060" s="6">
        <v>44.702777777774202</v>
      </c>
      <c r="F1060" s="6" t="str" cm="1">
        <f t="array" ref="F1060">_xlfn.IFS(
     AND(HOUR(session_data[[#This Row],[Time]])&gt;5,HOUR(session_data[[#This Row],[Time]])&lt;12),"Morning",
     AND(HOUR(session_data[[#This Row],[Time]])&gt;=12,HOUR(session_data[[#This Row],[Time]])&lt;17),"Afternoon",
     AND(HOUR(session_data[[#This Row],[Time]])&gt;=17,HOUR(session_data[[#This Row],[Time]])&lt;21),"Evening",
     TRUE,"Night"
)</f>
        <v>Afternoon</v>
      </c>
      <c r="G1060" s="1">
        <f t="shared" si="66"/>
        <v>2022</v>
      </c>
      <c r="H1060" s="1" t="str">
        <f t="shared" si="67"/>
        <v>Apr</v>
      </c>
      <c r="I1060" s="1" t="str">
        <f t="shared" si="64"/>
        <v>Sun</v>
      </c>
      <c r="J1060" s="1" t="s">
        <v>18</v>
      </c>
      <c r="K1060" s="1" t="s">
        <v>36</v>
      </c>
      <c r="L1060" s="1" t="s">
        <v>119</v>
      </c>
      <c r="M1060" s="1" t="s">
        <v>40</v>
      </c>
      <c r="N1060" s="1" t="s">
        <v>22</v>
      </c>
      <c r="O1060" t="s">
        <v>45</v>
      </c>
    </row>
    <row r="1061" spans="1:15" x14ac:dyDescent="0.25">
      <c r="A1061" s="1" t="s">
        <v>1583</v>
      </c>
      <c r="B1061" s="1" t="s">
        <v>1584</v>
      </c>
      <c r="C1061" s="2">
        <v>44869.67291666667</v>
      </c>
      <c r="D1061" s="4">
        <f t="shared" si="65"/>
        <v>44869</v>
      </c>
      <c r="E1061" s="6">
        <v>44.744444444440902</v>
      </c>
      <c r="F1061" s="6" t="str" cm="1">
        <f t="array" ref="F1061">_xlfn.IFS(
     AND(HOUR(session_data[[#This Row],[Time]])&gt;5,HOUR(session_data[[#This Row],[Time]])&lt;12),"Morning",
     AND(HOUR(session_data[[#This Row],[Time]])&gt;=12,HOUR(session_data[[#This Row],[Time]])&lt;17),"Afternoon",
     AND(HOUR(session_data[[#This Row],[Time]])&gt;=17,HOUR(session_data[[#This Row],[Time]])&lt;21),"Evening",
     TRUE,"Night"
)</f>
        <v>Evening</v>
      </c>
      <c r="G1061" s="1">
        <f t="shared" si="66"/>
        <v>2022</v>
      </c>
      <c r="H1061" s="1" t="str">
        <f t="shared" si="67"/>
        <v>Nov</v>
      </c>
      <c r="I1061" s="1" t="str">
        <f t="shared" si="64"/>
        <v>Fri</v>
      </c>
      <c r="J1061" s="1" t="s">
        <v>11</v>
      </c>
      <c r="K1061" s="1" t="s">
        <v>29</v>
      </c>
      <c r="L1061" s="1" t="s">
        <v>94</v>
      </c>
      <c r="M1061" s="1" t="s">
        <v>32</v>
      </c>
      <c r="N1061" s="1" t="s">
        <v>14</v>
      </c>
      <c r="O1061" t="s">
        <v>45</v>
      </c>
    </row>
    <row r="1062" spans="1:15" x14ac:dyDescent="0.25">
      <c r="A1062" s="1" t="s">
        <v>1585</v>
      </c>
      <c r="B1062" s="1" t="s">
        <v>1584</v>
      </c>
      <c r="C1062" s="3">
        <v>44680.381249999999</v>
      </c>
      <c r="D1062" s="4">
        <f t="shared" si="65"/>
        <v>44680</v>
      </c>
      <c r="E1062" s="6">
        <v>44.786111111107601</v>
      </c>
      <c r="F1062" s="6" t="str" cm="1">
        <f t="array" ref="F1062">_xlfn.IFS(
     AND(HOUR(session_data[[#This Row],[Time]])&gt;5,HOUR(session_data[[#This Row],[Time]])&lt;12),"Morning",
     AND(HOUR(session_data[[#This Row],[Time]])&gt;=12,HOUR(session_data[[#This Row],[Time]])&lt;17),"Afternoon",
     AND(HOUR(session_data[[#This Row],[Time]])&gt;=17,HOUR(session_data[[#This Row],[Time]])&lt;21),"Evening",
     TRUE,"Night"
)</f>
        <v>Evening</v>
      </c>
      <c r="G1062" s="1">
        <f t="shared" si="66"/>
        <v>2022</v>
      </c>
      <c r="H1062" s="1" t="str">
        <f t="shared" si="67"/>
        <v>Apr</v>
      </c>
      <c r="I1062" s="1" t="str">
        <f t="shared" si="64"/>
        <v>Fri</v>
      </c>
      <c r="J1062" s="1" t="s">
        <v>11</v>
      </c>
      <c r="K1062" s="1" t="s">
        <v>29</v>
      </c>
      <c r="L1062" s="1" t="s">
        <v>94</v>
      </c>
      <c r="M1062" s="1" t="s">
        <v>32</v>
      </c>
      <c r="N1062" s="1" t="s">
        <v>22</v>
      </c>
      <c r="O1062" t="s">
        <v>45</v>
      </c>
    </row>
    <row r="1063" spans="1:15" x14ac:dyDescent="0.25">
      <c r="A1063" s="1" t="s">
        <v>1586</v>
      </c>
      <c r="B1063" s="1" t="s">
        <v>1587</v>
      </c>
      <c r="C1063" s="2">
        <v>44598.599305555559</v>
      </c>
      <c r="D1063" s="4">
        <f t="shared" si="65"/>
        <v>44598</v>
      </c>
      <c r="E1063" s="6">
        <v>44.827777777774202</v>
      </c>
      <c r="F1063" s="6" t="str" cm="1">
        <f t="array" ref="F1063">_xlfn.IFS(
     AND(HOUR(session_data[[#This Row],[Time]])&gt;5,HOUR(session_data[[#This Row],[Time]])&lt;12),"Morning",
     AND(HOUR(session_data[[#This Row],[Time]])&gt;=12,HOUR(session_data[[#This Row],[Time]])&lt;17),"Afternoon",
     AND(HOUR(session_data[[#This Row],[Time]])&gt;=17,HOUR(session_data[[#This Row],[Time]])&lt;21),"Evening",
     TRUE,"Night"
)</f>
        <v>Evening</v>
      </c>
      <c r="G1063" s="1">
        <f t="shared" si="66"/>
        <v>2022</v>
      </c>
      <c r="H1063" s="1" t="str">
        <f t="shared" si="67"/>
        <v>Feb</v>
      </c>
      <c r="I1063" s="1" t="str">
        <f t="shared" si="64"/>
        <v>Sun</v>
      </c>
      <c r="J1063" s="1" t="s">
        <v>11</v>
      </c>
      <c r="K1063" s="1" t="s">
        <v>29</v>
      </c>
      <c r="L1063" s="1" t="s">
        <v>50</v>
      </c>
      <c r="M1063" s="1" t="s">
        <v>19</v>
      </c>
      <c r="N1063" s="1" t="s">
        <v>14</v>
      </c>
      <c r="O1063" t="s">
        <v>15</v>
      </c>
    </row>
    <row r="1064" spans="1:15" x14ac:dyDescent="0.25">
      <c r="A1064" s="1" t="s">
        <v>1588</v>
      </c>
      <c r="B1064" s="1" t="s">
        <v>1589</v>
      </c>
      <c r="C1064" s="2">
        <v>44603.207638888889</v>
      </c>
      <c r="D1064" s="4">
        <f t="shared" si="65"/>
        <v>44603</v>
      </c>
      <c r="E1064" s="6">
        <v>44.869444444440902</v>
      </c>
      <c r="F1064" s="6" t="str" cm="1">
        <f t="array" ref="F1064">_xlfn.IFS(
     AND(HOUR(session_data[[#This Row],[Time]])&gt;5,HOUR(session_data[[#This Row],[Time]])&lt;12),"Morning",
     AND(HOUR(session_data[[#This Row],[Time]])&gt;=12,HOUR(session_data[[#This Row],[Time]])&lt;17),"Afternoon",
     AND(HOUR(session_data[[#This Row],[Time]])&gt;=17,HOUR(session_data[[#This Row],[Time]])&lt;21),"Evening",
     TRUE,"Night"
)</f>
        <v>Evening</v>
      </c>
      <c r="G1064" s="1">
        <f t="shared" si="66"/>
        <v>2022</v>
      </c>
      <c r="H1064" s="1" t="str">
        <f t="shared" si="67"/>
        <v>Feb</v>
      </c>
      <c r="I1064" s="1" t="str">
        <f t="shared" si="64"/>
        <v>Fri</v>
      </c>
      <c r="J1064" s="1" t="s">
        <v>18</v>
      </c>
      <c r="K1064" s="1" t="s">
        <v>12</v>
      </c>
      <c r="L1064" s="1" t="s">
        <v>20</v>
      </c>
      <c r="M1064" s="1" t="s">
        <v>19</v>
      </c>
      <c r="N1064" s="1" t="s">
        <v>14</v>
      </c>
      <c r="O1064" t="s">
        <v>45</v>
      </c>
    </row>
    <row r="1065" spans="1:15" x14ac:dyDescent="0.25">
      <c r="A1065" s="1" t="s">
        <v>1590</v>
      </c>
      <c r="B1065" s="1" t="s">
        <v>1591</v>
      </c>
      <c r="C1065" s="3">
        <v>44677.936111111114</v>
      </c>
      <c r="D1065" s="4">
        <f t="shared" si="65"/>
        <v>44677</v>
      </c>
      <c r="E1065" s="6">
        <v>44.911111111107601</v>
      </c>
      <c r="F1065" s="6" t="str" cm="1">
        <f t="array" ref="F1065">_xlfn.IFS(
     AND(HOUR(session_data[[#This Row],[Time]])&gt;5,HOUR(session_data[[#This Row],[Time]])&lt;12),"Morning",
     AND(HOUR(session_data[[#This Row],[Time]])&gt;=12,HOUR(session_data[[#This Row],[Time]])&lt;17),"Afternoon",
     AND(HOUR(session_data[[#This Row],[Time]])&gt;=17,HOUR(session_data[[#This Row],[Time]])&lt;21),"Evening",
     TRUE,"Night"
)</f>
        <v>Night</v>
      </c>
      <c r="G1065" s="1">
        <f t="shared" si="66"/>
        <v>2022</v>
      </c>
      <c r="H1065" s="1" t="str">
        <f t="shared" si="67"/>
        <v>Apr</v>
      </c>
      <c r="I1065" s="1" t="str">
        <f t="shared" si="64"/>
        <v>Tue</v>
      </c>
      <c r="J1065" s="1" t="s">
        <v>11</v>
      </c>
      <c r="K1065" s="1" t="s">
        <v>12</v>
      </c>
      <c r="L1065" s="1" t="s">
        <v>79</v>
      </c>
      <c r="M1065" s="1" t="s">
        <v>40</v>
      </c>
      <c r="N1065" s="1" t="s">
        <v>14</v>
      </c>
      <c r="O1065" t="s">
        <v>45</v>
      </c>
    </row>
    <row r="1066" spans="1:15" x14ac:dyDescent="0.25">
      <c r="A1066" s="1" t="s">
        <v>1592</v>
      </c>
      <c r="B1066" s="1" t="s">
        <v>1591</v>
      </c>
      <c r="C1066" s="3">
        <v>44699.977777777778</v>
      </c>
      <c r="D1066" s="4">
        <f t="shared" si="65"/>
        <v>44699</v>
      </c>
      <c r="E1066" s="6">
        <v>44.952777777774202</v>
      </c>
      <c r="F1066" s="6" t="str" cm="1">
        <f t="array" ref="F1066">_xlfn.IFS(
     AND(HOUR(session_data[[#This Row],[Time]])&gt;5,HOUR(session_data[[#This Row],[Time]])&lt;12),"Morning",
     AND(HOUR(session_data[[#This Row],[Time]])&gt;=12,HOUR(session_data[[#This Row],[Time]])&lt;17),"Afternoon",
     AND(HOUR(session_data[[#This Row],[Time]])&gt;=17,HOUR(session_data[[#This Row],[Time]])&lt;21),"Evening",
     TRUE,"Night"
)</f>
        <v>Night</v>
      </c>
      <c r="G1066" s="1">
        <f t="shared" si="66"/>
        <v>2022</v>
      </c>
      <c r="H1066" s="1" t="str">
        <f t="shared" si="67"/>
        <v>May</v>
      </c>
      <c r="I1066" s="1" t="str">
        <f t="shared" si="64"/>
        <v>Wed</v>
      </c>
      <c r="J1066" s="1" t="s">
        <v>11</v>
      </c>
      <c r="K1066" s="1" t="s">
        <v>12</v>
      </c>
      <c r="L1066" s="1" t="s">
        <v>79</v>
      </c>
      <c r="M1066" s="1" t="s">
        <v>40</v>
      </c>
      <c r="N1066" s="1" t="s">
        <v>22</v>
      </c>
      <c r="O1066" t="s">
        <v>45</v>
      </c>
    </row>
    <row r="1067" spans="1:15" x14ac:dyDescent="0.25">
      <c r="A1067" s="1" t="s">
        <v>1593</v>
      </c>
      <c r="B1067" s="1" t="s">
        <v>1594</v>
      </c>
      <c r="C1067" s="3">
        <v>44680.713888888888</v>
      </c>
      <c r="D1067" s="4">
        <f t="shared" si="65"/>
        <v>44680</v>
      </c>
      <c r="E1067" s="6">
        <v>44.994444444440902</v>
      </c>
      <c r="F1067" s="6" t="str" cm="1">
        <f t="array" ref="F1067">_xlfn.IFS(
     AND(HOUR(session_data[[#This Row],[Time]])&gt;5,HOUR(session_data[[#This Row],[Time]])&lt;12),"Morning",
     AND(HOUR(session_data[[#This Row],[Time]])&gt;=12,HOUR(session_data[[#This Row],[Time]])&lt;17),"Afternoon",
     AND(HOUR(session_data[[#This Row],[Time]])&gt;=17,HOUR(session_data[[#This Row],[Time]])&lt;21),"Evening",
     TRUE,"Night"
)</f>
        <v>Night</v>
      </c>
      <c r="G1067" s="1">
        <f t="shared" si="66"/>
        <v>2022</v>
      </c>
      <c r="H1067" s="1" t="str">
        <f t="shared" si="67"/>
        <v>Apr</v>
      </c>
      <c r="I1067" s="1" t="str">
        <f t="shared" si="64"/>
        <v>Fri</v>
      </c>
      <c r="J1067" s="1" t="s">
        <v>44</v>
      </c>
      <c r="K1067" s="1" t="s">
        <v>12</v>
      </c>
      <c r="L1067" s="1" t="s">
        <v>30</v>
      </c>
      <c r="M1067" s="1" t="s">
        <v>32</v>
      </c>
      <c r="N1067" s="1" t="s">
        <v>14</v>
      </c>
      <c r="O1067" t="s">
        <v>45</v>
      </c>
    </row>
    <row r="1068" spans="1:15" x14ac:dyDescent="0.25">
      <c r="A1068" s="1" t="s">
        <v>1595</v>
      </c>
      <c r="B1068" s="1" t="s">
        <v>1596</v>
      </c>
      <c r="C1068" s="2">
        <v>44687.486111111109</v>
      </c>
      <c r="D1068" s="4">
        <f t="shared" si="65"/>
        <v>44687</v>
      </c>
      <c r="E1068" s="6">
        <v>45.036111111107601</v>
      </c>
      <c r="F1068" s="6" t="str" cm="1">
        <f t="array" ref="F1068">_xlfn.IFS(
     AND(HOUR(session_data[[#This Row],[Time]])&gt;5,HOUR(session_data[[#This Row],[Time]])&lt;12),"Morning",
     AND(HOUR(session_data[[#This Row],[Time]])&gt;=12,HOUR(session_data[[#This Row],[Time]])&lt;17),"Afternoon",
     AND(HOUR(session_data[[#This Row],[Time]])&gt;=17,HOUR(session_data[[#This Row],[Time]])&lt;21),"Evening",
     TRUE,"Night"
)</f>
        <v>Night</v>
      </c>
      <c r="G1068" s="1">
        <f t="shared" si="66"/>
        <v>2022</v>
      </c>
      <c r="H1068" s="1" t="str">
        <f t="shared" si="67"/>
        <v>May</v>
      </c>
      <c r="I1068" s="1" t="str">
        <f t="shared" si="64"/>
        <v>Fri</v>
      </c>
      <c r="J1068" s="1" t="s">
        <v>11</v>
      </c>
      <c r="K1068" s="1" t="s">
        <v>12</v>
      </c>
      <c r="L1068" s="1" t="s">
        <v>79</v>
      </c>
      <c r="M1068" s="1" t="s">
        <v>40</v>
      </c>
      <c r="N1068" s="1" t="s">
        <v>14</v>
      </c>
      <c r="O1068" t="s">
        <v>45</v>
      </c>
    </row>
    <row r="1069" spans="1:15" x14ac:dyDescent="0.25">
      <c r="A1069" s="1" t="s">
        <v>1597</v>
      </c>
      <c r="B1069" s="1" t="s">
        <v>1596</v>
      </c>
      <c r="C1069" s="2">
        <v>44627.194444444445</v>
      </c>
      <c r="D1069" s="4">
        <f t="shared" si="65"/>
        <v>44627</v>
      </c>
      <c r="E1069" s="6">
        <v>45.077777777774202</v>
      </c>
      <c r="F1069" s="6" t="str" cm="1">
        <f t="array" ref="F1069">_xlfn.IFS(
     AND(HOUR(session_data[[#This Row],[Time]])&gt;5,HOUR(session_data[[#This Row],[Time]])&lt;12),"Morning",
     AND(HOUR(session_data[[#This Row],[Time]])&gt;=12,HOUR(session_data[[#This Row],[Time]])&lt;17),"Afternoon",
     AND(HOUR(session_data[[#This Row],[Time]])&gt;=17,HOUR(session_data[[#This Row],[Time]])&lt;21),"Evening",
     TRUE,"Night"
)</f>
        <v>Night</v>
      </c>
      <c r="G1069" s="1">
        <f t="shared" si="66"/>
        <v>2022</v>
      </c>
      <c r="H1069" s="1" t="str">
        <f t="shared" si="67"/>
        <v>Mar</v>
      </c>
      <c r="I1069" s="1" t="str">
        <f t="shared" si="64"/>
        <v>Mon</v>
      </c>
      <c r="J1069" s="1" t="s">
        <v>11</v>
      </c>
      <c r="K1069" s="1" t="s">
        <v>12</v>
      </c>
      <c r="L1069" s="1" t="s">
        <v>79</v>
      </c>
      <c r="M1069" s="1" t="s">
        <v>40</v>
      </c>
      <c r="N1069" s="1" t="s">
        <v>22</v>
      </c>
      <c r="O1069" t="s">
        <v>45</v>
      </c>
    </row>
    <row r="1070" spans="1:15" x14ac:dyDescent="0.25">
      <c r="A1070" s="1" t="s">
        <v>1598</v>
      </c>
      <c r="B1070" s="1" t="s">
        <v>1599</v>
      </c>
      <c r="C1070" s="3">
        <v>44879.70208333333</v>
      </c>
      <c r="D1070" s="4">
        <f t="shared" si="65"/>
        <v>44879</v>
      </c>
      <c r="E1070" s="6">
        <v>45.119444444440902</v>
      </c>
      <c r="F1070" s="6" t="str" cm="1">
        <f t="array" ref="F1070">_xlfn.IFS(
     AND(HOUR(session_data[[#This Row],[Time]])&gt;5,HOUR(session_data[[#This Row],[Time]])&lt;12),"Morning",
     AND(HOUR(session_data[[#This Row],[Time]])&gt;=12,HOUR(session_data[[#This Row],[Time]])&lt;17),"Afternoon",
     AND(HOUR(session_data[[#This Row],[Time]])&gt;=17,HOUR(session_data[[#This Row],[Time]])&lt;21),"Evening",
     TRUE,"Night"
)</f>
        <v>Night</v>
      </c>
      <c r="G1070" s="1">
        <f t="shared" si="66"/>
        <v>2022</v>
      </c>
      <c r="H1070" s="1" t="str">
        <f t="shared" si="67"/>
        <v>Nov</v>
      </c>
      <c r="I1070" s="1" t="str">
        <f t="shared" si="64"/>
        <v>Mon</v>
      </c>
      <c r="J1070" s="1" t="s">
        <v>11</v>
      </c>
      <c r="K1070" s="1" t="s">
        <v>12</v>
      </c>
      <c r="L1070" s="1" t="s">
        <v>119</v>
      </c>
      <c r="M1070" s="1" t="s">
        <v>40</v>
      </c>
      <c r="N1070" s="1" t="s">
        <v>14</v>
      </c>
      <c r="O1070" t="s">
        <v>15</v>
      </c>
    </row>
    <row r="1071" spans="1:15" x14ac:dyDescent="0.25">
      <c r="A1071" s="1" t="s">
        <v>1600</v>
      </c>
      <c r="B1071" s="1" t="s">
        <v>1601</v>
      </c>
      <c r="C1071" s="2">
        <v>44601.724999999999</v>
      </c>
      <c r="D1071" s="4">
        <f t="shared" si="65"/>
        <v>44601</v>
      </c>
      <c r="E1071" s="6">
        <v>45.161111111107601</v>
      </c>
      <c r="F1071" s="6" t="str" cm="1">
        <f t="array" ref="F1071">_xlfn.IFS(
     AND(HOUR(session_data[[#This Row],[Time]])&gt;5,HOUR(session_data[[#This Row],[Time]])&lt;12),"Morning",
     AND(HOUR(session_data[[#This Row],[Time]])&gt;=12,HOUR(session_data[[#This Row],[Time]])&lt;17),"Afternoon",
     AND(HOUR(session_data[[#This Row],[Time]])&gt;=17,HOUR(session_data[[#This Row],[Time]])&lt;21),"Evening",
     TRUE,"Night"
)</f>
        <v>Night</v>
      </c>
      <c r="G1071" s="1">
        <f t="shared" si="66"/>
        <v>2022</v>
      </c>
      <c r="H1071" s="1" t="str">
        <f t="shared" si="67"/>
        <v>Feb</v>
      </c>
      <c r="I1071" s="1" t="str">
        <f t="shared" si="64"/>
        <v>Wed</v>
      </c>
      <c r="J1071" s="1" t="s">
        <v>66</v>
      </c>
      <c r="K1071" s="1" t="s">
        <v>12</v>
      </c>
      <c r="L1071" s="1" t="s">
        <v>94</v>
      </c>
      <c r="M1071" s="1" t="s">
        <v>32</v>
      </c>
      <c r="N1071" s="1" t="s">
        <v>14</v>
      </c>
      <c r="O1071" t="s">
        <v>45</v>
      </c>
    </row>
    <row r="1072" spans="1:15" x14ac:dyDescent="0.25">
      <c r="A1072" s="1" t="s">
        <v>1602</v>
      </c>
      <c r="B1072" s="1" t="s">
        <v>1601</v>
      </c>
      <c r="C1072" s="3">
        <v>44833.85</v>
      </c>
      <c r="D1072" s="4">
        <f t="shared" si="65"/>
        <v>44833</v>
      </c>
      <c r="E1072" s="6">
        <v>45.202777777774202</v>
      </c>
      <c r="F1072" s="6" t="str" cm="1">
        <f t="array" ref="F1072">_xlfn.IFS(
     AND(HOUR(session_data[[#This Row],[Time]])&gt;5,HOUR(session_data[[#This Row],[Time]])&lt;12),"Morning",
     AND(HOUR(session_data[[#This Row],[Time]])&gt;=12,HOUR(session_data[[#This Row],[Time]])&lt;17),"Afternoon",
     AND(HOUR(session_data[[#This Row],[Time]])&gt;=17,HOUR(session_data[[#This Row],[Time]])&lt;21),"Evening",
     TRUE,"Night"
)</f>
        <v>Night</v>
      </c>
      <c r="G1072" s="1">
        <f t="shared" si="66"/>
        <v>2022</v>
      </c>
      <c r="H1072" s="1" t="str">
        <f t="shared" si="67"/>
        <v>Sep</v>
      </c>
      <c r="I1072" s="1" t="str">
        <f t="shared" si="64"/>
        <v>Thu</v>
      </c>
      <c r="J1072" s="1" t="s">
        <v>66</v>
      </c>
      <c r="K1072" s="1" t="s">
        <v>12</v>
      </c>
      <c r="L1072" s="1" t="s">
        <v>94</v>
      </c>
      <c r="M1072" s="1" t="s">
        <v>32</v>
      </c>
      <c r="N1072" s="1" t="s">
        <v>22</v>
      </c>
      <c r="O1072" t="s">
        <v>45</v>
      </c>
    </row>
    <row r="1073" spans="1:15" x14ac:dyDescent="0.25">
      <c r="A1073" s="1" t="s">
        <v>1603</v>
      </c>
      <c r="B1073" s="1" t="s">
        <v>1601</v>
      </c>
      <c r="C1073" s="2">
        <v>44875.183333333334</v>
      </c>
      <c r="D1073" s="4">
        <f t="shared" si="65"/>
        <v>44875</v>
      </c>
      <c r="E1073" s="6">
        <v>45.244444444440902</v>
      </c>
      <c r="F1073" s="6" t="str" cm="1">
        <f t="array" ref="F1073">_xlfn.IFS(
     AND(HOUR(session_data[[#This Row],[Time]])&gt;5,HOUR(session_data[[#This Row],[Time]])&lt;12),"Morning",
     AND(HOUR(session_data[[#This Row],[Time]])&gt;=12,HOUR(session_data[[#This Row],[Time]])&lt;17),"Afternoon",
     AND(HOUR(session_data[[#This Row],[Time]])&gt;=17,HOUR(session_data[[#This Row],[Time]])&lt;21),"Evening",
     TRUE,"Night"
)</f>
        <v>Night</v>
      </c>
      <c r="G1073" s="1">
        <f t="shared" si="66"/>
        <v>2022</v>
      </c>
      <c r="H1073" s="1" t="str">
        <f t="shared" si="67"/>
        <v>Nov</v>
      </c>
      <c r="I1073" s="1" t="str">
        <f t="shared" si="64"/>
        <v>Thu</v>
      </c>
      <c r="J1073" s="1" t="s">
        <v>66</v>
      </c>
      <c r="K1073" s="1" t="s">
        <v>12</v>
      </c>
      <c r="L1073" s="1" t="s">
        <v>94</v>
      </c>
      <c r="M1073" s="1" t="s">
        <v>32</v>
      </c>
      <c r="N1073" s="1" t="s">
        <v>22</v>
      </c>
      <c r="O1073" t="s">
        <v>45</v>
      </c>
    </row>
    <row r="1074" spans="1:15" x14ac:dyDescent="0.25">
      <c r="A1074" s="1" t="s">
        <v>1604</v>
      </c>
      <c r="B1074" s="1" t="s">
        <v>1601</v>
      </c>
      <c r="C1074" s="3">
        <v>44863.51666666667</v>
      </c>
      <c r="D1074" s="4">
        <f t="shared" si="65"/>
        <v>44863</v>
      </c>
      <c r="E1074" s="6">
        <v>45.286111111107601</v>
      </c>
      <c r="F1074" s="6" t="str" cm="1">
        <f t="array" ref="F1074">_xlfn.IFS(
     AND(HOUR(session_data[[#This Row],[Time]])&gt;5,HOUR(session_data[[#This Row],[Time]])&lt;12),"Morning",
     AND(HOUR(session_data[[#This Row],[Time]])&gt;=12,HOUR(session_data[[#This Row],[Time]])&lt;17),"Afternoon",
     AND(HOUR(session_data[[#This Row],[Time]])&gt;=17,HOUR(session_data[[#This Row],[Time]])&lt;21),"Evening",
     TRUE,"Night"
)</f>
        <v>Morning</v>
      </c>
      <c r="G1074" s="1">
        <f t="shared" si="66"/>
        <v>2022</v>
      </c>
      <c r="H1074" s="1" t="str">
        <f t="shared" si="67"/>
        <v>Oct</v>
      </c>
      <c r="I1074" s="1" t="str">
        <f t="shared" si="64"/>
        <v>Sat</v>
      </c>
      <c r="J1074" s="1" t="s">
        <v>66</v>
      </c>
      <c r="K1074" s="1" t="s">
        <v>12</v>
      </c>
      <c r="L1074" s="1" t="s">
        <v>94</v>
      </c>
      <c r="M1074" s="1" t="s">
        <v>32</v>
      </c>
      <c r="N1074" s="1" t="s">
        <v>22</v>
      </c>
      <c r="O1074" t="s">
        <v>45</v>
      </c>
    </row>
    <row r="1075" spans="1:15" x14ac:dyDescent="0.25">
      <c r="A1075" s="1" t="s">
        <v>1605</v>
      </c>
      <c r="B1075" s="1" t="s">
        <v>1601</v>
      </c>
      <c r="C1075" s="3">
        <v>44879.183333333334</v>
      </c>
      <c r="D1075" s="4">
        <f t="shared" si="65"/>
        <v>44879</v>
      </c>
      <c r="E1075" s="6">
        <v>45.327777777774202</v>
      </c>
      <c r="F1075" s="6" t="str" cm="1">
        <f t="array" ref="F1075">_xlfn.IFS(
     AND(HOUR(session_data[[#This Row],[Time]])&gt;5,HOUR(session_data[[#This Row],[Time]])&lt;12),"Morning",
     AND(HOUR(session_data[[#This Row],[Time]])&gt;=12,HOUR(session_data[[#This Row],[Time]])&lt;17),"Afternoon",
     AND(HOUR(session_data[[#This Row],[Time]])&gt;=17,HOUR(session_data[[#This Row],[Time]])&lt;21),"Evening",
     TRUE,"Night"
)</f>
        <v>Morning</v>
      </c>
      <c r="G1075" s="1">
        <f t="shared" si="66"/>
        <v>2022</v>
      </c>
      <c r="H1075" s="1" t="str">
        <f t="shared" si="67"/>
        <v>Nov</v>
      </c>
      <c r="I1075" s="1" t="str">
        <f t="shared" si="64"/>
        <v>Mon</v>
      </c>
      <c r="J1075" s="1" t="s">
        <v>66</v>
      </c>
      <c r="K1075" s="1" t="s">
        <v>12</v>
      </c>
      <c r="L1075" s="1" t="s">
        <v>94</v>
      </c>
      <c r="M1075" s="1" t="s">
        <v>32</v>
      </c>
      <c r="N1075" s="1" t="s">
        <v>22</v>
      </c>
      <c r="O1075" t="s">
        <v>45</v>
      </c>
    </row>
    <row r="1076" spans="1:15" x14ac:dyDescent="0.25">
      <c r="A1076" s="1" t="s">
        <v>1606</v>
      </c>
      <c r="B1076" s="1" t="s">
        <v>1607</v>
      </c>
      <c r="C1076" s="3">
        <v>44799.792361111111</v>
      </c>
      <c r="D1076" s="4">
        <f t="shared" si="65"/>
        <v>44799</v>
      </c>
      <c r="E1076" s="6">
        <v>45.369444444440902</v>
      </c>
      <c r="F1076" s="6" t="str" cm="1">
        <f t="array" ref="F1076">_xlfn.IFS(
     AND(HOUR(session_data[[#This Row],[Time]])&gt;5,HOUR(session_data[[#This Row],[Time]])&lt;12),"Morning",
     AND(HOUR(session_data[[#This Row],[Time]])&gt;=12,HOUR(session_data[[#This Row],[Time]])&lt;17),"Afternoon",
     AND(HOUR(session_data[[#This Row],[Time]])&gt;=17,HOUR(session_data[[#This Row],[Time]])&lt;21),"Evening",
     TRUE,"Night"
)</f>
        <v>Morning</v>
      </c>
      <c r="G1076" s="1">
        <f t="shared" si="66"/>
        <v>2022</v>
      </c>
      <c r="H1076" s="1" t="str">
        <f t="shared" si="67"/>
        <v>Aug</v>
      </c>
      <c r="I1076" s="1" t="str">
        <f t="shared" si="64"/>
        <v>Fri</v>
      </c>
      <c r="J1076" s="1" t="s">
        <v>11</v>
      </c>
      <c r="K1076" s="1" t="s">
        <v>12</v>
      </c>
      <c r="L1076" s="1" t="s">
        <v>79</v>
      </c>
      <c r="M1076" s="1" t="s">
        <v>40</v>
      </c>
      <c r="N1076" s="1" t="s">
        <v>14</v>
      </c>
      <c r="O1076" t="s">
        <v>45</v>
      </c>
    </row>
    <row r="1077" spans="1:15" x14ac:dyDescent="0.25">
      <c r="A1077" s="1" t="s">
        <v>1608</v>
      </c>
      <c r="B1077" s="1" t="s">
        <v>1607</v>
      </c>
      <c r="C1077" s="3">
        <v>44818.959027777775</v>
      </c>
      <c r="D1077" s="4">
        <f t="shared" si="65"/>
        <v>44818</v>
      </c>
      <c r="E1077" s="6">
        <v>45.411111111107601</v>
      </c>
      <c r="F1077" s="6" t="str" cm="1">
        <f t="array" ref="F1077">_xlfn.IFS(
     AND(HOUR(session_data[[#This Row],[Time]])&gt;5,HOUR(session_data[[#This Row],[Time]])&lt;12),"Morning",
     AND(HOUR(session_data[[#This Row],[Time]])&gt;=12,HOUR(session_data[[#This Row],[Time]])&lt;17),"Afternoon",
     AND(HOUR(session_data[[#This Row],[Time]])&gt;=17,HOUR(session_data[[#This Row],[Time]])&lt;21),"Evening",
     TRUE,"Night"
)</f>
        <v>Morning</v>
      </c>
      <c r="G1077" s="1">
        <f t="shared" si="66"/>
        <v>2022</v>
      </c>
      <c r="H1077" s="1" t="str">
        <f t="shared" si="67"/>
        <v>Sep</v>
      </c>
      <c r="I1077" s="1" t="str">
        <f t="shared" si="64"/>
        <v>Wed</v>
      </c>
      <c r="J1077" s="1" t="s">
        <v>11</v>
      </c>
      <c r="K1077" s="1" t="s">
        <v>12</v>
      </c>
      <c r="L1077" s="1" t="s">
        <v>79</v>
      </c>
      <c r="M1077" s="1" t="s">
        <v>40</v>
      </c>
      <c r="N1077" s="1" t="s">
        <v>22</v>
      </c>
      <c r="O1077" t="s">
        <v>45</v>
      </c>
    </row>
    <row r="1078" spans="1:15" x14ac:dyDescent="0.25">
      <c r="A1078" s="1" t="s">
        <v>1609</v>
      </c>
      <c r="B1078" s="1" t="s">
        <v>1607</v>
      </c>
      <c r="C1078" s="3">
        <v>44830.209027777775</v>
      </c>
      <c r="D1078" s="4">
        <f t="shared" si="65"/>
        <v>44830</v>
      </c>
      <c r="E1078" s="6">
        <v>45.452777777774202</v>
      </c>
      <c r="F1078" s="6" t="str" cm="1">
        <f t="array" ref="F1078">_xlfn.IFS(
     AND(HOUR(session_data[[#This Row],[Time]])&gt;5,HOUR(session_data[[#This Row],[Time]])&lt;12),"Morning",
     AND(HOUR(session_data[[#This Row],[Time]])&gt;=12,HOUR(session_data[[#This Row],[Time]])&lt;17),"Afternoon",
     AND(HOUR(session_data[[#This Row],[Time]])&gt;=17,HOUR(session_data[[#This Row],[Time]])&lt;21),"Evening",
     TRUE,"Night"
)</f>
        <v>Morning</v>
      </c>
      <c r="G1078" s="1">
        <f t="shared" si="66"/>
        <v>2022</v>
      </c>
      <c r="H1078" s="1" t="str">
        <f t="shared" si="67"/>
        <v>Sep</v>
      </c>
      <c r="I1078" s="1" t="str">
        <f t="shared" si="64"/>
        <v>Mon</v>
      </c>
      <c r="J1078" s="1" t="s">
        <v>11</v>
      </c>
      <c r="K1078" s="1" t="s">
        <v>12</v>
      </c>
      <c r="L1078" s="1" t="s">
        <v>79</v>
      </c>
      <c r="M1078" s="1" t="s">
        <v>40</v>
      </c>
      <c r="N1078" s="1" t="s">
        <v>22</v>
      </c>
      <c r="O1078" t="s">
        <v>45</v>
      </c>
    </row>
    <row r="1079" spans="1:15" x14ac:dyDescent="0.25">
      <c r="A1079" s="1" t="s">
        <v>1610</v>
      </c>
      <c r="B1079" s="1" t="s">
        <v>1607</v>
      </c>
      <c r="C1079" s="3">
        <v>44854.084027777775</v>
      </c>
      <c r="D1079" s="4">
        <f t="shared" si="65"/>
        <v>44854</v>
      </c>
      <c r="E1079" s="6">
        <v>45.494444444440902</v>
      </c>
      <c r="F1079" s="6" t="str" cm="1">
        <f t="array" ref="F1079">_xlfn.IFS(
     AND(HOUR(session_data[[#This Row],[Time]])&gt;5,HOUR(session_data[[#This Row],[Time]])&lt;12),"Morning",
     AND(HOUR(session_data[[#This Row],[Time]])&gt;=12,HOUR(session_data[[#This Row],[Time]])&lt;17),"Afternoon",
     AND(HOUR(session_data[[#This Row],[Time]])&gt;=17,HOUR(session_data[[#This Row],[Time]])&lt;21),"Evening",
     TRUE,"Night"
)</f>
        <v>Morning</v>
      </c>
      <c r="G1079" s="1">
        <f t="shared" si="66"/>
        <v>2022</v>
      </c>
      <c r="H1079" s="1" t="str">
        <f t="shared" si="67"/>
        <v>Oct</v>
      </c>
      <c r="I1079" s="1" t="str">
        <f t="shared" si="64"/>
        <v>Thu</v>
      </c>
      <c r="J1079" s="1" t="s">
        <v>11</v>
      </c>
      <c r="K1079" s="1" t="s">
        <v>12</v>
      </c>
      <c r="L1079" s="1" t="s">
        <v>79</v>
      </c>
      <c r="M1079" s="1" t="s">
        <v>40</v>
      </c>
      <c r="N1079" s="1" t="s">
        <v>22</v>
      </c>
      <c r="O1079" t="s">
        <v>45</v>
      </c>
    </row>
    <row r="1080" spans="1:15" x14ac:dyDescent="0.25">
      <c r="A1080" s="1" t="s">
        <v>1611</v>
      </c>
      <c r="B1080" s="1" t="s">
        <v>1607</v>
      </c>
      <c r="C1080" s="3">
        <v>44879.000694444447</v>
      </c>
      <c r="D1080" s="4">
        <f t="shared" si="65"/>
        <v>44879</v>
      </c>
      <c r="E1080" s="6">
        <v>45.536111111107601</v>
      </c>
      <c r="F1080" s="6" t="str" cm="1">
        <f t="array" ref="F1080">_xlfn.IFS(
     AND(HOUR(session_data[[#This Row],[Time]])&gt;5,HOUR(session_data[[#This Row],[Time]])&lt;12),"Morning",
     AND(HOUR(session_data[[#This Row],[Time]])&gt;=12,HOUR(session_data[[#This Row],[Time]])&lt;17),"Afternoon",
     AND(HOUR(session_data[[#This Row],[Time]])&gt;=17,HOUR(session_data[[#This Row],[Time]])&lt;21),"Evening",
     TRUE,"Night"
)</f>
        <v>Afternoon</v>
      </c>
      <c r="G1080" s="1">
        <f t="shared" si="66"/>
        <v>2022</v>
      </c>
      <c r="H1080" s="1" t="str">
        <f t="shared" si="67"/>
        <v>Nov</v>
      </c>
      <c r="I1080" s="1" t="str">
        <f t="shared" si="64"/>
        <v>Mon</v>
      </c>
      <c r="J1080" s="1" t="s">
        <v>11</v>
      </c>
      <c r="K1080" s="1" t="s">
        <v>12</v>
      </c>
      <c r="L1080" s="1" t="s">
        <v>79</v>
      </c>
      <c r="M1080" s="1" t="s">
        <v>40</v>
      </c>
      <c r="N1080" s="1" t="s">
        <v>22</v>
      </c>
      <c r="O1080" t="s">
        <v>45</v>
      </c>
    </row>
    <row r="1081" spans="1:15" x14ac:dyDescent="0.25"/>
    <row r="1082" spans="1:15" x14ac:dyDescent="0.25"/>
    <row r="1083" spans="1:15" x14ac:dyDescent="0.25"/>
    <row r="1084" spans="1:15" x14ac:dyDescent="0.25"/>
    <row r="1085" spans="1:15" x14ac:dyDescent="0.25"/>
    <row r="1086" spans="1:15" x14ac:dyDescent="0.25"/>
    <row r="1087" spans="1:15" x14ac:dyDescent="0.25"/>
    <row r="1088" spans="1:15" x14ac:dyDescent="0.25"/>
    <row r="1089" x14ac:dyDescent="0.25"/>
    <row r="1090" x14ac:dyDescent="0.25"/>
    <row r="1091" x14ac:dyDescent="0.25"/>
    <row r="1092" x14ac:dyDescent="0.25"/>
    <row r="1093" x14ac:dyDescent="0.25"/>
    <row r="1094" x14ac:dyDescent="0.25"/>
    <row r="1095" x14ac:dyDescent="0.25"/>
    <row r="1096" x14ac:dyDescent="0.25"/>
    <row r="1097" x14ac:dyDescent="0.25"/>
    <row r="1098" x14ac:dyDescent="0.25"/>
    <row r="1099" x14ac:dyDescent="0.25"/>
    <row r="1100" x14ac:dyDescent="0.25"/>
    <row r="1101" x14ac:dyDescent="0.25"/>
    <row r="1102" x14ac:dyDescent="0.25"/>
    <row r="1103" x14ac:dyDescent="0.25"/>
    <row r="1104" x14ac:dyDescent="0.25"/>
    <row r="1105" x14ac:dyDescent="0.25"/>
    <row r="1106" x14ac:dyDescent="0.25"/>
    <row r="1107" x14ac:dyDescent="0.25"/>
    <row r="1108" x14ac:dyDescent="0.25"/>
    <row r="1109" x14ac:dyDescent="0.25"/>
    <row r="1110" x14ac:dyDescent="0.25"/>
    <row r="1111" x14ac:dyDescent="0.25"/>
    <row r="1112" x14ac:dyDescent="0.25"/>
    <row r="1113" x14ac:dyDescent="0.25"/>
    <row r="1114" x14ac:dyDescent="0.25"/>
    <row r="1115" x14ac:dyDescent="0.25"/>
    <row r="1116" x14ac:dyDescent="0.25"/>
    <row r="1117" x14ac:dyDescent="0.25"/>
    <row r="1118" x14ac:dyDescent="0.25"/>
    <row r="1119" x14ac:dyDescent="0.25"/>
    <row r="1120" x14ac:dyDescent="0.25"/>
    <row r="1121" x14ac:dyDescent="0.25"/>
    <row r="1122" x14ac:dyDescent="0.25"/>
    <row r="1123" x14ac:dyDescent="0.25"/>
    <row r="1124" x14ac:dyDescent="0.25"/>
    <row r="1125" x14ac:dyDescent="0.25"/>
    <row r="1126" x14ac:dyDescent="0.25"/>
    <row r="1127" x14ac:dyDescent="0.25"/>
    <row r="1128" x14ac:dyDescent="0.25"/>
    <row r="1129" x14ac:dyDescent="0.25"/>
    <row r="1130" x14ac:dyDescent="0.25"/>
    <row r="1131" x14ac:dyDescent="0.25"/>
    <row r="1132" x14ac:dyDescent="0.25"/>
    <row r="1133" x14ac:dyDescent="0.25"/>
    <row r="1134" x14ac:dyDescent="0.25"/>
    <row r="1135" x14ac:dyDescent="0.25"/>
    <row r="1136" x14ac:dyDescent="0.25"/>
    <row r="1137" x14ac:dyDescent="0.25"/>
    <row r="1138" x14ac:dyDescent="0.25"/>
    <row r="1139" x14ac:dyDescent="0.25"/>
    <row r="1140" x14ac:dyDescent="0.25"/>
    <row r="1141" x14ac:dyDescent="0.25"/>
    <row r="1142" x14ac:dyDescent="0.25"/>
    <row r="1143" x14ac:dyDescent="0.25"/>
    <row r="1144" x14ac:dyDescent="0.25"/>
    <row r="1145" x14ac:dyDescent="0.25"/>
    <row r="1146" x14ac:dyDescent="0.25"/>
    <row r="1147" x14ac:dyDescent="0.25"/>
    <row r="1148" x14ac:dyDescent="0.25"/>
    <row r="1149" x14ac:dyDescent="0.25"/>
    <row r="1150" x14ac:dyDescent="0.25"/>
    <row r="1151" x14ac:dyDescent="0.25"/>
    <row r="1152" x14ac:dyDescent="0.25"/>
    <row r="1153" x14ac:dyDescent="0.25"/>
    <row r="1154" x14ac:dyDescent="0.25"/>
    <row r="1155" x14ac:dyDescent="0.25"/>
    <row r="1156" x14ac:dyDescent="0.25"/>
    <row r="1157" x14ac:dyDescent="0.25"/>
    <row r="1158" x14ac:dyDescent="0.25"/>
    <row r="1159" x14ac:dyDescent="0.25"/>
    <row r="1160" x14ac:dyDescent="0.25"/>
    <row r="1161" x14ac:dyDescent="0.25"/>
    <row r="1162" x14ac:dyDescent="0.25"/>
    <row r="1163" x14ac:dyDescent="0.25"/>
    <row r="1164" x14ac:dyDescent="0.25"/>
    <row r="1165" x14ac:dyDescent="0.25"/>
    <row r="1166" x14ac:dyDescent="0.25"/>
    <row r="1167" x14ac:dyDescent="0.25"/>
    <row r="1168" x14ac:dyDescent="0.25"/>
    <row r="1169" x14ac:dyDescent="0.25"/>
    <row r="1170" x14ac:dyDescent="0.25"/>
    <row r="1171" x14ac:dyDescent="0.25"/>
    <row r="1172" x14ac:dyDescent="0.25"/>
    <row r="1173" x14ac:dyDescent="0.25"/>
    <row r="1174" x14ac:dyDescent="0.25"/>
    <row r="1175" x14ac:dyDescent="0.25"/>
    <row r="1176" x14ac:dyDescent="0.25"/>
    <row r="1177" x14ac:dyDescent="0.25"/>
    <row r="1178" x14ac:dyDescent="0.25"/>
    <row r="1179" x14ac:dyDescent="0.25"/>
    <row r="1180" x14ac:dyDescent="0.25"/>
    <row r="1181" x14ac:dyDescent="0.25"/>
    <row r="1182" x14ac:dyDescent="0.25"/>
    <row r="1183" x14ac:dyDescent="0.25"/>
  </sheetData>
  <conditionalFormatting sqref="A1:A1080 A1184:A1048576">
    <cfRule type="duplicateValues" dxfId="1"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tint="0.39997558519241921"/>
    <outlinePr summaryBelow="0" summaryRight="0"/>
  </sheetPr>
  <dimension ref="A1:G1080"/>
  <sheetViews>
    <sheetView workbookViewId="0">
      <selection activeCell="I4" sqref="I4"/>
    </sheetView>
  </sheetViews>
  <sheetFormatPr defaultColWidth="12.6328125" defaultRowHeight="15.75" customHeight="1" x14ac:dyDescent="0.25"/>
  <cols>
    <col min="1" max="1" width="11.36328125" customWidth="1"/>
    <col min="2" max="2" width="17.54296875" customWidth="1"/>
    <col min="4" max="4" width="19.1796875" customWidth="1"/>
    <col min="5" max="5" width="16.81640625" customWidth="1"/>
    <col min="6" max="6" width="15.453125" bestFit="1" customWidth="1"/>
    <col min="7" max="7" width="15.26953125" bestFit="1" customWidth="1"/>
  </cols>
  <sheetData>
    <row r="1" spans="1:7" x14ac:dyDescent="0.25">
      <c r="A1" s="1" t="s">
        <v>0</v>
      </c>
      <c r="B1" s="1" t="s">
        <v>1612</v>
      </c>
      <c r="C1" s="1" t="s">
        <v>1613</v>
      </c>
      <c r="D1" s="1" t="s">
        <v>1614</v>
      </c>
      <c r="E1" s="1" t="s">
        <v>1615</v>
      </c>
      <c r="F1" s="1" t="s">
        <v>1616</v>
      </c>
      <c r="G1" s="1" t="s">
        <v>1639</v>
      </c>
    </row>
    <row r="2" spans="1:7" x14ac:dyDescent="0.25">
      <c r="A2" s="1" t="s">
        <v>9</v>
      </c>
      <c r="B2" s="1">
        <v>356</v>
      </c>
      <c r="C2" s="1">
        <v>14</v>
      </c>
      <c r="D2" s="1">
        <v>4</v>
      </c>
      <c r="E2" s="1">
        <v>0</v>
      </c>
      <c r="F2" t="s">
        <v>1622</v>
      </c>
      <c r="G2" s="1" t="str">
        <f>_xlfn.XLOOKUP(engagement[[#This Row],[SessionID]],session_data[SessionID],session_data[Traffic Source])</f>
        <v>Organic Search</v>
      </c>
    </row>
    <row r="3" spans="1:7" x14ac:dyDescent="0.25">
      <c r="A3" s="1" t="s">
        <v>16</v>
      </c>
      <c r="B3" s="1">
        <v>47</v>
      </c>
      <c r="C3" s="1">
        <v>5</v>
      </c>
      <c r="D3" s="1">
        <v>5</v>
      </c>
      <c r="E3" s="1">
        <v>1</v>
      </c>
      <c r="F3" t="s">
        <v>1623</v>
      </c>
      <c r="G3" s="1" t="str">
        <f>_xlfn.XLOOKUP(engagement[[#This Row],[SessionID]],session_data[SessionID],session_data[Traffic Source])</f>
        <v>Direct</v>
      </c>
    </row>
    <row r="4" spans="1:7" x14ac:dyDescent="0.25">
      <c r="A4" s="1" t="s">
        <v>21</v>
      </c>
      <c r="B4" s="1">
        <v>268</v>
      </c>
      <c r="C4" s="1">
        <v>11</v>
      </c>
      <c r="D4" s="1">
        <v>4</v>
      </c>
      <c r="E4" s="1">
        <v>0</v>
      </c>
      <c r="F4" t="s">
        <v>1622</v>
      </c>
      <c r="G4" s="1" t="str">
        <f>_xlfn.XLOOKUP(engagement[[#This Row],[SessionID]],session_data[SessionID],session_data[Traffic Source])</f>
        <v>Direct</v>
      </c>
    </row>
    <row r="5" spans="1:7" x14ac:dyDescent="0.25">
      <c r="A5" s="1" t="s">
        <v>23</v>
      </c>
      <c r="B5" s="1">
        <v>76</v>
      </c>
      <c r="C5" s="1">
        <v>5</v>
      </c>
      <c r="D5" s="1">
        <v>5</v>
      </c>
      <c r="E5" s="1">
        <v>1</v>
      </c>
      <c r="F5" t="s">
        <v>1623</v>
      </c>
      <c r="G5" s="1" t="str">
        <f>_xlfn.XLOOKUP(engagement[[#This Row],[SessionID]],session_data[SessionID],session_data[Traffic Source])</f>
        <v>Direct</v>
      </c>
    </row>
    <row r="6" spans="1:7" x14ac:dyDescent="0.25">
      <c r="A6" s="1" t="s">
        <v>24</v>
      </c>
      <c r="B6" s="1">
        <v>169</v>
      </c>
      <c r="C6" s="1">
        <v>6</v>
      </c>
      <c r="D6" s="1">
        <v>4</v>
      </c>
      <c r="E6" s="1">
        <v>0</v>
      </c>
      <c r="F6" t="s">
        <v>1622</v>
      </c>
      <c r="G6" s="1" t="str">
        <f>_xlfn.XLOOKUP(engagement[[#This Row],[SessionID]],session_data[SessionID],session_data[Traffic Source])</f>
        <v>Direct</v>
      </c>
    </row>
    <row r="7" spans="1:7" x14ac:dyDescent="0.25">
      <c r="A7" s="1" t="s">
        <v>25</v>
      </c>
      <c r="B7" s="1">
        <v>253</v>
      </c>
      <c r="C7" s="1">
        <v>10</v>
      </c>
      <c r="D7" s="1">
        <v>4</v>
      </c>
      <c r="E7" s="1">
        <v>0</v>
      </c>
      <c r="F7" t="s">
        <v>1624</v>
      </c>
      <c r="G7" s="1" t="str">
        <f>_xlfn.XLOOKUP(engagement[[#This Row],[SessionID]],session_data[SessionID],session_data[Traffic Source])</f>
        <v>Direct</v>
      </c>
    </row>
    <row r="8" spans="1:7" x14ac:dyDescent="0.25">
      <c r="A8" s="1" t="s">
        <v>26</v>
      </c>
      <c r="B8" s="1">
        <v>190</v>
      </c>
      <c r="C8" s="1">
        <v>7</v>
      </c>
      <c r="D8" s="1">
        <v>4</v>
      </c>
      <c r="E8" s="1">
        <v>0</v>
      </c>
      <c r="F8" t="s">
        <v>1625</v>
      </c>
      <c r="G8" s="1" t="str">
        <f>_xlfn.XLOOKUP(engagement[[#This Row],[SessionID]],session_data[SessionID],session_data[Traffic Source])</f>
        <v>Referral</v>
      </c>
    </row>
    <row r="9" spans="1:7" x14ac:dyDescent="0.25">
      <c r="A9" s="1" t="s">
        <v>31</v>
      </c>
      <c r="B9" s="1">
        <v>272</v>
      </c>
      <c r="C9" s="1">
        <v>11</v>
      </c>
      <c r="D9" s="1">
        <v>3</v>
      </c>
      <c r="E9" s="1">
        <v>0</v>
      </c>
      <c r="F9" t="s">
        <v>1626</v>
      </c>
      <c r="G9" s="1" t="str">
        <f>_xlfn.XLOOKUP(engagement[[#This Row],[SessionID]],session_data[SessionID],session_data[Traffic Source])</f>
        <v>Referral</v>
      </c>
    </row>
    <row r="10" spans="1:7" x14ac:dyDescent="0.25">
      <c r="A10" s="1" t="s">
        <v>33</v>
      </c>
      <c r="B10" s="1">
        <v>361</v>
      </c>
      <c r="C10" s="1">
        <v>14</v>
      </c>
      <c r="D10" s="1">
        <v>4</v>
      </c>
      <c r="E10" s="1">
        <v>0</v>
      </c>
      <c r="F10" t="s">
        <v>1625</v>
      </c>
      <c r="G10" s="1" t="str">
        <f>_xlfn.XLOOKUP(engagement[[#This Row],[SessionID]],session_data[SessionID],session_data[Traffic Source])</f>
        <v>Referral</v>
      </c>
    </row>
    <row r="11" spans="1:7" x14ac:dyDescent="0.25">
      <c r="A11" s="1" t="s">
        <v>34</v>
      </c>
      <c r="B11" s="1">
        <v>64</v>
      </c>
      <c r="C11" s="1">
        <v>2</v>
      </c>
      <c r="D11" s="1">
        <v>1</v>
      </c>
      <c r="E11" s="1">
        <v>1</v>
      </c>
      <c r="F11" t="s">
        <v>1623</v>
      </c>
      <c r="G11" s="1" t="str">
        <f>_xlfn.XLOOKUP(engagement[[#This Row],[SessionID]],session_data[SessionID],session_data[Traffic Source])</f>
        <v>Direct</v>
      </c>
    </row>
    <row r="12" spans="1:7" x14ac:dyDescent="0.25">
      <c r="A12" s="1" t="s">
        <v>37</v>
      </c>
      <c r="B12" s="1">
        <v>319</v>
      </c>
      <c r="C12" s="1">
        <v>12</v>
      </c>
      <c r="D12" s="1">
        <v>1</v>
      </c>
      <c r="E12" s="1">
        <v>0</v>
      </c>
      <c r="F12" t="s">
        <v>1622</v>
      </c>
      <c r="G12" s="1" t="str">
        <f>_xlfn.XLOOKUP(engagement[[#This Row],[SessionID]],session_data[SessionID],session_data[Traffic Source])</f>
        <v>Direct</v>
      </c>
    </row>
    <row r="13" spans="1:7" x14ac:dyDescent="0.25">
      <c r="A13" s="1" t="s">
        <v>38</v>
      </c>
      <c r="B13" s="1">
        <v>298</v>
      </c>
      <c r="C13" s="1">
        <v>12</v>
      </c>
      <c r="D13" s="1">
        <v>3</v>
      </c>
      <c r="E13" s="1">
        <v>0</v>
      </c>
      <c r="F13" t="s">
        <v>1624</v>
      </c>
      <c r="G13" s="1" t="str">
        <f>_xlfn.XLOOKUP(engagement[[#This Row],[SessionID]],session_data[SessionID],session_data[Traffic Source])</f>
        <v>Organic Search</v>
      </c>
    </row>
    <row r="14" spans="1:7" x14ac:dyDescent="0.25">
      <c r="A14" s="1" t="s">
        <v>42</v>
      </c>
      <c r="B14" s="1">
        <v>268</v>
      </c>
      <c r="C14" s="1">
        <v>11</v>
      </c>
      <c r="D14" s="1">
        <v>3</v>
      </c>
      <c r="E14" s="1">
        <v>1</v>
      </c>
      <c r="F14" t="s">
        <v>1623</v>
      </c>
      <c r="G14" s="1" t="str">
        <f>_xlfn.XLOOKUP(engagement[[#This Row],[SessionID]],session_data[SessionID],session_data[Traffic Source])</f>
        <v>Social Media</v>
      </c>
    </row>
    <row r="15" spans="1:7" x14ac:dyDescent="0.25">
      <c r="A15" s="1" t="s">
        <v>46</v>
      </c>
      <c r="B15" s="1">
        <v>80</v>
      </c>
      <c r="C15" s="1">
        <v>5</v>
      </c>
      <c r="D15" s="1">
        <v>4</v>
      </c>
      <c r="E15" s="1">
        <v>0</v>
      </c>
      <c r="F15" t="s">
        <v>1622</v>
      </c>
      <c r="G15" s="1" t="str">
        <f>_xlfn.XLOOKUP(engagement[[#This Row],[SessionID]],session_data[SessionID],session_data[Traffic Source])</f>
        <v>Referral</v>
      </c>
    </row>
    <row r="16" spans="1:7" x14ac:dyDescent="0.25">
      <c r="A16" s="1" t="s">
        <v>48</v>
      </c>
      <c r="B16" s="1">
        <v>252</v>
      </c>
      <c r="C16" s="1">
        <v>11</v>
      </c>
      <c r="D16" s="1">
        <v>4</v>
      </c>
      <c r="E16" s="1">
        <v>0</v>
      </c>
      <c r="F16" t="s">
        <v>1624</v>
      </c>
      <c r="G16" s="1" t="str">
        <f>_xlfn.XLOOKUP(engagement[[#This Row],[SessionID]],session_data[SessionID],session_data[Traffic Source])</f>
        <v>Direct</v>
      </c>
    </row>
    <row r="17" spans="1:7" x14ac:dyDescent="0.25">
      <c r="A17" s="1" t="s">
        <v>51</v>
      </c>
      <c r="B17" s="1">
        <v>190</v>
      </c>
      <c r="C17" s="1">
        <v>8</v>
      </c>
      <c r="D17" s="1">
        <v>4</v>
      </c>
      <c r="E17" s="1">
        <v>0</v>
      </c>
      <c r="F17" t="s">
        <v>1625</v>
      </c>
      <c r="G17" s="1" t="str">
        <f>_xlfn.XLOOKUP(engagement[[#This Row],[SessionID]],session_data[SessionID],session_data[Traffic Source])</f>
        <v>Direct</v>
      </c>
    </row>
    <row r="18" spans="1:7" x14ac:dyDescent="0.25">
      <c r="A18" s="1" t="s">
        <v>52</v>
      </c>
      <c r="B18" s="1">
        <v>200</v>
      </c>
      <c r="C18" s="1">
        <v>8</v>
      </c>
      <c r="D18" s="1">
        <v>4</v>
      </c>
      <c r="E18" s="1">
        <v>0</v>
      </c>
      <c r="F18" t="s">
        <v>1625</v>
      </c>
      <c r="G18" s="1" t="str">
        <f>_xlfn.XLOOKUP(engagement[[#This Row],[SessionID]],session_data[SessionID],session_data[Traffic Source])</f>
        <v>Direct</v>
      </c>
    </row>
    <row r="19" spans="1:7" x14ac:dyDescent="0.25">
      <c r="A19" s="1" t="s">
        <v>53</v>
      </c>
      <c r="B19" s="1">
        <v>340</v>
      </c>
      <c r="C19" s="1">
        <v>13</v>
      </c>
      <c r="D19" s="1">
        <v>4</v>
      </c>
      <c r="E19" s="1">
        <v>0</v>
      </c>
      <c r="F19" t="s">
        <v>1622</v>
      </c>
      <c r="G19" s="1" t="str">
        <f>_xlfn.XLOOKUP(engagement[[#This Row],[SessionID]],session_data[SessionID],session_data[Traffic Source])</f>
        <v>Direct</v>
      </c>
    </row>
    <row r="20" spans="1:7" x14ac:dyDescent="0.25">
      <c r="A20" s="1" t="s">
        <v>54</v>
      </c>
      <c r="B20" s="1">
        <v>200</v>
      </c>
      <c r="C20" s="1">
        <v>9</v>
      </c>
      <c r="D20" s="1">
        <v>4</v>
      </c>
      <c r="E20" s="1">
        <v>0</v>
      </c>
      <c r="F20" t="s">
        <v>1622</v>
      </c>
      <c r="G20" s="1" t="str">
        <f>_xlfn.XLOOKUP(engagement[[#This Row],[SessionID]],session_data[SessionID],session_data[Traffic Source])</f>
        <v>Social Media</v>
      </c>
    </row>
    <row r="21" spans="1:7" x14ac:dyDescent="0.25">
      <c r="A21" s="1" t="s">
        <v>56</v>
      </c>
      <c r="B21" s="1">
        <v>214</v>
      </c>
      <c r="C21" s="1">
        <v>9</v>
      </c>
      <c r="D21" s="1">
        <v>4</v>
      </c>
      <c r="E21" s="1">
        <v>0</v>
      </c>
      <c r="F21" t="s">
        <v>1622</v>
      </c>
      <c r="G21" s="1" t="str">
        <f>_xlfn.XLOOKUP(engagement[[#This Row],[SessionID]],session_data[SessionID],session_data[Traffic Source])</f>
        <v>Social Media</v>
      </c>
    </row>
    <row r="22" spans="1:7" x14ac:dyDescent="0.25">
      <c r="A22" s="1" t="s">
        <v>57</v>
      </c>
      <c r="B22" s="1">
        <v>88</v>
      </c>
      <c r="C22" s="1">
        <v>4</v>
      </c>
      <c r="D22" s="1">
        <v>4</v>
      </c>
      <c r="E22" s="1">
        <v>0</v>
      </c>
      <c r="F22" t="s">
        <v>1626</v>
      </c>
      <c r="G22" s="1" t="str">
        <f>_xlfn.XLOOKUP(engagement[[#This Row],[SessionID]],session_data[SessionID],session_data[Traffic Source])</f>
        <v>Organic Search</v>
      </c>
    </row>
    <row r="23" spans="1:7" x14ac:dyDescent="0.25">
      <c r="A23" s="1" t="s">
        <v>60</v>
      </c>
      <c r="B23" s="1">
        <v>261</v>
      </c>
      <c r="C23" s="1">
        <v>11</v>
      </c>
      <c r="D23" s="1">
        <v>4</v>
      </c>
      <c r="E23" s="1">
        <v>0</v>
      </c>
      <c r="F23" t="s">
        <v>1626</v>
      </c>
      <c r="G23" s="1" t="str">
        <f>_xlfn.XLOOKUP(engagement[[#This Row],[SessionID]],session_data[SessionID],session_data[Traffic Source])</f>
        <v>Organic Search</v>
      </c>
    </row>
    <row r="24" spans="1:7" x14ac:dyDescent="0.25">
      <c r="A24" s="1" t="s">
        <v>61</v>
      </c>
      <c r="B24" s="1">
        <v>124</v>
      </c>
      <c r="C24" s="1">
        <v>5</v>
      </c>
      <c r="D24" s="1">
        <v>4</v>
      </c>
      <c r="E24" s="1">
        <v>0</v>
      </c>
      <c r="F24" t="s">
        <v>1622</v>
      </c>
      <c r="G24" s="1" t="str">
        <f>_xlfn.XLOOKUP(engagement[[#This Row],[SessionID]],session_data[SessionID],session_data[Traffic Source])</f>
        <v>Organic Search</v>
      </c>
    </row>
    <row r="25" spans="1:7" x14ac:dyDescent="0.25">
      <c r="A25" s="1" t="s">
        <v>62</v>
      </c>
      <c r="B25" s="1">
        <v>219</v>
      </c>
      <c r="C25" s="1">
        <v>9</v>
      </c>
      <c r="D25" s="1">
        <v>3</v>
      </c>
      <c r="E25" s="1">
        <v>0</v>
      </c>
      <c r="F25" t="s">
        <v>1622</v>
      </c>
      <c r="G25" s="1" t="str">
        <f>_xlfn.XLOOKUP(engagement[[#This Row],[SessionID]],session_data[SessionID],session_data[Traffic Source])</f>
        <v>Organic Search</v>
      </c>
    </row>
    <row r="26" spans="1:7" x14ac:dyDescent="0.25">
      <c r="A26" s="1" t="s">
        <v>64</v>
      </c>
      <c r="B26" s="1">
        <v>79</v>
      </c>
      <c r="C26" s="1">
        <v>3</v>
      </c>
      <c r="D26" s="1">
        <v>3</v>
      </c>
      <c r="E26" s="1">
        <v>0</v>
      </c>
      <c r="F26" t="s">
        <v>1626</v>
      </c>
      <c r="G26" s="1" t="str">
        <f>_xlfn.XLOOKUP(engagement[[#This Row],[SessionID]],session_data[SessionID],session_data[Traffic Source])</f>
        <v>Paid Ads</v>
      </c>
    </row>
    <row r="27" spans="1:7" x14ac:dyDescent="0.25">
      <c r="A27" s="1" t="s">
        <v>67</v>
      </c>
      <c r="B27" s="1">
        <v>257</v>
      </c>
      <c r="C27" s="1">
        <v>10</v>
      </c>
      <c r="D27" s="1">
        <v>3</v>
      </c>
      <c r="E27" s="1">
        <v>0</v>
      </c>
      <c r="F27" t="s">
        <v>1626</v>
      </c>
      <c r="G27" s="1" t="str">
        <f>_xlfn.XLOOKUP(engagement[[#This Row],[SessionID]],session_data[SessionID],session_data[Traffic Source])</f>
        <v>Paid Ads</v>
      </c>
    </row>
    <row r="28" spans="1:7" x14ac:dyDescent="0.25">
      <c r="A28" s="1" t="s">
        <v>68</v>
      </c>
      <c r="B28" s="1">
        <v>104</v>
      </c>
      <c r="C28" s="1">
        <v>4</v>
      </c>
      <c r="D28" s="1">
        <v>3</v>
      </c>
      <c r="E28" s="1">
        <v>0</v>
      </c>
      <c r="F28" t="s">
        <v>1622</v>
      </c>
      <c r="G28" s="1" t="str">
        <f>_xlfn.XLOOKUP(engagement[[#This Row],[SessionID]],session_data[SessionID],session_data[Traffic Source])</f>
        <v>Paid Ads</v>
      </c>
    </row>
    <row r="29" spans="1:7" x14ac:dyDescent="0.25">
      <c r="A29" s="1" t="s">
        <v>69</v>
      </c>
      <c r="B29" s="1">
        <v>16</v>
      </c>
      <c r="C29" s="1">
        <v>4</v>
      </c>
      <c r="D29" s="1">
        <v>4</v>
      </c>
      <c r="E29" s="1">
        <v>0</v>
      </c>
      <c r="F29" t="s">
        <v>1625</v>
      </c>
      <c r="G29" s="1" t="str">
        <f>_xlfn.XLOOKUP(engagement[[#This Row],[SessionID]],session_data[SessionID],session_data[Traffic Source])</f>
        <v>Paid Ads</v>
      </c>
    </row>
    <row r="30" spans="1:7" x14ac:dyDescent="0.25">
      <c r="A30" s="1" t="s">
        <v>70</v>
      </c>
      <c r="B30" s="1">
        <v>316</v>
      </c>
      <c r="C30" s="1">
        <v>13</v>
      </c>
      <c r="D30" s="1">
        <v>4</v>
      </c>
      <c r="E30" s="1">
        <v>0</v>
      </c>
      <c r="F30" t="s">
        <v>1625</v>
      </c>
      <c r="G30" s="1" t="str">
        <f>_xlfn.XLOOKUP(engagement[[#This Row],[SessionID]],session_data[SessionID],session_data[Traffic Source])</f>
        <v>Paid Ads</v>
      </c>
    </row>
    <row r="31" spans="1:7" x14ac:dyDescent="0.25">
      <c r="A31" s="1" t="s">
        <v>71</v>
      </c>
      <c r="B31" s="1">
        <v>227</v>
      </c>
      <c r="C31" s="1">
        <v>9</v>
      </c>
      <c r="D31" s="1">
        <v>4</v>
      </c>
      <c r="E31" s="1">
        <v>1</v>
      </c>
      <c r="F31" t="s">
        <v>1623</v>
      </c>
      <c r="G31" s="1" t="str">
        <f>_xlfn.XLOOKUP(engagement[[#This Row],[SessionID]],session_data[SessionID],session_data[Traffic Source])</f>
        <v>Direct</v>
      </c>
    </row>
    <row r="32" spans="1:7" x14ac:dyDescent="0.25">
      <c r="A32" s="1" t="s">
        <v>73</v>
      </c>
      <c r="B32" s="1">
        <v>164</v>
      </c>
      <c r="C32" s="1">
        <v>7</v>
      </c>
      <c r="D32" s="1">
        <v>4</v>
      </c>
      <c r="E32" s="1">
        <v>0</v>
      </c>
      <c r="F32" t="s">
        <v>1625</v>
      </c>
      <c r="G32" s="1" t="str">
        <f>_xlfn.XLOOKUP(engagement[[#This Row],[SessionID]],session_data[SessionID],session_data[Traffic Source])</f>
        <v>Direct</v>
      </c>
    </row>
    <row r="33" spans="1:7" x14ac:dyDescent="0.25">
      <c r="A33" s="1" t="s">
        <v>74</v>
      </c>
      <c r="B33" s="1">
        <v>47</v>
      </c>
      <c r="C33" s="1">
        <v>4</v>
      </c>
      <c r="D33" s="1">
        <v>4</v>
      </c>
      <c r="E33" s="1">
        <v>0</v>
      </c>
      <c r="F33" t="s">
        <v>1624</v>
      </c>
      <c r="G33" s="1" t="str">
        <f>_xlfn.XLOOKUP(engagement[[#This Row],[SessionID]],session_data[SessionID],session_data[Traffic Source])</f>
        <v>Direct</v>
      </c>
    </row>
    <row r="34" spans="1:7" x14ac:dyDescent="0.25">
      <c r="A34" s="1" t="s">
        <v>75</v>
      </c>
      <c r="B34" s="1">
        <v>290</v>
      </c>
      <c r="C34" s="1">
        <v>11</v>
      </c>
      <c r="D34" s="1">
        <v>5</v>
      </c>
      <c r="E34" s="1">
        <v>1</v>
      </c>
      <c r="F34" t="s">
        <v>1623</v>
      </c>
      <c r="G34" s="1" t="str">
        <f>_xlfn.XLOOKUP(engagement[[#This Row],[SessionID]],session_data[SessionID],session_data[Traffic Source])</f>
        <v>Direct</v>
      </c>
    </row>
    <row r="35" spans="1:7" x14ac:dyDescent="0.25">
      <c r="A35" s="1" t="s">
        <v>77</v>
      </c>
      <c r="B35" s="1">
        <v>245</v>
      </c>
      <c r="C35" s="1">
        <v>9</v>
      </c>
      <c r="D35" s="1">
        <v>4</v>
      </c>
      <c r="E35" s="1">
        <v>0</v>
      </c>
      <c r="F35" t="s">
        <v>1626</v>
      </c>
      <c r="G35" s="1" t="str">
        <f>_xlfn.XLOOKUP(engagement[[#This Row],[SessionID]],session_data[SessionID],session_data[Traffic Source])</f>
        <v>Direct</v>
      </c>
    </row>
    <row r="36" spans="1:7" x14ac:dyDescent="0.25">
      <c r="A36" s="1" t="s">
        <v>80</v>
      </c>
      <c r="B36" s="1">
        <v>41</v>
      </c>
      <c r="C36" s="1">
        <v>5</v>
      </c>
      <c r="D36" s="1">
        <v>5</v>
      </c>
      <c r="E36" s="1">
        <v>1</v>
      </c>
      <c r="F36" t="s">
        <v>1623</v>
      </c>
      <c r="G36" s="1" t="str">
        <f>_xlfn.XLOOKUP(engagement[[#This Row],[SessionID]],session_data[SessionID],session_data[Traffic Source])</f>
        <v>Paid Ads</v>
      </c>
    </row>
    <row r="37" spans="1:7" x14ac:dyDescent="0.25">
      <c r="A37" s="1" t="s">
        <v>82</v>
      </c>
      <c r="B37" s="1">
        <v>330</v>
      </c>
      <c r="C37" s="1">
        <v>13</v>
      </c>
      <c r="D37" s="1">
        <v>2</v>
      </c>
      <c r="E37" s="1">
        <v>1</v>
      </c>
      <c r="F37" t="s">
        <v>1623</v>
      </c>
      <c r="G37" s="1" t="str">
        <f>_xlfn.XLOOKUP(engagement[[#This Row],[SessionID]],session_data[SessionID],session_data[Traffic Source])</f>
        <v>Direct</v>
      </c>
    </row>
    <row r="38" spans="1:7" x14ac:dyDescent="0.25">
      <c r="A38" s="1" t="s">
        <v>84</v>
      </c>
      <c r="B38" s="1">
        <v>29</v>
      </c>
      <c r="C38" s="1">
        <v>5</v>
      </c>
      <c r="D38" s="1">
        <v>5</v>
      </c>
      <c r="E38" s="1">
        <v>1</v>
      </c>
      <c r="F38" t="s">
        <v>1623</v>
      </c>
      <c r="G38" s="1" t="str">
        <f>_xlfn.XLOOKUP(engagement[[#This Row],[SessionID]],session_data[SessionID],session_data[Traffic Source])</f>
        <v>Organic Search</v>
      </c>
    </row>
    <row r="39" spans="1:7" x14ac:dyDescent="0.25">
      <c r="A39" s="1" t="s">
        <v>86</v>
      </c>
      <c r="B39" s="1">
        <v>206</v>
      </c>
      <c r="C39" s="1">
        <v>8</v>
      </c>
      <c r="D39" s="1">
        <v>4</v>
      </c>
      <c r="E39" s="1">
        <v>0</v>
      </c>
      <c r="F39" t="s">
        <v>1626</v>
      </c>
      <c r="G39" s="1" t="str">
        <f>_xlfn.XLOOKUP(engagement[[#This Row],[SessionID]],session_data[SessionID],session_data[Traffic Source])</f>
        <v>Organic Search</v>
      </c>
    </row>
    <row r="40" spans="1:7" x14ac:dyDescent="0.25">
      <c r="A40" s="1" t="s">
        <v>87</v>
      </c>
      <c r="B40" s="1">
        <v>260</v>
      </c>
      <c r="C40" s="1">
        <v>10</v>
      </c>
      <c r="D40" s="1">
        <v>4</v>
      </c>
      <c r="E40" s="1">
        <v>1</v>
      </c>
      <c r="F40" t="s">
        <v>1623</v>
      </c>
      <c r="G40" s="1" t="str">
        <f>_xlfn.XLOOKUP(engagement[[#This Row],[SessionID]],session_data[SessionID],session_data[Traffic Source])</f>
        <v>Direct</v>
      </c>
    </row>
    <row r="41" spans="1:7" x14ac:dyDescent="0.25">
      <c r="A41" s="1" t="s">
        <v>89</v>
      </c>
      <c r="B41" s="1">
        <v>203</v>
      </c>
      <c r="C41" s="1">
        <v>8</v>
      </c>
      <c r="D41" s="1">
        <v>4</v>
      </c>
      <c r="E41" s="1">
        <v>1</v>
      </c>
      <c r="F41" t="s">
        <v>1623</v>
      </c>
      <c r="G41" s="1" t="str">
        <f>_xlfn.XLOOKUP(engagement[[#This Row],[SessionID]],session_data[SessionID],session_data[Traffic Source])</f>
        <v>Direct</v>
      </c>
    </row>
    <row r="42" spans="1:7" x14ac:dyDescent="0.25">
      <c r="A42" s="1" t="s">
        <v>90</v>
      </c>
      <c r="B42" s="1">
        <v>156</v>
      </c>
      <c r="C42" s="1">
        <v>6</v>
      </c>
      <c r="D42" s="1">
        <v>2</v>
      </c>
      <c r="E42" s="1">
        <v>0</v>
      </c>
      <c r="F42" t="s">
        <v>1626</v>
      </c>
      <c r="G42" s="1" t="str">
        <f>_xlfn.XLOOKUP(engagement[[#This Row],[SessionID]],session_data[SessionID],session_data[Traffic Source])</f>
        <v>Direct</v>
      </c>
    </row>
    <row r="43" spans="1:7" x14ac:dyDescent="0.25">
      <c r="A43" s="1" t="s">
        <v>92</v>
      </c>
      <c r="B43" s="1">
        <v>220</v>
      </c>
      <c r="C43" s="1">
        <v>9</v>
      </c>
      <c r="D43" s="1">
        <v>5</v>
      </c>
      <c r="E43" s="1">
        <v>1</v>
      </c>
      <c r="F43" t="s">
        <v>1623</v>
      </c>
      <c r="G43" s="1" t="str">
        <f>_xlfn.XLOOKUP(engagement[[#This Row],[SessionID]],session_data[SessionID],session_data[Traffic Source])</f>
        <v>Organic Search</v>
      </c>
    </row>
    <row r="44" spans="1:7" x14ac:dyDescent="0.25">
      <c r="A44" s="1" t="s">
        <v>95</v>
      </c>
      <c r="B44" s="1">
        <v>135</v>
      </c>
      <c r="C44" s="1">
        <v>5</v>
      </c>
      <c r="D44" s="1">
        <v>4</v>
      </c>
      <c r="E44" s="1">
        <v>0</v>
      </c>
      <c r="F44" t="s">
        <v>1626</v>
      </c>
      <c r="G44" s="1" t="str">
        <f>_xlfn.XLOOKUP(engagement[[#This Row],[SessionID]],session_data[SessionID],session_data[Traffic Source])</f>
        <v>Organic Search</v>
      </c>
    </row>
    <row r="45" spans="1:7" x14ac:dyDescent="0.25">
      <c r="A45" s="1" t="s">
        <v>96</v>
      </c>
      <c r="B45" s="1">
        <v>140</v>
      </c>
      <c r="C45" s="1">
        <v>6</v>
      </c>
      <c r="D45" s="1">
        <v>4</v>
      </c>
      <c r="E45" s="1">
        <v>1</v>
      </c>
      <c r="F45" t="s">
        <v>1623</v>
      </c>
      <c r="G45" s="1" t="str">
        <f>_xlfn.XLOOKUP(engagement[[#This Row],[SessionID]],session_data[SessionID],session_data[Traffic Source])</f>
        <v>Direct</v>
      </c>
    </row>
    <row r="46" spans="1:7" x14ac:dyDescent="0.25">
      <c r="A46" s="1" t="s">
        <v>98</v>
      </c>
      <c r="B46" s="1">
        <v>134</v>
      </c>
      <c r="C46" s="1">
        <v>5</v>
      </c>
      <c r="D46" s="1">
        <v>4</v>
      </c>
      <c r="E46" s="1">
        <v>1</v>
      </c>
      <c r="F46" t="s">
        <v>1623</v>
      </c>
      <c r="G46" s="1" t="str">
        <f>_xlfn.XLOOKUP(engagement[[#This Row],[SessionID]],session_data[SessionID],session_data[Traffic Source])</f>
        <v>Social Media</v>
      </c>
    </row>
    <row r="47" spans="1:7" x14ac:dyDescent="0.25">
      <c r="A47" s="1" t="s">
        <v>100</v>
      </c>
      <c r="B47" s="1">
        <v>350</v>
      </c>
      <c r="C47" s="1">
        <v>14</v>
      </c>
      <c r="D47" s="1">
        <v>4</v>
      </c>
      <c r="E47" s="1">
        <v>0</v>
      </c>
      <c r="F47" t="s">
        <v>1625</v>
      </c>
      <c r="G47" s="1" t="str">
        <f>_xlfn.XLOOKUP(engagement[[#This Row],[SessionID]],session_data[SessionID],session_data[Traffic Source])</f>
        <v>Organic Search</v>
      </c>
    </row>
    <row r="48" spans="1:7" x14ac:dyDescent="0.25">
      <c r="A48" s="1" t="s">
        <v>102</v>
      </c>
      <c r="B48" s="1">
        <v>361</v>
      </c>
      <c r="C48" s="1">
        <v>14</v>
      </c>
      <c r="D48" s="1">
        <v>4</v>
      </c>
      <c r="E48" s="1">
        <v>0</v>
      </c>
      <c r="F48" t="s">
        <v>1626</v>
      </c>
      <c r="G48" s="1" t="str">
        <f>_xlfn.XLOOKUP(engagement[[#This Row],[SessionID]],session_data[SessionID],session_data[Traffic Source])</f>
        <v>Organic Search</v>
      </c>
    </row>
    <row r="49" spans="1:7" x14ac:dyDescent="0.25">
      <c r="A49" s="1" t="s">
        <v>104</v>
      </c>
      <c r="B49" s="1">
        <v>69</v>
      </c>
      <c r="C49" s="1">
        <v>4</v>
      </c>
      <c r="D49" s="1">
        <v>4</v>
      </c>
      <c r="E49" s="1">
        <v>0</v>
      </c>
      <c r="F49" t="s">
        <v>1625</v>
      </c>
      <c r="G49" s="1" t="str">
        <f>_xlfn.XLOOKUP(engagement[[#This Row],[SessionID]],session_data[SessionID],session_data[Traffic Source])</f>
        <v>Organic Search</v>
      </c>
    </row>
    <row r="50" spans="1:7" x14ac:dyDescent="0.25">
      <c r="A50" s="1" t="s">
        <v>105</v>
      </c>
      <c r="B50" s="1">
        <v>178</v>
      </c>
      <c r="C50" s="1">
        <v>8</v>
      </c>
      <c r="D50" s="1">
        <v>4</v>
      </c>
      <c r="E50" s="1">
        <v>0</v>
      </c>
      <c r="F50" t="s">
        <v>1625</v>
      </c>
      <c r="G50" s="1" t="str">
        <f>_xlfn.XLOOKUP(engagement[[#This Row],[SessionID]],session_data[SessionID],session_data[Traffic Source])</f>
        <v>Organic Search</v>
      </c>
    </row>
    <row r="51" spans="1:7" x14ac:dyDescent="0.25">
      <c r="A51" s="1" t="s">
        <v>107</v>
      </c>
      <c r="B51" s="1">
        <v>304</v>
      </c>
      <c r="C51" s="1">
        <v>12</v>
      </c>
      <c r="D51" s="1">
        <v>1</v>
      </c>
      <c r="E51" s="1">
        <v>1</v>
      </c>
      <c r="F51" t="s">
        <v>1623</v>
      </c>
      <c r="G51" s="1" t="str">
        <f>_xlfn.XLOOKUP(engagement[[#This Row],[SessionID]],session_data[SessionID],session_data[Traffic Source])</f>
        <v>Organic Search</v>
      </c>
    </row>
    <row r="52" spans="1:7" x14ac:dyDescent="0.25">
      <c r="A52" s="1" t="s">
        <v>108</v>
      </c>
      <c r="B52" s="1">
        <v>196</v>
      </c>
      <c r="C52" s="1">
        <v>8</v>
      </c>
      <c r="D52" s="1">
        <v>1</v>
      </c>
      <c r="E52" s="1">
        <v>0</v>
      </c>
      <c r="F52" t="s">
        <v>1626</v>
      </c>
      <c r="G52" s="1" t="str">
        <f>_xlfn.XLOOKUP(engagement[[#This Row],[SessionID]],session_data[SessionID],session_data[Traffic Source])</f>
        <v>Organic Search</v>
      </c>
    </row>
    <row r="53" spans="1:7" x14ac:dyDescent="0.25">
      <c r="A53" s="1" t="s">
        <v>109</v>
      </c>
      <c r="B53" s="1">
        <v>246</v>
      </c>
      <c r="C53" s="1">
        <v>10</v>
      </c>
      <c r="D53" s="1">
        <v>5</v>
      </c>
      <c r="E53" s="1">
        <v>1</v>
      </c>
      <c r="F53" t="s">
        <v>1623</v>
      </c>
      <c r="G53" s="1" t="str">
        <f>_xlfn.XLOOKUP(engagement[[#This Row],[SessionID]],session_data[SessionID],session_data[Traffic Source])</f>
        <v>Paid Ads</v>
      </c>
    </row>
    <row r="54" spans="1:7" x14ac:dyDescent="0.25">
      <c r="A54" s="1" t="s">
        <v>111</v>
      </c>
      <c r="B54" s="1">
        <v>257</v>
      </c>
      <c r="C54" s="1">
        <v>10</v>
      </c>
      <c r="D54" s="1">
        <v>4</v>
      </c>
      <c r="E54" s="1">
        <v>0</v>
      </c>
      <c r="F54" t="s">
        <v>1625</v>
      </c>
      <c r="G54" s="1" t="str">
        <f>_xlfn.XLOOKUP(engagement[[#This Row],[SessionID]],session_data[SessionID],session_data[Traffic Source])</f>
        <v>Social Media</v>
      </c>
    </row>
    <row r="55" spans="1:7" x14ac:dyDescent="0.25">
      <c r="A55" s="1" t="s">
        <v>113</v>
      </c>
      <c r="B55" s="1">
        <v>124</v>
      </c>
      <c r="C55" s="1">
        <v>5</v>
      </c>
      <c r="D55" s="1">
        <v>5</v>
      </c>
      <c r="E55" s="1">
        <v>1</v>
      </c>
      <c r="F55" t="s">
        <v>1623</v>
      </c>
      <c r="G55" s="1" t="str">
        <f>_xlfn.XLOOKUP(engagement[[#This Row],[SessionID]],session_data[SessionID],session_data[Traffic Source])</f>
        <v>Social Media</v>
      </c>
    </row>
    <row r="56" spans="1:7" x14ac:dyDescent="0.25">
      <c r="A56" s="1" t="s">
        <v>114</v>
      </c>
      <c r="B56" s="1">
        <v>49</v>
      </c>
      <c r="C56" s="1">
        <v>4</v>
      </c>
      <c r="D56" s="1">
        <v>4</v>
      </c>
      <c r="E56" s="1">
        <v>0</v>
      </c>
      <c r="F56" t="s">
        <v>1624</v>
      </c>
      <c r="G56" s="1" t="str">
        <f>_xlfn.XLOOKUP(engagement[[#This Row],[SessionID]],session_data[SessionID],session_data[Traffic Source])</f>
        <v>Referral</v>
      </c>
    </row>
    <row r="57" spans="1:7" x14ac:dyDescent="0.25">
      <c r="A57" s="1" t="s">
        <v>116</v>
      </c>
      <c r="B57" s="1">
        <v>207</v>
      </c>
      <c r="C57" s="1">
        <v>9</v>
      </c>
      <c r="D57" s="1">
        <v>4</v>
      </c>
      <c r="E57" s="1">
        <v>0</v>
      </c>
      <c r="F57" t="s">
        <v>1624</v>
      </c>
      <c r="G57" s="1" t="str">
        <f>_xlfn.XLOOKUP(engagement[[#This Row],[SessionID]],session_data[SessionID],session_data[Traffic Source])</f>
        <v>Referral</v>
      </c>
    </row>
    <row r="58" spans="1:7" x14ac:dyDescent="0.25">
      <c r="A58" s="1" t="s">
        <v>117</v>
      </c>
      <c r="B58" s="1">
        <v>130</v>
      </c>
      <c r="C58" s="1">
        <v>5</v>
      </c>
      <c r="D58" s="1">
        <v>5</v>
      </c>
      <c r="E58" s="1">
        <v>1</v>
      </c>
      <c r="F58" t="s">
        <v>1623</v>
      </c>
      <c r="G58" s="1" t="str">
        <f>_xlfn.XLOOKUP(engagement[[#This Row],[SessionID]],session_data[SessionID],session_data[Traffic Source])</f>
        <v>Organic Search</v>
      </c>
    </row>
    <row r="59" spans="1:7" x14ac:dyDescent="0.25">
      <c r="A59" s="1" t="s">
        <v>120</v>
      </c>
      <c r="B59" s="1">
        <v>347</v>
      </c>
      <c r="C59" s="1">
        <v>13</v>
      </c>
      <c r="D59" s="1">
        <v>5</v>
      </c>
      <c r="E59" s="1">
        <v>1</v>
      </c>
      <c r="F59" t="s">
        <v>1623</v>
      </c>
      <c r="G59" s="1" t="str">
        <f>_xlfn.XLOOKUP(engagement[[#This Row],[SessionID]],session_data[SessionID],session_data[Traffic Source])</f>
        <v>Organic Search</v>
      </c>
    </row>
    <row r="60" spans="1:7" x14ac:dyDescent="0.25">
      <c r="A60" s="1" t="s">
        <v>122</v>
      </c>
      <c r="B60" s="1">
        <v>37</v>
      </c>
      <c r="C60" s="1">
        <v>5</v>
      </c>
      <c r="D60" s="1">
        <v>4</v>
      </c>
      <c r="E60" s="1">
        <v>0</v>
      </c>
      <c r="F60" t="s">
        <v>1626</v>
      </c>
      <c r="G60" s="1" t="str">
        <f>_xlfn.XLOOKUP(engagement[[#This Row],[SessionID]],session_data[SessionID],session_data[Traffic Source])</f>
        <v>Organic Search</v>
      </c>
    </row>
    <row r="61" spans="1:7" x14ac:dyDescent="0.25">
      <c r="A61" s="1" t="s">
        <v>123</v>
      </c>
      <c r="B61" s="1">
        <v>198</v>
      </c>
      <c r="C61" s="1">
        <v>8</v>
      </c>
      <c r="D61" s="1">
        <v>5</v>
      </c>
      <c r="E61" s="1">
        <v>1</v>
      </c>
      <c r="F61" t="s">
        <v>1623</v>
      </c>
      <c r="G61" s="1" t="str">
        <f>_xlfn.XLOOKUP(engagement[[#This Row],[SessionID]],session_data[SessionID],session_data[Traffic Source])</f>
        <v>Paid Ads</v>
      </c>
    </row>
    <row r="62" spans="1:7" x14ac:dyDescent="0.25">
      <c r="A62" s="1" t="s">
        <v>125</v>
      </c>
      <c r="B62" s="1">
        <v>277</v>
      </c>
      <c r="C62" s="1">
        <v>11</v>
      </c>
      <c r="D62" s="1">
        <v>4</v>
      </c>
      <c r="E62" s="1">
        <v>1</v>
      </c>
      <c r="F62" t="s">
        <v>1623</v>
      </c>
      <c r="G62" s="1" t="str">
        <f>_xlfn.XLOOKUP(engagement[[#This Row],[SessionID]],session_data[SessionID],session_data[Traffic Source])</f>
        <v>Social Media</v>
      </c>
    </row>
    <row r="63" spans="1:7" x14ac:dyDescent="0.25">
      <c r="A63" s="1" t="s">
        <v>127</v>
      </c>
      <c r="B63" s="1">
        <v>93</v>
      </c>
      <c r="C63" s="1">
        <v>5</v>
      </c>
      <c r="D63" s="1">
        <v>5</v>
      </c>
      <c r="E63" s="1">
        <v>1</v>
      </c>
      <c r="F63" t="s">
        <v>1623</v>
      </c>
      <c r="G63" s="1" t="str">
        <f>_xlfn.XLOOKUP(engagement[[#This Row],[SessionID]],session_data[SessionID],session_data[Traffic Source])</f>
        <v>Organic Search</v>
      </c>
    </row>
    <row r="64" spans="1:7" x14ac:dyDescent="0.25">
      <c r="A64" s="1" t="s">
        <v>129</v>
      </c>
      <c r="B64" s="1">
        <v>318</v>
      </c>
      <c r="C64" s="1">
        <v>13</v>
      </c>
      <c r="D64" s="1">
        <v>5</v>
      </c>
      <c r="E64" s="1">
        <v>1</v>
      </c>
      <c r="F64" t="s">
        <v>1623</v>
      </c>
      <c r="G64" s="1" t="str">
        <f>_xlfn.XLOOKUP(engagement[[#This Row],[SessionID]],session_data[SessionID],session_data[Traffic Source])</f>
        <v>Organic Search</v>
      </c>
    </row>
    <row r="65" spans="1:7" x14ac:dyDescent="0.25">
      <c r="A65" s="1" t="s">
        <v>130</v>
      </c>
      <c r="B65" s="1">
        <v>306</v>
      </c>
      <c r="C65" s="1">
        <v>12</v>
      </c>
      <c r="D65" s="1">
        <v>4</v>
      </c>
      <c r="E65" s="1">
        <v>0</v>
      </c>
      <c r="F65" t="s">
        <v>1626</v>
      </c>
      <c r="G65" s="1" t="str">
        <f>_xlfn.XLOOKUP(engagement[[#This Row],[SessionID]],session_data[SessionID],session_data[Traffic Source])</f>
        <v>Organic Search</v>
      </c>
    </row>
    <row r="66" spans="1:7" x14ac:dyDescent="0.25">
      <c r="A66" s="1" t="s">
        <v>131</v>
      </c>
      <c r="B66" s="1">
        <v>156</v>
      </c>
      <c r="C66" s="1">
        <v>6</v>
      </c>
      <c r="D66" s="1">
        <v>5</v>
      </c>
      <c r="E66" s="1">
        <v>1</v>
      </c>
      <c r="F66" t="s">
        <v>1623</v>
      </c>
      <c r="G66" s="1" t="str">
        <f>_xlfn.XLOOKUP(engagement[[#This Row],[SessionID]],session_data[SessionID],session_data[Traffic Source])</f>
        <v>Organic Search</v>
      </c>
    </row>
    <row r="67" spans="1:7" x14ac:dyDescent="0.25">
      <c r="A67" s="1" t="s">
        <v>132</v>
      </c>
      <c r="B67" s="1">
        <v>126</v>
      </c>
      <c r="C67" s="1">
        <v>5</v>
      </c>
      <c r="D67" s="1">
        <v>4</v>
      </c>
      <c r="E67" s="1">
        <v>0</v>
      </c>
      <c r="F67" t="s">
        <v>1625</v>
      </c>
      <c r="G67" s="1" t="str">
        <f>_xlfn.XLOOKUP(engagement[[#This Row],[SessionID]],session_data[SessionID],session_data[Traffic Source])</f>
        <v>Direct</v>
      </c>
    </row>
    <row r="68" spans="1:7" x14ac:dyDescent="0.25">
      <c r="A68" s="1" t="s">
        <v>134</v>
      </c>
      <c r="B68" s="1">
        <v>272</v>
      </c>
      <c r="C68" s="1">
        <v>11</v>
      </c>
      <c r="D68" s="1">
        <v>4</v>
      </c>
      <c r="E68" s="1">
        <v>0</v>
      </c>
      <c r="F68" t="s">
        <v>1625</v>
      </c>
      <c r="G68" s="1" t="str">
        <f>_xlfn.XLOOKUP(engagement[[#This Row],[SessionID]],session_data[SessionID],session_data[Traffic Source])</f>
        <v>Direct</v>
      </c>
    </row>
    <row r="69" spans="1:7" x14ac:dyDescent="0.25">
      <c r="A69" s="1" t="s">
        <v>135</v>
      </c>
      <c r="B69" s="1">
        <v>10</v>
      </c>
      <c r="C69" s="1">
        <v>5</v>
      </c>
      <c r="D69" s="1">
        <v>5</v>
      </c>
      <c r="E69" s="1">
        <v>1</v>
      </c>
      <c r="F69" t="s">
        <v>1623</v>
      </c>
      <c r="G69" s="1" t="str">
        <f>_xlfn.XLOOKUP(engagement[[#This Row],[SessionID]],session_data[SessionID],session_data[Traffic Source])</f>
        <v>Direct</v>
      </c>
    </row>
    <row r="70" spans="1:7" x14ac:dyDescent="0.25">
      <c r="A70" s="1" t="s">
        <v>136</v>
      </c>
      <c r="B70" s="1">
        <v>55</v>
      </c>
      <c r="C70" s="1">
        <v>5</v>
      </c>
      <c r="D70" s="1">
        <v>5</v>
      </c>
      <c r="E70" s="1">
        <v>1</v>
      </c>
      <c r="F70" t="s">
        <v>1623</v>
      </c>
      <c r="G70" s="1" t="str">
        <f>_xlfn.XLOOKUP(engagement[[#This Row],[SessionID]],session_data[SessionID],session_data[Traffic Source])</f>
        <v>Direct</v>
      </c>
    </row>
    <row r="71" spans="1:7" x14ac:dyDescent="0.25">
      <c r="A71" s="1" t="s">
        <v>137</v>
      </c>
      <c r="B71" s="1">
        <v>187</v>
      </c>
      <c r="C71" s="1">
        <v>7</v>
      </c>
      <c r="D71" s="1">
        <v>5</v>
      </c>
      <c r="E71" s="1">
        <v>1</v>
      </c>
      <c r="F71" t="s">
        <v>1623</v>
      </c>
      <c r="G71" s="1" t="str">
        <f>_xlfn.XLOOKUP(engagement[[#This Row],[SessionID]],session_data[SessionID],session_data[Traffic Source])</f>
        <v>Direct</v>
      </c>
    </row>
    <row r="72" spans="1:7" x14ac:dyDescent="0.25">
      <c r="A72" s="1" t="s">
        <v>138</v>
      </c>
      <c r="B72" s="1">
        <v>259</v>
      </c>
      <c r="C72" s="1">
        <v>10</v>
      </c>
      <c r="D72" s="1">
        <v>4</v>
      </c>
      <c r="E72" s="1">
        <v>1</v>
      </c>
      <c r="F72" t="s">
        <v>1623</v>
      </c>
      <c r="G72" s="1" t="str">
        <f>_xlfn.XLOOKUP(engagement[[#This Row],[SessionID]],session_data[SessionID],session_data[Traffic Source])</f>
        <v>Direct</v>
      </c>
    </row>
    <row r="73" spans="1:7" x14ac:dyDescent="0.25">
      <c r="A73" s="1" t="s">
        <v>140</v>
      </c>
      <c r="B73" s="1">
        <v>275</v>
      </c>
      <c r="C73" s="1">
        <v>11</v>
      </c>
      <c r="D73" s="1">
        <v>4</v>
      </c>
      <c r="E73" s="1">
        <v>0</v>
      </c>
      <c r="F73" t="s">
        <v>1625</v>
      </c>
      <c r="G73" s="1" t="str">
        <f>_xlfn.XLOOKUP(engagement[[#This Row],[SessionID]],session_data[SessionID],session_data[Traffic Source])</f>
        <v>Direct</v>
      </c>
    </row>
    <row r="74" spans="1:7" x14ac:dyDescent="0.25">
      <c r="A74" s="1" t="s">
        <v>141</v>
      </c>
      <c r="B74" s="1">
        <v>218</v>
      </c>
      <c r="C74" s="1">
        <v>9</v>
      </c>
      <c r="D74" s="1">
        <v>4</v>
      </c>
      <c r="E74" s="1">
        <v>1</v>
      </c>
      <c r="F74" t="s">
        <v>1623</v>
      </c>
      <c r="G74" s="1" t="str">
        <f>_xlfn.XLOOKUP(engagement[[#This Row],[SessionID]],session_data[SessionID],session_data[Traffic Source])</f>
        <v>Direct</v>
      </c>
    </row>
    <row r="75" spans="1:7" x14ac:dyDescent="0.25">
      <c r="A75" s="1" t="s">
        <v>142</v>
      </c>
      <c r="B75" s="1">
        <v>332</v>
      </c>
      <c r="C75" s="1">
        <v>13</v>
      </c>
      <c r="D75" s="1">
        <v>3</v>
      </c>
      <c r="E75" s="1">
        <v>1</v>
      </c>
      <c r="F75" t="s">
        <v>1623</v>
      </c>
      <c r="G75" s="1" t="str">
        <f>_xlfn.XLOOKUP(engagement[[#This Row],[SessionID]],session_data[SessionID],session_data[Traffic Source])</f>
        <v>Social Media</v>
      </c>
    </row>
    <row r="76" spans="1:7" x14ac:dyDescent="0.25">
      <c r="A76" s="1" t="s">
        <v>144</v>
      </c>
      <c r="B76" s="1">
        <v>227</v>
      </c>
      <c r="C76" s="1">
        <v>9</v>
      </c>
      <c r="D76" s="1">
        <v>4</v>
      </c>
      <c r="E76" s="1">
        <v>1</v>
      </c>
      <c r="F76" t="s">
        <v>1623</v>
      </c>
      <c r="G76" s="1" t="str">
        <f>_xlfn.XLOOKUP(engagement[[#This Row],[SessionID]],session_data[SessionID],session_data[Traffic Source])</f>
        <v>Referral</v>
      </c>
    </row>
    <row r="77" spans="1:7" x14ac:dyDescent="0.25">
      <c r="A77" s="1" t="s">
        <v>146</v>
      </c>
      <c r="B77" s="1">
        <v>366</v>
      </c>
      <c r="C77" s="1">
        <v>14</v>
      </c>
      <c r="D77" s="1">
        <v>5</v>
      </c>
      <c r="E77" s="1">
        <v>1</v>
      </c>
      <c r="F77" t="s">
        <v>1623</v>
      </c>
      <c r="G77" s="1" t="str">
        <f>_xlfn.XLOOKUP(engagement[[#This Row],[SessionID]],session_data[SessionID],session_data[Traffic Source])</f>
        <v>Direct</v>
      </c>
    </row>
    <row r="78" spans="1:7" x14ac:dyDescent="0.25">
      <c r="A78" s="1" t="s">
        <v>148</v>
      </c>
      <c r="B78" s="1">
        <v>19</v>
      </c>
      <c r="C78" s="1">
        <v>5</v>
      </c>
      <c r="D78" s="1">
        <v>5</v>
      </c>
      <c r="E78" s="1">
        <v>1</v>
      </c>
      <c r="F78" t="s">
        <v>1623</v>
      </c>
      <c r="G78" s="1" t="str">
        <f>_xlfn.XLOOKUP(engagement[[#This Row],[SessionID]],session_data[SessionID],session_data[Traffic Source])</f>
        <v>Direct</v>
      </c>
    </row>
    <row r="79" spans="1:7" x14ac:dyDescent="0.25">
      <c r="A79" s="1" t="s">
        <v>149</v>
      </c>
      <c r="B79" s="1">
        <v>180</v>
      </c>
      <c r="C79" s="1">
        <v>7</v>
      </c>
      <c r="D79" s="1">
        <v>5</v>
      </c>
      <c r="E79" s="1">
        <v>1</v>
      </c>
      <c r="F79" t="s">
        <v>1623</v>
      </c>
      <c r="G79" s="1" t="str">
        <f>_xlfn.XLOOKUP(engagement[[#This Row],[SessionID]],session_data[SessionID],session_data[Traffic Source])</f>
        <v>Direct</v>
      </c>
    </row>
    <row r="80" spans="1:7" x14ac:dyDescent="0.25">
      <c r="A80" s="1" t="s">
        <v>150</v>
      </c>
      <c r="B80" s="1">
        <v>218</v>
      </c>
      <c r="C80" s="1">
        <v>9</v>
      </c>
      <c r="D80" s="1">
        <v>5</v>
      </c>
      <c r="E80" s="1">
        <v>1</v>
      </c>
      <c r="F80" t="s">
        <v>1623</v>
      </c>
      <c r="G80" s="1" t="str">
        <f>_xlfn.XLOOKUP(engagement[[#This Row],[SessionID]],session_data[SessionID],session_data[Traffic Source])</f>
        <v>Direct</v>
      </c>
    </row>
    <row r="81" spans="1:7" x14ac:dyDescent="0.25">
      <c r="A81" s="1" t="s">
        <v>152</v>
      </c>
      <c r="B81" s="1">
        <v>66</v>
      </c>
      <c r="C81" s="1">
        <v>5</v>
      </c>
      <c r="D81" s="1">
        <v>5</v>
      </c>
      <c r="E81" s="1">
        <v>1</v>
      </c>
      <c r="F81" t="s">
        <v>1623</v>
      </c>
      <c r="G81" s="1" t="str">
        <f>_xlfn.XLOOKUP(engagement[[#This Row],[SessionID]],session_data[SessionID],session_data[Traffic Source])</f>
        <v>Direct</v>
      </c>
    </row>
    <row r="82" spans="1:7" x14ac:dyDescent="0.25">
      <c r="A82" s="1" t="s">
        <v>153</v>
      </c>
      <c r="B82" s="1">
        <v>140</v>
      </c>
      <c r="C82" s="1">
        <v>6</v>
      </c>
      <c r="D82" s="1">
        <v>5</v>
      </c>
      <c r="E82" s="1">
        <v>1</v>
      </c>
      <c r="F82" t="s">
        <v>1623</v>
      </c>
      <c r="G82" s="1" t="str">
        <f>_xlfn.XLOOKUP(engagement[[#This Row],[SessionID]],session_data[SessionID],session_data[Traffic Source])</f>
        <v>Organic Search</v>
      </c>
    </row>
    <row r="83" spans="1:7" x14ac:dyDescent="0.25">
      <c r="A83" s="1" t="s">
        <v>155</v>
      </c>
      <c r="B83" s="1">
        <v>313</v>
      </c>
      <c r="C83" s="1">
        <v>13</v>
      </c>
      <c r="D83" s="1">
        <v>5</v>
      </c>
      <c r="E83" s="1">
        <v>1</v>
      </c>
      <c r="F83" t="s">
        <v>1623</v>
      </c>
      <c r="G83" s="1" t="str">
        <f>_xlfn.XLOOKUP(engagement[[#This Row],[SessionID]],session_data[SessionID],session_data[Traffic Source])</f>
        <v>Direct</v>
      </c>
    </row>
    <row r="84" spans="1:7" x14ac:dyDescent="0.25">
      <c r="A84" s="1" t="s">
        <v>157</v>
      </c>
      <c r="B84" s="1">
        <v>303</v>
      </c>
      <c r="C84" s="1">
        <v>12</v>
      </c>
      <c r="D84" s="1">
        <v>5</v>
      </c>
      <c r="E84" s="1">
        <v>1</v>
      </c>
      <c r="F84" t="s">
        <v>1623</v>
      </c>
      <c r="G84" s="1" t="str">
        <f>_xlfn.XLOOKUP(engagement[[#This Row],[SessionID]],session_data[SessionID],session_data[Traffic Source])</f>
        <v>Direct</v>
      </c>
    </row>
    <row r="85" spans="1:7" x14ac:dyDescent="0.25">
      <c r="A85" s="1" t="s">
        <v>158</v>
      </c>
      <c r="B85" s="1">
        <v>311</v>
      </c>
      <c r="C85" s="1">
        <v>12</v>
      </c>
      <c r="D85" s="1">
        <v>5</v>
      </c>
      <c r="E85" s="1">
        <v>1</v>
      </c>
      <c r="F85" t="s">
        <v>1623</v>
      </c>
      <c r="G85" s="1" t="str">
        <f>_xlfn.XLOOKUP(engagement[[#This Row],[SessionID]],session_data[SessionID],session_data[Traffic Source])</f>
        <v>Direct</v>
      </c>
    </row>
    <row r="86" spans="1:7" x14ac:dyDescent="0.25">
      <c r="A86" s="1" t="s">
        <v>160</v>
      </c>
      <c r="B86" s="1">
        <v>54</v>
      </c>
      <c r="C86" s="1">
        <v>4</v>
      </c>
      <c r="D86" s="1">
        <v>4</v>
      </c>
      <c r="E86" s="1">
        <v>0</v>
      </c>
      <c r="F86" t="s">
        <v>1624</v>
      </c>
      <c r="G86" s="1" t="str">
        <f>_xlfn.XLOOKUP(engagement[[#This Row],[SessionID]],session_data[SessionID],session_data[Traffic Source])</f>
        <v>Organic Search</v>
      </c>
    </row>
    <row r="87" spans="1:7" x14ac:dyDescent="0.25">
      <c r="A87" s="1" t="s">
        <v>162</v>
      </c>
      <c r="B87" s="1">
        <v>333</v>
      </c>
      <c r="C87" s="1">
        <v>13</v>
      </c>
      <c r="D87" s="1">
        <v>4</v>
      </c>
      <c r="E87" s="1">
        <v>1</v>
      </c>
      <c r="F87" t="s">
        <v>1623</v>
      </c>
      <c r="G87" s="1" t="str">
        <f>_xlfn.XLOOKUP(engagement[[#This Row],[SessionID]],session_data[SessionID],session_data[Traffic Source])</f>
        <v>Organic Search</v>
      </c>
    </row>
    <row r="88" spans="1:7" x14ac:dyDescent="0.25">
      <c r="A88" s="1" t="s">
        <v>163</v>
      </c>
      <c r="B88" s="1">
        <v>31</v>
      </c>
      <c r="C88" s="1">
        <v>4</v>
      </c>
      <c r="D88" s="1">
        <v>4</v>
      </c>
      <c r="E88" s="1">
        <v>0</v>
      </c>
      <c r="F88" t="s">
        <v>1626</v>
      </c>
      <c r="G88" s="1" t="str">
        <f>_xlfn.XLOOKUP(engagement[[#This Row],[SessionID]],session_data[SessionID],session_data[Traffic Source])</f>
        <v>Organic Search</v>
      </c>
    </row>
    <row r="89" spans="1:7" x14ac:dyDescent="0.25">
      <c r="A89" s="1" t="s">
        <v>164</v>
      </c>
      <c r="B89" s="1">
        <v>243</v>
      </c>
      <c r="C89" s="1">
        <v>10</v>
      </c>
      <c r="D89" s="1">
        <v>4</v>
      </c>
      <c r="E89" s="1">
        <v>1</v>
      </c>
      <c r="F89" t="s">
        <v>1623</v>
      </c>
      <c r="G89" s="1" t="str">
        <f>_xlfn.XLOOKUP(engagement[[#This Row],[SessionID]],session_data[SessionID],session_data[Traffic Source])</f>
        <v>Organic Search</v>
      </c>
    </row>
    <row r="90" spans="1:7" x14ac:dyDescent="0.25">
      <c r="A90" s="1" t="s">
        <v>165</v>
      </c>
      <c r="B90" s="1">
        <v>142</v>
      </c>
      <c r="C90" s="1">
        <v>6</v>
      </c>
      <c r="D90" s="1">
        <v>5</v>
      </c>
      <c r="E90" s="1">
        <v>1</v>
      </c>
      <c r="F90" t="s">
        <v>1623</v>
      </c>
      <c r="G90" s="1" t="str">
        <f>_xlfn.XLOOKUP(engagement[[#This Row],[SessionID]],session_data[SessionID],session_data[Traffic Source])</f>
        <v>Referral</v>
      </c>
    </row>
    <row r="91" spans="1:7" x14ac:dyDescent="0.25">
      <c r="A91" s="1" t="s">
        <v>167</v>
      </c>
      <c r="B91" s="1">
        <v>38</v>
      </c>
      <c r="C91" s="1">
        <v>5</v>
      </c>
      <c r="D91" s="1">
        <v>5</v>
      </c>
      <c r="E91" s="1">
        <v>1</v>
      </c>
      <c r="F91" t="s">
        <v>1623</v>
      </c>
      <c r="G91" s="1" t="str">
        <f>_xlfn.XLOOKUP(engagement[[#This Row],[SessionID]],session_data[SessionID],session_data[Traffic Source])</f>
        <v>Referral</v>
      </c>
    </row>
    <row r="92" spans="1:7" x14ac:dyDescent="0.25">
      <c r="A92" s="1" t="s">
        <v>169</v>
      </c>
      <c r="B92" s="1">
        <v>245</v>
      </c>
      <c r="C92" s="1">
        <v>10</v>
      </c>
      <c r="D92" s="1">
        <v>4</v>
      </c>
      <c r="E92" s="1">
        <v>1</v>
      </c>
      <c r="F92" t="s">
        <v>1623</v>
      </c>
      <c r="G92" s="1" t="str">
        <f>_xlfn.XLOOKUP(engagement[[#This Row],[SessionID]],session_data[SessionID],session_data[Traffic Source])</f>
        <v>Referral</v>
      </c>
    </row>
    <row r="93" spans="1:7" x14ac:dyDescent="0.25">
      <c r="A93" s="1" t="s">
        <v>170</v>
      </c>
      <c r="B93" s="1">
        <v>153</v>
      </c>
      <c r="C93" s="1">
        <v>7</v>
      </c>
      <c r="D93" s="1">
        <v>4</v>
      </c>
      <c r="E93" s="1">
        <v>1</v>
      </c>
      <c r="F93" t="s">
        <v>1623</v>
      </c>
      <c r="G93" s="1" t="str">
        <f>_xlfn.XLOOKUP(engagement[[#This Row],[SessionID]],session_data[SessionID],session_data[Traffic Source])</f>
        <v>Referral</v>
      </c>
    </row>
    <row r="94" spans="1:7" x14ac:dyDescent="0.25">
      <c r="A94" s="1" t="s">
        <v>171</v>
      </c>
      <c r="B94" s="1">
        <v>44</v>
      </c>
      <c r="C94" s="1">
        <v>5</v>
      </c>
      <c r="D94" s="1">
        <v>5</v>
      </c>
      <c r="E94" s="1">
        <v>1</v>
      </c>
      <c r="F94" t="s">
        <v>1623</v>
      </c>
      <c r="G94" s="1" t="str">
        <f>_xlfn.XLOOKUP(engagement[[#This Row],[SessionID]],session_data[SessionID],session_data[Traffic Source])</f>
        <v>Paid Ads</v>
      </c>
    </row>
    <row r="95" spans="1:7" x14ac:dyDescent="0.25">
      <c r="A95" s="1" t="s">
        <v>173</v>
      </c>
      <c r="B95" s="1">
        <v>195</v>
      </c>
      <c r="C95" s="1">
        <v>8</v>
      </c>
      <c r="D95" s="1">
        <v>5</v>
      </c>
      <c r="E95" s="1">
        <v>1</v>
      </c>
      <c r="F95" t="s">
        <v>1623</v>
      </c>
      <c r="G95" s="1" t="str">
        <f>_xlfn.XLOOKUP(engagement[[#This Row],[SessionID]],session_data[SessionID],session_data[Traffic Source])</f>
        <v>Organic Search</v>
      </c>
    </row>
    <row r="96" spans="1:7" x14ac:dyDescent="0.25">
      <c r="A96" s="1" t="s">
        <v>175</v>
      </c>
      <c r="B96" s="1">
        <v>50</v>
      </c>
      <c r="C96" s="1">
        <v>5</v>
      </c>
      <c r="D96" s="1">
        <v>5</v>
      </c>
      <c r="E96" s="1">
        <v>1</v>
      </c>
      <c r="F96" t="s">
        <v>1623</v>
      </c>
      <c r="G96" s="1" t="str">
        <f>_xlfn.XLOOKUP(engagement[[#This Row],[SessionID]],session_data[SessionID],session_data[Traffic Source])</f>
        <v>Organic Search</v>
      </c>
    </row>
    <row r="97" spans="1:7" x14ac:dyDescent="0.25">
      <c r="A97" s="1" t="s">
        <v>176</v>
      </c>
      <c r="B97" s="1">
        <v>156</v>
      </c>
      <c r="C97" s="1">
        <v>6</v>
      </c>
      <c r="D97" s="1">
        <v>5</v>
      </c>
      <c r="E97" s="1">
        <v>1</v>
      </c>
      <c r="F97" t="s">
        <v>1623</v>
      </c>
      <c r="G97" s="1" t="str">
        <f>_xlfn.XLOOKUP(engagement[[#This Row],[SessionID]],session_data[SessionID],session_data[Traffic Source])</f>
        <v>Social Media</v>
      </c>
    </row>
    <row r="98" spans="1:7" x14ac:dyDescent="0.25">
      <c r="A98" s="1" t="s">
        <v>178</v>
      </c>
      <c r="B98" s="1">
        <v>124</v>
      </c>
      <c r="C98" s="1">
        <v>5</v>
      </c>
      <c r="D98" s="1">
        <v>5</v>
      </c>
      <c r="E98" s="1">
        <v>1</v>
      </c>
      <c r="F98" t="s">
        <v>1623</v>
      </c>
      <c r="G98" s="1" t="str">
        <f>_xlfn.XLOOKUP(engagement[[#This Row],[SessionID]],session_data[SessionID],session_data[Traffic Source])</f>
        <v>Social Media</v>
      </c>
    </row>
    <row r="99" spans="1:7" x14ac:dyDescent="0.25">
      <c r="A99" s="1" t="s">
        <v>179</v>
      </c>
      <c r="B99" s="1">
        <v>274</v>
      </c>
      <c r="C99" s="1">
        <v>11</v>
      </c>
      <c r="D99" s="1">
        <v>4</v>
      </c>
      <c r="E99" s="1">
        <v>0</v>
      </c>
      <c r="F99" t="s">
        <v>1626</v>
      </c>
      <c r="G99" s="1" t="str">
        <f>_xlfn.XLOOKUP(engagement[[#This Row],[SessionID]],session_data[SessionID],session_data[Traffic Source])</f>
        <v>Direct</v>
      </c>
    </row>
    <row r="100" spans="1:7" x14ac:dyDescent="0.25">
      <c r="A100" s="1" t="s">
        <v>181</v>
      </c>
      <c r="B100" s="1">
        <v>33</v>
      </c>
      <c r="C100" s="1">
        <v>5</v>
      </c>
      <c r="D100" s="1">
        <v>5</v>
      </c>
      <c r="E100" s="1">
        <v>1</v>
      </c>
      <c r="F100" t="s">
        <v>1623</v>
      </c>
      <c r="G100" s="1" t="str">
        <f>_xlfn.XLOOKUP(engagement[[#This Row],[SessionID]],session_data[SessionID],session_data[Traffic Source])</f>
        <v>Direct</v>
      </c>
    </row>
    <row r="101" spans="1:7" x14ac:dyDescent="0.25">
      <c r="A101" s="1" t="s">
        <v>183</v>
      </c>
      <c r="B101" s="1">
        <v>24</v>
      </c>
      <c r="C101" s="1">
        <v>5</v>
      </c>
      <c r="D101" s="1">
        <v>5</v>
      </c>
      <c r="E101" s="1">
        <v>1</v>
      </c>
      <c r="F101" t="s">
        <v>1623</v>
      </c>
      <c r="G101" s="1" t="str">
        <f>_xlfn.XLOOKUP(engagement[[#This Row],[SessionID]],session_data[SessionID],session_data[Traffic Source])</f>
        <v>Direct</v>
      </c>
    </row>
    <row r="102" spans="1:7" x14ac:dyDescent="0.25">
      <c r="A102" s="1" t="s">
        <v>184</v>
      </c>
      <c r="B102" s="1">
        <v>317</v>
      </c>
      <c r="C102" s="1">
        <v>13</v>
      </c>
      <c r="D102" s="1">
        <v>2</v>
      </c>
      <c r="E102" s="1">
        <v>1</v>
      </c>
      <c r="F102" t="s">
        <v>1623</v>
      </c>
      <c r="G102" s="1" t="str">
        <f>_xlfn.XLOOKUP(engagement[[#This Row],[SessionID]],session_data[SessionID],session_data[Traffic Source])</f>
        <v>Direct</v>
      </c>
    </row>
    <row r="103" spans="1:7" x14ac:dyDescent="0.25">
      <c r="A103" s="1" t="s">
        <v>185</v>
      </c>
      <c r="B103" s="1">
        <v>247</v>
      </c>
      <c r="C103" s="1">
        <v>10</v>
      </c>
      <c r="D103" s="1">
        <v>2</v>
      </c>
      <c r="E103" s="1">
        <v>1</v>
      </c>
      <c r="F103" t="s">
        <v>1623</v>
      </c>
      <c r="G103" s="1" t="str">
        <f>_xlfn.XLOOKUP(engagement[[#This Row],[SessionID]],session_data[SessionID],session_data[Traffic Source])</f>
        <v>Direct</v>
      </c>
    </row>
    <row r="104" spans="1:7" x14ac:dyDescent="0.25">
      <c r="A104" s="1" t="s">
        <v>186</v>
      </c>
      <c r="B104" s="1">
        <v>180</v>
      </c>
      <c r="C104" s="1">
        <v>7</v>
      </c>
      <c r="D104" s="1">
        <v>2</v>
      </c>
      <c r="E104" s="1">
        <v>0</v>
      </c>
      <c r="F104" t="s">
        <v>1626</v>
      </c>
      <c r="G104" s="1" t="str">
        <f>_xlfn.XLOOKUP(engagement[[#This Row],[SessionID]],session_data[SessionID],session_data[Traffic Source])</f>
        <v>Direct</v>
      </c>
    </row>
    <row r="105" spans="1:7" x14ac:dyDescent="0.25">
      <c r="A105" s="1" t="s">
        <v>187</v>
      </c>
      <c r="B105" s="1">
        <v>285</v>
      </c>
      <c r="C105" s="1">
        <v>11</v>
      </c>
      <c r="D105" s="1">
        <v>5</v>
      </c>
      <c r="E105" s="1">
        <v>1</v>
      </c>
      <c r="F105" t="s">
        <v>1623</v>
      </c>
      <c r="G105" s="1" t="str">
        <f>_xlfn.XLOOKUP(engagement[[#This Row],[SessionID]],session_data[SessionID],session_data[Traffic Source])</f>
        <v>Organic Search</v>
      </c>
    </row>
    <row r="106" spans="1:7" x14ac:dyDescent="0.25">
      <c r="A106" s="1" t="s">
        <v>189</v>
      </c>
      <c r="B106" s="1">
        <v>261</v>
      </c>
      <c r="C106" s="1">
        <v>10</v>
      </c>
      <c r="D106" s="1">
        <v>5</v>
      </c>
      <c r="E106" s="1">
        <v>1</v>
      </c>
      <c r="F106" t="s">
        <v>1623</v>
      </c>
      <c r="G106" s="1" t="str">
        <f>_xlfn.XLOOKUP(engagement[[#This Row],[SessionID]],session_data[SessionID],session_data[Traffic Source])</f>
        <v>Organic Search</v>
      </c>
    </row>
    <row r="107" spans="1:7" x14ac:dyDescent="0.25">
      <c r="A107" s="1" t="s">
        <v>190</v>
      </c>
      <c r="B107" s="1">
        <v>170</v>
      </c>
      <c r="C107" s="1">
        <v>7</v>
      </c>
      <c r="D107" s="1">
        <v>5</v>
      </c>
      <c r="E107" s="1">
        <v>1</v>
      </c>
      <c r="F107" t="s">
        <v>1623</v>
      </c>
      <c r="G107" s="1" t="str">
        <f>_xlfn.XLOOKUP(engagement[[#This Row],[SessionID]],session_data[SessionID],session_data[Traffic Source])</f>
        <v>Organic Search</v>
      </c>
    </row>
    <row r="108" spans="1:7" x14ac:dyDescent="0.25">
      <c r="A108" s="1" t="s">
        <v>191</v>
      </c>
      <c r="B108" s="1">
        <v>122</v>
      </c>
      <c r="C108" s="1">
        <v>5</v>
      </c>
      <c r="D108" s="1">
        <v>2</v>
      </c>
      <c r="E108" s="1">
        <v>0</v>
      </c>
      <c r="F108" t="s">
        <v>1626</v>
      </c>
      <c r="G108" s="1" t="str">
        <f>_xlfn.XLOOKUP(engagement[[#This Row],[SessionID]],session_data[SessionID],session_data[Traffic Source])</f>
        <v>Social Media</v>
      </c>
    </row>
    <row r="109" spans="1:7" x14ac:dyDescent="0.25">
      <c r="A109" s="1" t="s">
        <v>193</v>
      </c>
      <c r="B109" s="1">
        <v>280</v>
      </c>
      <c r="C109" s="1">
        <v>12</v>
      </c>
      <c r="D109" s="1">
        <v>3</v>
      </c>
      <c r="E109" s="1">
        <v>0</v>
      </c>
      <c r="F109" t="s">
        <v>1624</v>
      </c>
      <c r="G109" s="1" t="str">
        <f>_xlfn.XLOOKUP(engagement[[#This Row],[SessionID]],session_data[SessionID],session_data[Traffic Source])</f>
        <v>Social Media</v>
      </c>
    </row>
    <row r="110" spans="1:7" x14ac:dyDescent="0.25">
      <c r="A110" s="1" t="s">
        <v>194</v>
      </c>
      <c r="B110" s="1">
        <v>20</v>
      </c>
      <c r="C110" s="1">
        <v>5</v>
      </c>
      <c r="D110" s="1">
        <v>5</v>
      </c>
      <c r="E110" s="1">
        <v>1</v>
      </c>
      <c r="F110" t="s">
        <v>1623</v>
      </c>
      <c r="G110" s="1" t="str">
        <f>_xlfn.XLOOKUP(engagement[[#This Row],[SessionID]],session_data[SessionID],session_data[Traffic Source])</f>
        <v>Social Media</v>
      </c>
    </row>
    <row r="111" spans="1:7" x14ac:dyDescent="0.25">
      <c r="A111" s="1" t="s">
        <v>195</v>
      </c>
      <c r="B111" s="1">
        <v>123</v>
      </c>
      <c r="C111" s="1">
        <v>5</v>
      </c>
      <c r="D111" s="1">
        <v>2</v>
      </c>
      <c r="E111" s="1">
        <v>1</v>
      </c>
      <c r="F111" t="s">
        <v>1623</v>
      </c>
      <c r="G111" s="1" t="str">
        <f>_xlfn.XLOOKUP(engagement[[#This Row],[SessionID]],session_data[SessionID],session_data[Traffic Source])</f>
        <v>Social Media</v>
      </c>
    </row>
    <row r="112" spans="1:7" x14ac:dyDescent="0.25">
      <c r="A112" s="1" t="s">
        <v>196</v>
      </c>
      <c r="B112" s="1">
        <v>99</v>
      </c>
      <c r="C112" s="1">
        <v>5</v>
      </c>
      <c r="D112" s="1">
        <v>5</v>
      </c>
      <c r="E112" s="1">
        <v>1</v>
      </c>
      <c r="F112" t="s">
        <v>1623</v>
      </c>
      <c r="G112" s="1" t="str">
        <f>_xlfn.XLOOKUP(engagement[[#This Row],[SessionID]],session_data[SessionID],session_data[Traffic Source])</f>
        <v>Organic Search</v>
      </c>
    </row>
    <row r="113" spans="1:7" x14ac:dyDescent="0.25">
      <c r="A113" s="1" t="s">
        <v>198</v>
      </c>
      <c r="B113" s="1">
        <v>311</v>
      </c>
      <c r="C113" s="1">
        <v>13</v>
      </c>
      <c r="D113" s="1">
        <v>5</v>
      </c>
      <c r="E113" s="1">
        <v>1</v>
      </c>
      <c r="F113" t="s">
        <v>1623</v>
      </c>
      <c r="G113" s="1" t="str">
        <f>_xlfn.XLOOKUP(engagement[[#This Row],[SessionID]],session_data[SessionID],session_data[Traffic Source])</f>
        <v>Organic Search</v>
      </c>
    </row>
    <row r="114" spans="1:7" x14ac:dyDescent="0.25">
      <c r="A114" s="1" t="s">
        <v>199</v>
      </c>
      <c r="B114" s="1">
        <v>257</v>
      </c>
      <c r="C114" s="1">
        <v>10</v>
      </c>
      <c r="D114" s="1">
        <v>5</v>
      </c>
      <c r="E114" s="1">
        <v>1</v>
      </c>
      <c r="F114" t="s">
        <v>1623</v>
      </c>
      <c r="G114" s="1" t="str">
        <f>_xlfn.XLOOKUP(engagement[[#This Row],[SessionID]],session_data[SessionID],session_data[Traffic Source])</f>
        <v>Organic Search</v>
      </c>
    </row>
    <row r="115" spans="1:7" x14ac:dyDescent="0.25">
      <c r="A115" s="1" t="s">
        <v>200</v>
      </c>
      <c r="B115" s="1">
        <v>284</v>
      </c>
      <c r="C115" s="1">
        <v>12</v>
      </c>
      <c r="D115" s="1">
        <v>5</v>
      </c>
      <c r="E115" s="1">
        <v>1</v>
      </c>
      <c r="F115" t="s">
        <v>1623</v>
      </c>
      <c r="G115" s="1" t="str">
        <f>_xlfn.XLOOKUP(engagement[[#This Row],[SessionID]],session_data[SessionID],session_data[Traffic Source])</f>
        <v>Organic Search</v>
      </c>
    </row>
    <row r="116" spans="1:7" x14ac:dyDescent="0.25">
      <c r="A116" s="1" t="s">
        <v>201</v>
      </c>
      <c r="B116" s="1">
        <v>235</v>
      </c>
      <c r="C116" s="1">
        <v>9</v>
      </c>
      <c r="D116" s="1">
        <v>5</v>
      </c>
      <c r="E116" s="1">
        <v>1</v>
      </c>
      <c r="F116" t="s">
        <v>1623</v>
      </c>
      <c r="G116" s="1" t="str">
        <f>_xlfn.XLOOKUP(engagement[[#This Row],[SessionID]],session_data[SessionID],session_data[Traffic Source])</f>
        <v>Direct</v>
      </c>
    </row>
    <row r="117" spans="1:7" x14ac:dyDescent="0.25">
      <c r="A117" s="1" t="s">
        <v>203</v>
      </c>
      <c r="B117" s="1">
        <v>78</v>
      </c>
      <c r="C117" s="1">
        <v>5</v>
      </c>
      <c r="D117" s="1">
        <v>5</v>
      </c>
      <c r="E117" s="1">
        <v>1</v>
      </c>
      <c r="F117" t="s">
        <v>1623</v>
      </c>
      <c r="G117" s="1" t="str">
        <f>_xlfn.XLOOKUP(engagement[[#This Row],[SessionID]],session_data[SessionID],session_data[Traffic Source])</f>
        <v>Direct</v>
      </c>
    </row>
    <row r="118" spans="1:7" x14ac:dyDescent="0.25">
      <c r="A118" s="1" t="s">
        <v>204</v>
      </c>
      <c r="B118" s="1">
        <v>287</v>
      </c>
      <c r="C118" s="1">
        <v>12</v>
      </c>
      <c r="D118" s="1">
        <v>4</v>
      </c>
      <c r="E118" s="1">
        <v>1</v>
      </c>
      <c r="F118" t="s">
        <v>1623</v>
      </c>
      <c r="G118" s="1" t="str">
        <f>_xlfn.XLOOKUP(engagement[[#This Row],[SessionID]],session_data[SessionID],session_data[Traffic Source])</f>
        <v>Direct</v>
      </c>
    </row>
    <row r="119" spans="1:7" x14ac:dyDescent="0.25">
      <c r="A119" s="1" t="s">
        <v>206</v>
      </c>
      <c r="B119" s="1">
        <v>12</v>
      </c>
      <c r="C119" s="1">
        <v>4</v>
      </c>
      <c r="D119" s="1">
        <v>4</v>
      </c>
      <c r="E119" s="1">
        <v>0</v>
      </c>
      <c r="F119" t="s">
        <v>1626</v>
      </c>
      <c r="G119" s="1" t="str">
        <f>_xlfn.XLOOKUP(engagement[[#This Row],[SessionID]],session_data[SessionID],session_data[Traffic Source])</f>
        <v>Direct</v>
      </c>
    </row>
    <row r="120" spans="1:7" x14ac:dyDescent="0.25">
      <c r="A120" s="1" t="s">
        <v>207</v>
      </c>
      <c r="B120" s="1">
        <v>121</v>
      </c>
      <c r="C120" s="1">
        <v>5</v>
      </c>
      <c r="D120" s="1">
        <v>4</v>
      </c>
      <c r="E120" s="1">
        <v>0</v>
      </c>
      <c r="F120" t="s">
        <v>1626</v>
      </c>
      <c r="G120" s="1" t="str">
        <f>_xlfn.XLOOKUP(engagement[[#This Row],[SessionID]],session_data[SessionID],session_data[Traffic Source])</f>
        <v>Direct</v>
      </c>
    </row>
    <row r="121" spans="1:7" x14ac:dyDescent="0.25">
      <c r="A121" s="1" t="s">
        <v>208</v>
      </c>
      <c r="B121" s="1">
        <v>220</v>
      </c>
      <c r="C121" s="1">
        <v>8</v>
      </c>
      <c r="D121" s="1">
        <v>4</v>
      </c>
      <c r="E121" s="1">
        <v>1</v>
      </c>
      <c r="F121" t="s">
        <v>1623</v>
      </c>
      <c r="G121" s="1" t="str">
        <f>_xlfn.XLOOKUP(engagement[[#This Row],[SessionID]],session_data[SessionID],session_data[Traffic Source])</f>
        <v>Direct</v>
      </c>
    </row>
    <row r="122" spans="1:7" x14ac:dyDescent="0.25">
      <c r="A122" s="1" t="s">
        <v>209</v>
      </c>
      <c r="B122" s="1">
        <v>99</v>
      </c>
      <c r="C122" s="1">
        <v>4</v>
      </c>
      <c r="D122" s="1">
        <v>3</v>
      </c>
      <c r="E122" s="1">
        <v>1</v>
      </c>
      <c r="F122" t="s">
        <v>1623</v>
      </c>
      <c r="G122" s="1" t="str">
        <f>_xlfn.XLOOKUP(engagement[[#This Row],[SessionID]],session_data[SessionID],session_data[Traffic Source])</f>
        <v>Direct</v>
      </c>
    </row>
    <row r="123" spans="1:7" x14ac:dyDescent="0.25">
      <c r="A123" s="1" t="s">
        <v>211</v>
      </c>
      <c r="B123" s="1">
        <v>24</v>
      </c>
      <c r="C123" s="1">
        <v>5</v>
      </c>
      <c r="D123" s="1">
        <v>5</v>
      </c>
      <c r="E123" s="1">
        <v>1</v>
      </c>
      <c r="F123" t="s">
        <v>1623</v>
      </c>
      <c r="G123" s="1" t="str">
        <f>_xlfn.XLOOKUP(engagement[[#This Row],[SessionID]],session_data[SessionID],session_data[Traffic Source])</f>
        <v>Paid Ads</v>
      </c>
    </row>
    <row r="124" spans="1:7" x14ac:dyDescent="0.25">
      <c r="A124" s="1" t="s">
        <v>213</v>
      </c>
      <c r="B124" s="1">
        <v>55</v>
      </c>
      <c r="C124" s="1">
        <v>2</v>
      </c>
      <c r="D124" s="1">
        <v>2</v>
      </c>
      <c r="E124" s="1">
        <v>0</v>
      </c>
      <c r="F124" t="s">
        <v>1622</v>
      </c>
      <c r="G124" s="1" t="str">
        <f>_xlfn.XLOOKUP(engagement[[#This Row],[SessionID]],session_data[SessionID],session_data[Traffic Source])</f>
        <v>Direct</v>
      </c>
    </row>
    <row r="125" spans="1:7" x14ac:dyDescent="0.25">
      <c r="A125" s="1" t="s">
        <v>215</v>
      </c>
      <c r="B125" s="1">
        <v>237</v>
      </c>
      <c r="C125" s="1">
        <v>10</v>
      </c>
      <c r="D125" s="1">
        <v>2</v>
      </c>
      <c r="E125" s="1">
        <v>1</v>
      </c>
      <c r="F125" t="s">
        <v>1623</v>
      </c>
      <c r="G125" s="1" t="str">
        <f>_xlfn.XLOOKUP(engagement[[#This Row],[SessionID]],session_data[SessionID],session_data[Traffic Source])</f>
        <v>Social Media</v>
      </c>
    </row>
    <row r="126" spans="1:7" x14ac:dyDescent="0.25">
      <c r="A126" s="1" t="s">
        <v>217</v>
      </c>
      <c r="B126" s="1">
        <v>357</v>
      </c>
      <c r="C126" s="1">
        <v>14</v>
      </c>
      <c r="D126" s="1">
        <v>4</v>
      </c>
      <c r="E126" s="1">
        <v>1</v>
      </c>
      <c r="F126" t="s">
        <v>1623</v>
      </c>
      <c r="G126" s="1" t="str">
        <f>_xlfn.XLOOKUP(engagement[[#This Row],[SessionID]],session_data[SessionID],session_data[Traffic Source])</f>
        <v>Paid Ads</v>
      </c>
    </row>
    <row r="127" spans="1:7" x14ac:dyDescent="0.25">
      <c r="A127" s="1" t="s">
        <v>219</v>
      </c>
      <c r="B127" s="1">
        <v>328</v>
      </c>
      <c r="C127" s="1">
        <v>13</v>
      </c>
      <c r="D127" s="1">
        <v>4</v>
      </c>
      <c r="E127" s="1">
        <v>1</v>
      </c>
      <c r="F127" t="s">
        <v>1623</v>
      </c>
      <c r="G127" s="1" t="str">
        <f>_xlfn.XLOOKUP(engagement[[#This Row],[SessionID]],session_data[SessionID],session_data[Traffic Source])</f>
        <v>Paid Ads</v>
      </c>
    </row>
    <row r="128" spans="1:7" x14ac:dyDescent="0.25">
      <c r="A128" s="1" t="s">
        <v>221</v>
      </c>
      <c r="B128" s="1">
        <v>321</v>
      </c>
      <c r="C128" s="1">
        <v>13</v>
      </c>
      <c r="D128" s="1">
        <v>2</v>
      </c>
      <c r="E128" s="1">
        <v>0</v>
      </c>
      <c r="F128" t="s">
        <v>1622</v>
      </c>
      <c r="G128" s="1" t="str">
        <f>_xlfn.XLOOKUP(engagement[[#This Row],[SessionID]],session_data[SessionID],session_data[Traffic Source])</f>
        <v>Direct</v>
      </c>
    </row>
    <row r="129" spans="1:7" x14ac:dyDescent="0.25">
      <c r="A129" s="1" t="s">
        <v>223</v>
      </c>
      <c r="B129" s="1">
        <v>330</v>
      </c>
      <c r="C129" s="1">
        <v>13</v>
      </c>
      <c r="D129" s="1">
        <v>2</v>
      </c>
      <c r="E129" s="1">
        <v>1</v>
      </c>
      <c r="F129" t="s">
        <v>1623</v>
      </c>
      <c r="G129" s="1" t="str">
        <f>_xlfn.XLOOKUP(engagement[[#This Row],[SessionID]],session_data[SessionID],session_data[Traffic Source])</f>
        <v>Direct</v>
      </c>
    </row>
    <row r="130" spans="1:7" x14ac:dyDescent="0.25">
      <c r="A130" s="1" t="s">
        <v>224</v>
      </c>
      <c r="B130" s="1">
        <v>172</v>
      </c>
      <c r="C130" s="1">
        <v>7</v>
      </c>
      <c r="D130" s="1">
        <v>2</v>
      </c>
      <c r="E130" s="1">
        <v>1</v>
      </c>
      <c r="F130" t="s">
        <v>1623</v>
      </c>
      <c r="G130" s="1" t="str">
        <f>_xlfn.XLOOKUP(engagement[[#This Row],[SessionID]],session_data[SessionID],session_data[Traffic Source])</f>
        <v>Direct</v>
      </c>
    </row>
    <row r="131" spans="1:7" x14ac:dyDescent="0.25">
      <c r="A131" s="1" t="s">
        <v>225</v>
      </c>
      <c r="B131" s="1">
        <v>322</v>
      </c>
      <c r="C131" s="1">
        <v>12</v>
      </c>
      <c r="D131" s="1">
        <v>5</v>
      </c>
      <c r="E131" s="1">
        <v>1</v>
      </c>
      <c r="F131" t="s">
        <v>1623</v>
      </c>
      <c r="G131" s="1" t="str">
        <f>_xlfn.XLOOKUP(engagement[[#This Row],[SessionID]],session_data[SessionID],session_data[Traffic Source])</f>
        <v>Organic Search</v>
      </c>
    </row>
    <row r="132" spans="1:7" x14ac:dyDescent="0.25">
      <c r="A132" s="1" t="s">
        <v>227</v>
      </c>
      <c r="B132" s="1">
        <v>276</v>
      </c>
      <c r="C132" s="1">
        <v>11</v>
      </c>
      <c r="D132" s="1">
        <v>5</v>
      </c>
      <c r="E132" s="1">
        <v>1</v>
      </c>
      <c r="F132" t="s">
        <v>1623</v>
      </c>
      <c r="G132" s="1" t="str">
        <f>_xlfn.XLOOKUP(engagement[[#This Row],[SessionID]],session_data[SessionID],session_data[Traffic Source])</f>
        <v>Organic Search</v>
      </c>
    </row>
    <row r="133" spans="1:7" x14ac:dyDescent="0.25">
      <c r="A133" s="1" t="s">
        <v>229</v>
      </c>
      <c r="B133" s="1">
        <v>137</v>
      </c>
      <c r="C133" s="1">
        <v>5</v>
      </c>
      <c r="D133" s="1">
        <v>2</v>
      </c>
      <c r="E133" s="1">
        <v>0</v>
      </c>
      <c r="F133" t="s">
        <v>1622</v>
      </c>
      <c r="G133" s="1" t="str">
        <f>_xlfn.XLOOKUP(engagement[[#This Row],[SessionID]],session_data[SessionID],session_data[Traffic Source])</f>
        <v>Direct</v>
      </c>
    </row>
    <row r="134" spans="1:7" x14ac:dyDescent="0.25">
      <c r="A134" s="1" t="s">
        <v>231</v>
      </c>
      <c r="B134" s="1">
        <v>99</v>
      </c>
      <c r="C134" s="1">
        <v>4</v>
      </c>
      <c r="D134" s="1">
        <v>2</v>
      </c>
      <c r="E134" s="1">
        <v>0</v>
      </c>
      <c r="F134" t="s">
        <v>1622</v>
      </c>
      <c r="G134" s="1" t="str">
        <f>_xlfn.XLOOKUP(engagement[[#This Row],[SessionID]],session_data[SessionID],session_data[Traffic Source])</f>
        <v>Direct</v>
      </c>
    </row>
    <row r="135" spans="1:7" x14ac:dyDescent="0.25">
      <c r="A135" s="1" t="s">
        <v>232</v>
      </c>
      <c r="B135" s="1">
        <v>202</v>
      </c>
      <c r="C135" s="1">
        <v>8</v>
      </c>
      <c r="D135" s="1">
        <v>2</v>
      </c>
      <c r="E135" s="1">
        <v>0</v>
      </c>
      <c r="F135" t="s">
        <v>1622</v>
      </c>
      <c r="G135" s="1" t="str">
        <f>_xlfn.XLOOKUP(engagement[[#This Row],[SessionID]],session_data[SessionID],session_data[Traffic Source])</f>
        <v>Organic Search</v>
      </c>
    </row>
    <row r="136" spans="1:7" x14ac:dyDescent="0.25">
      <c r="A136" s="1" t="s">
        <v>234</v>
      </c>
      <c r="B136" s="1">
        <v>165</v>
      </c>
      <c r="C136" s="1">
        <v>7</v>
      </c>
      <c r="D136" s="1">
        <v>4</v>
      </c>
      <c r="E136" s="1">
        <v>0</v>
      </c>
      <c r="F136" t="s">
        <v>1622</v>
      </c>
      <c r="G136" s="1" t="str">
        <f>_xlfn.XLOOKUP(engagement[[#This Row],[SessionID]],session_data[SessionID],session_data[Traffic Source])</f>
        <v>Organic Search</v>
      </c>
    </row>
    <row r="137" spans="1:7" x14ac:dyDescent="0.25">
      <c r="A137" s="1" t="s">
        <v>236</v>
      </c>
      <c r="B137" s="1">
        <v>241</v>
      </c>
      <c r="C137" s="1">
        <v>10</v>
      </c>
      <c r="D137" s="1">
        <v>5</v>
      </c>
      <c r="E137" s="1">
        <v>1</v>
      </c>
      <c r="F137" t="s">
        <v>1623</v>
      </c>
      <c r="G137" s="1" t="str">
        <f>_xlfn.XLOOKUP(engagement[[#This Row],[SessionID]],session_data[SessionID],session_data[Traffic Source])</f>
        <v>Organic Search</v>
      </c>
    </row>
    <row r="138" spans="1:7" x14ac:dyDescent="0.25">
      <c r="A138" s="1" t="s">
        <v>237</v>
      </c>
      <c r="B138" s="1">
        <v>299</v>
      </c>
      <c r="C138" s="1">
        <v>12</v>
      </c>
      <c r="D138" s="1">
        <v>5</v>
      </c>
      <c r="E138" s="1">
        <v>1</v>
      </c>
      <c r="F138" t="s">
        <v>1623</v>
      </c>
      <c r="G138" s="1" t="str">
        <f>_xlfn.XLOOKUP(engagement[[#This Row],[SessionID]],session_data[SessionID],session_data[Traffic Source])</f>
        <v>Organic Search</v>
      </c>
    </row>
    <row r="139" spans="1:7" x14ac:dyDescent="0.25">
      <c r="A139" s="1" t="s">
        <v>238</v>
      </c>
      <c r="B139" s="1">
        <v>204</v>
      </c>
      <c r="C139" s="1">
        <v>8</v>
      </c>
      <c r="D139" s="1">
        <v>4</v>
      </c>
      <c r="E139" s="1">
        <v>0</v>
      </c>
      <c r="F139" t="s">
        <v>1622</v>
      </c>
      <c r="G139" s="1" t="str">
        <f>_xlfn.XLOOKUP(engagement[[#This Row],[SessionID]],session_data[SessionID],session_data[Traffic Source])</f>
        <v>Referral</v>
      </c>
    </row>
    <row r="140" spans="1:7" x14ac:dyDescent="0.25">
      <c r="A140" s="1" t="s">
        <v>240</v>
      </c>
      <c r="B140" s="1">
        <v>244</v>
      </c>
      <c r="C140" s="1">
        <v>10</v>
      </c>
      <c r="D140" s="1">
        <v>4</v>
      </c>
      <c r="E140" s="1">
        <v>0</v>
      </c>
      <c r="F140" t="s">
        <v>1625</v>
      </c>
      <c r="G140" s="1" t="str">
        <f>_xlfn.XLOOKUP(engagement[[#This Row],[SessionID]],session_data[SessionID],session_data[Traffic Source])</f>
        <v>Paid Ads</v>
      </c>
    </row>
    <row r="141" spans="1:7" x14ac:dyDescent="0.25">
      <c r="A141" s="1" t="s">
        <v>242</v>
      </c>
      <c r="B141" s="1">
        <v>146</v>
      </c>
      <c r="C141" s="1">
        <v>5</v>
      </c>
      <c r="D141" s="1">
        <v>4</v>
      </c>
      <c r="E141" s="1">
        <v>1</v>
      </c>
      <c r="F141" t="s">
        <v>1623</v>
      </c>
      <c r="G141" s="1" t="str">
        <f>_xlfn.XLOOKUP(engagement[[#This Row],[SessionID]],session_data[SessionID],session_data[Traffic Source])</f>
        <v>Paid Ads</v>
      </c>
    </row>
    <row r="142" spans="1:7" x14ac:dyDescent="0.25">
      <c r="A142" s="1" t="s">
        <v>243</v>
      </c>
      <c r="B142" s="1">
        <v>171</v>
      </c>
      <c r="C142" s="1">
        <v>7</v>
      </c>
      <c r="D142" s="1">
        <v>4</v>
      </c>
      <c r="E142" s="1">
        <v>0</v>
      </c>
      <c r="F142" t="s">
        <v>1622</v>
      </c>
      <c r="G142" s="1" t="str">
        <f>_xlfn.XLOOKUP(engagement[[#This Row],[SessionID]],session_data[SessionID],session_data[Traffic Source])</f>
        <v>Paid Ads</v>
      </c>
    </row>
    <row r="143" spans="1:7" x14ac:dyDescent="0.25">
      <c r="A143" s="1" t="s">
        <v>244</v>
      </c>
      <c r="B143" s="1">
        <v>266</v>
      </c>
      <c r="C143" s="1">
        <v>10</v>
      </c>
      <c r="D143" s="1">
        <v>4</v>
      </c>
      <c r="E143" s="1">
        <v>0</v>
      </c>
      <c r="F143" t="s">
        <v>1625</v>
      </c>
      <c r="G143" s="1" t="str">
        <f>_xlfn.XLOOKUP(engagement[[#This Row],[SessionID]],session_data[SessionID],session_data[Traffic Source])</f>
        <v>Paid Ads</v>
      </c>
    </row>
    <row r="144" spans="1:7" x14ac:dyDescent="0.25">
      <c r="A144" s="1" t="s">
        <v>245</v>
      </c>
      <c r="B144" s="1">
        <v>58</v>
      </c>
      <c r="C144" s="1">
        <v>4</v>
      </c>
      <c r="D144" s="1">
        <v>4</v>
      </c>
      <c r="E144" s="1">
        <v>0</v>
      </c>
      <c r="F144" t="s">
        <v>1622</v>
      </c>
      <c r="G144" s="1" t="str">
        <f>_xlfn.XLOOKUP(engagement[[#This Row],[SessionID]],session_data[SessionID],session_data[Traffic Source])</f>
        <v>Paid Ads</v>
      </c>
    </row>
    <row r="145" spans="1:7" x14ac:dyDescent="0.25">
      <c r="A145" s="1" t="s">
        <v>246</v>
      </c>
      <c r="B145" s="1">
        <v>262</v>
      </c>
      <c r="C145" s="1">
        <v>10</v>
      </c>
      <c r="D145" s="1">
        <v>4</v>
      </c>
      <c r="E145" s="1">
        <v>0</v>
      </c>
      <c r="F145" t="s">
        <v>1622</v>
      </c>
      <c r="G145" s="1" t="str">
        <f>_xlfn.XLOOKUP(engagement[[#This Row],[SessionID]],session_data[SessionID],session_data[Traffic Source])</f>
        <v>Paid Ads</v>
      </c>
    </row>
    <row r="146" spans="1:7" x14ac:dyDescent="0.25">
      <c r="A146" s="1" t="s">
        <v>248</v>
      </c>
      <c r="B146" s="1">
        <v>122</v>
      </c>
      <c r="C146" s="1">
        <v>5</v>
      </c>
      <c r="D146" s="1">
        <v>5</v>
      </c>
      <c r="E146" s="1">
        <v>1</v>
      </c>
      <c r="F146" t="s">
        <v>1623</v>
      </c>
      <c r="G146" s="1" t="str">
        <f>_xlfn.XLOOKUP(engagement[[#This Row],[SessionID]],session_data[SessionID],session_data[Traffic Source])</f>
        <v>Paid Ads</v>
      </c>
    </row>
    <row r="147" spans="1:7" x14ac:dyDescent="0.25">
      <c r="A147" s="1" t="s">
        <v>249</v>
      </c>
      <c r="B147" s="1">
        <v>212</v>
      </c>
      <c r="C147" s="1">
        <v>9</v>
      </c>
      <c r="D147" s="1">
        <v>5</v>
      </c>
      <c r="E147" s="1">
        <v>1</v>
      </c>
      <c r="F147" t="s">
        <v>1623</v>
      </c>
      <c r="G147" s="1" t="str">
        <f>_xlfn.XLOOKUP(engagement[[#This Row],[SessionID]],session_data[SessionID],session_data[Traffic Source])</f>
        <v>Paid Ads</v>
      </c>
    </row>
    <row r="148" spans="1:7" x14ac:dyDescent="0.25">
      <c r="A148" s="1" t="s">
        <v>250</v>
      </c>
      <c r="B148" s="1">
        <v>184</v>
      </c>
      <c r="C148" s="1">
        <v>8</v>
      </c>
      <c r="D148" s="1">
        <v>3</v>
      </c>
      <c r="E148" s="1">
        <v>1</v>
      </c>
      <c r="F148" t="s">
        <v>1623</v>
      </c>
      <c r="G148" s="1" t="str">
        <f>_xlfn.XLOOKUP(engagement[[#This Row],[SessionID]],session_data[SessionID],session_data[Traffic Source])</f>
        <v>Referral</v>
      </c>
    </row>
    <row r="149" spans="1:7" x14ac:dyDescent="0.25">
      <c r="A149" s="1" t="s">
        <v>252</v>
      </c>
      <c r="B149" s="1">
        <v>167</v>
      </c>
      <c r="C149" s="1">
        <v>6</v>
      </c>
      <c r="D149" s="1">
        <v>5</v>
      </c>
      <c r="E149" s="1">
        <v>1</v>
      </c>
      <c r="F149" t="s">
        <v>1623</v>
      </c>
      <c r="G149" s="1" t="str">
        <f>_xlfn.XLOOKUP(engagement[[#This Row],[SessionID]],session_data[SessionID],session_data[Traffic Source])</f>
        <v>Organic Search</v>
      </c>
    </row>
    <row r="150" spans="1:7" x14ac:dyDescent="0.25">
      <c r="A150" s="1" t="s">
        <v>254</v>
      </c>
      <c r="B150" s="1">
        <v>21</v>
      </c>
      <c r="C150" s="1">
        <v>5</v>
      </c>
      <c r="D150" s="1">
        <v>4</v>
      </c>
      <c r="E150" s="1">
        <v>0</v>
      </c>
      <c r="F150" t="s">
        <v>1622</v>
      </c>
      <c r="G150" s="1" t="str">
        <f>_xlfn.XLOOKUP(engagement[[#This Row],[SessionID]],session_data[SessionID],session_data[Traffic Source])</f>
        <v>Direct</v>
      </c>
    </row>
    <row r="151" spans="1:7" x14ac:dyDescent="0.25">
      <c r="A151" s="1" t="s">
        <v>256</v>
      </c>
      <c r="B151" s="1">
        <v>356</v>
      </c>
      <c r="C151" s="1">
        <v>14</v>
      </c>
      <c r="D151" s="1">
        <v>4</v>
      </c>
      <c r="E151" s="1">
        <v>0</v>
      </c>
      <c r="F151" t="s">
        <v>1622</v>
      </c>
      <c r="G151" s="1" t="str">
        <f>_xlfn.XLOOKUP(engagement[[#This Row],[SessionID]],session_data[SessionID],session_data[Traffic Source])</f>
        <v>Direct</v>
      </c>
    </row>
    <row r="152" spans="1:7" x14ac:dyDescent="0.25">
      <c r="A152" s="1" t="s">
        <v>257</v>
      </c>
      <c r="B152" s="1">
        <v>96</v>
      </c>
      <c r="C152" s="1">
        <v>5</v>
      </c>
      <c r="D152" s="1">
        <v>5</v>
      </c>
      <c r="E152" s="1">
        <v>1</v>
      </c>
      <c r="F152" t="s">
        <v>1623</v>
      </c>
      <c r="G152" s="1" t="str">
        <f>_xlfn.XLOOKUP(engagement[[#This Row],[SessionID]],session_data[SessionID],session_data[Traffic Source])</f>
        <v>Direct</v>
      </c>
    </row>
    <row r="153" spans="1:7" x14ac:dyDescent="0.25">
      <c r="A153" s="1" t="s">
        <v>258</v>
      </c>
      <c r="B153" s="1">
        <v>216</v>
      </c>
      <c r="C153" s="1">
        <v>9</v>
      </c>
      <c r="D153" s="1">
        <v>4</v>
      </c>
      <c r="E153" s="1">
        <v>0</v>
      </c>
      <c r="F153" t="s">
        <v>1624</v>
      </c>
      <c r="G153" s="1" t="str">
        <f>_xlfn.XLOOKUP(engagement[[#This Row],[SessionID]],session_data[SessionID],session_data[Traffic Source])</f>
        <v>Organic Search</v>
      </c>
    </row>
    <row r="154" spans="1:7" x14ac:dyDescent="0.25">
      <c r="A154" s="1" t="s">
        <v>260</v>
      </c>
      <c r="B154" s="1">
        <v>267</v>
      </c>
      <c r="C154" s="1">
        <v>11</v>
      </c>
      <c r="D154" s="1">
        <v>5</v>
      </c>
      <c r="E154" s="1">
        <v>1</v>
      </c>
      <c r="F154" t="s">
        <v>1623</v>
      </c>
      <c r="G154" s="1" t="str">
        <f>_xlfn.XLOOKUP(engagement[[#This Row],[SessionID]],session_data[SessionID],session_data[Traffic Source])</f>
        <v>Organic Search</v>
      </c>
    </row>
    <row r="155" spans="1:7" x14ac:dyDescent="0.25">
      <c r="A155" s="1" t="s">
        <v>261</v>
      </c>
      <c r="B155" s="1">
        <v>28</v>
      </c>
      <c r="C155" s="1">
        <v>5</v>
      </c>
      <c r="D155" s="1">
        <v>5</v>
      </c>
      <c r="E155" s="1">
        <v>1</v>
      </c>
      <c r="F155" t="s">
        <v>1623</v>
      </c>
      <c r="G155" s="1" t="str">
        <f>_xlfn.XLOOKUP(engagement[[#This Row],[SessionID]],session_data[SessionID],session_data[Traffic Source])</f>
        <v>Organic Search</v>
      </c>
    </row>
    <row r="156" spans="1:7" x14ac:dyDescent="0.25">
      <c r="A156" s="1" t="s">
        <v>262</v>
      </c>
      <c r="B156" s="1">
        <v>361</v>
      </c>
      <c r="C156" s="1">
        <v>14</v>
      </c>
      <c r="D156" s="1">
        <v>3</v>
      </c>
      <c r="E156" s="1">
        <v>0</v>
      </c>
      <c r="F156" t="s">
        <v>1624</v>
      </c>
      <c r="G156" s="1" t="str">
        <f>_xlfn.XLOOKUP(engagement[[#This Row],[SessionID]],session_data[SessionID],session_data[Traffic Source])</f>
        <v>Direct</v>
      </c>
    </row>
    <row r="157" spans="1:7" x14ac:dyDescent="0.25">
      <c r="A157" s="1" t="s">
        <v>264</v>
      </c>
      <c r="B157" s="1">
        <v>355</v>
      </c>
      <c r="C157" s="1">
        <v>14</v>
      </c>
      <c r="D157" s="1">
        <v>3</v>
      </c>
      <c r="E157" s="1">
        <v>0</v>
      </c>
      <c r="F157" t="s">
        <v>1624</v>
      </c>
      <c r="G157" s="1" t="str">
        <f>_xlfn.XLOOKUP(engagement[[#This Row],[SessionID]],session_data[SessionID],session_data[Traffic Source])</f>
        <v>Direct</v>
      </c>
    </row>
    <row r="158" spans="1:7" x14ac:dyDescent="0.25">
      <c r="A158" s="1" t="s">
        <v>265</v>
      </c>
      <c r="B158" s="1">
        <v>94</v>
      </c>
      <c r="C158" s="1">
        <v>4</v>
      </c>
      <c r="D158" s="1">
        <v>3</v>
      </c>
      <c r="E158" s="1">
        <v>0</v>
      </c>
      <c r="F158" t="s">
        <v>1624</v>
      </c>
      <c r="G158" s="1" t="str">
        <f>_xlfn.XLOOKUP(engagement[[#This Row],[SessionID]],session_data[SessionID],session_data[Traffic Source])</f>
        <v>Direct</v>
      </c>
    </row>
    <row r="159" spans="1:7" x14ac:dyDescent="0.25">
      <c r="A159" s="1" t="s">
        <v>266</v>
      </c>
      <c r="B159" s="1">
        <v>234</v>
      </c>
      <c r="C159" s="1">
        <v>9</v>
      </c>
      <c r="D159" s="1">
        <v>4</v>
      </c>
      <c r="E159" s="1">
        <v>0</v>
      </c>
      <c r="F159" t="s">
        <v>1622</v>
      </c>
      <c r="G159" s="1" t="str">
        <f>_xlfn.XLOOKUP(engagement[[#This Row],[SessionID]],session_data[SessionID],session_data[Traffic Source])</f>
        <v>Direct</v>
      </c>
    </row>
    <row r="160" spans="1:7" x14ac:dyDescent="0.25">
      <c r="A160" s="1" t="s">
        <v>268</v>
      </c>
      <c r="B160" s="1">
        <v>115</v>
      </c>
      <c r="C160" s="1">
        <v>5</v>
      </c>
      <c r="D160" s="1">
        <v>4</v>
      </c>
      <c r="E160" s="1">
        <v>1</v>
      </c>
      <c r="F160" t="s">
        <v>1623</v>
      </c>
      <c r="G160" s="1" t="str">
        <f>_xlfn.XLOOKUP(engagement[[#This Row],[SessionID]],session_data[SessionID],session_data[Traffic Source])</f>
        <v>Direct</v>
      </c>
    </row>
    <row r="161" spans="1:7" x14ac:dyDescent="0.25">
      <c r="A161" s="1" t="s">
        <v>269</v>
      </c>
      <c r="B161" s="1">
        <v>299</v>
      </c>
      <c r="C161" s="1">
        <v>12</v>
      </c>
      <c r="D161" s="1">
        <v>4</v>
      </c>
      <c r="E161" s="1">
        <v>1</v>
      </c>
      <c r="F161" t="s">
        <v>1623</v>
      </c>
      <c r="G161" s="1" t="str">
        <f>_xlfn.XLOOKUP(engagement[[#This Row],[SessionID]],session_data[SessionID],session_data[Traffic Source])</f>
        <v>Direct</v>
      </c>
    </row>
    <row r="162" spans="1:7" x14ac:dyDescent="0.25">
      <c r="A162" s="1" t="s">
        <v>270</v>
      </c>
      <c r="B162" s="1">
        <v>310</v>
      </c>
      <c r="C162" s="1">
        <v>13</v>
      </c>
      <c r="D162" s="1">
        <v>4</v>
      </c>
      <c r="E162" s="1">
        <v>0</v>
      </c>
      <c r="F162" t="s">
        <v>1625</v>
      </c>
      <c r="G162" s="1" t="str">
        <f>_xlfn.XLOOKUP(engagement[[#This Row],[SessionID]],session_data[SessionID],session_data[Traffic Source])</f>
        <v>Direct</v>
      </c>
    </row>
    <row r="163" spans="1:7" x14ac:dyDescent="0.25">
      <c r="A163" s="1" t="s">
        <v>272</v>
      </c>
      <c r="B163" s="1">
        <v>296</v>
      </c>
      <c r="C163" s="1">
        <v>12</v>
      </c>
      <c r="D163" s="1">
        <v>1</v>
      </c>
      <c r="E163" s="1">
        <v>1</v>
      </c>
      <c r="F163" t="s">
        <v>1623</v>
      </c>
      <c r="G163" s="1" t="str">
        <f>_xlfn.XLOOKUP(engagement[[#This Row],[SessionID]],session_data[SessionID],session_data[Traffic Source])</f>
        <v>Organic Search</v>
      </c>
    </row>
    <row r="164" spans="1:7" x14ac:dyDescent="0.25">
      <c r="A164" s="1" t="s">
        <v>274</v>
      </c>
      <c r="B164" s="1">
        <v>363</v>
      </c>
      <c r="C164" s="1">
        <v>14</v>
      </c>
      <c r="D164" s="1">
        <v>4</v>
      </c>
      <c r="E164" s="1">
        <v>0</v>
      </c>
      <c r="F164" t="s">
        <v>1624</v>
      </c>
      <c r="G164" s="1" t="str">
        <f>_xlfn.XLOOKUP(engagement[[#This Row],[SessionID]],session_data[SessionID],session_data[Traffic Source])</f>
        <v>Direct</v>
      </c>
    </row>
    <row r="165" spans="1:7" x14ac:dyDescent="0.25">
      <c r="A165" s="1" t="s">
        <v>276</v>
      </c>
      <c r="B165" s="1">
        <v>117</v>
      </c>
      <c r="C165" s="1">
        <v>5</v>
      </c>
      <c r="D165" s="1">
        <v>5</v>
      </c>
      <c r="E165" s="1">
        <v>1</v>
      </c>
      <c r="F165" t="s">
        <v>1623</v>
      </c>
      <c r="G165" s="1" t="str">
        <f>_xlfn.XLOOKUP(engagement[[#This Row],[SessionID]],session_data[SessionID],session_data[Traffic Source])</f>
        <v>Social Media</v>
      </c>
    </row>
    <row r="166" spans="1:7" x14ac:dyDescent="0.25">
      <c r="A166" s="1" t="s">
        <v>278</v>
      </c>
      <c r="B166" s="1">
        <v>120</v>
      </c>
      <c r="C166" s="1">
        <v>5</v>
      </c>
      <c r="D166" s="1">
        <v>5</v>
      </c>
      <c r="E166" s="1">
        <v>1</v>
      </c>
      <c r="F166" t="s">
        <v>1623</v>
      </c>
      <c r="G166" s="1" t="str">
        <f>_xlfn.XLOOKUP(engagement[[#This Row],[SessionID]],session_data[SessionID],session_data[Traffic Source])</f>
        <v>Social Media</v>
      </c>
    </row>
    <row r="167" spans="1:7" x14ac:dyDescent="0.25">
      <c r="A167" s="1" t="s">
        <v>279</v>
      </c>
      <c r="B167" s="1">
        <v>124</v>
      </c>
      <c r="C167" s="1">
        <v>5</v>
      </c>
      <c r="D167" s="1">
        <v>4</v>
      </c>
      <c r="E167" s="1">
        <v>0</v>
      </c>
      <c r="F167" t="s">
        <v>1625</v>
      </c>
      <c r="G167" s="1" t="str">
        <f>_xlfn.XLOOKUP(engagement[[#This Row],[SessionID]],session_data[SessionID],session_data[Traffic Source])</f>
        <v>Social Media</v>
      </c>
    </row>
    <row r="168" spans="1:7" x14ac:dyDescent="0.25">
      <c r="A168" s="1" t="s">
        <v>280</v>
      </c>
      <c r="B168" s="1">
        <v>45</v>
      </c>
      <c r="C168" s="1">
        <v>5</v>
      </c>
      <c r="D168" s="1">
        <v>5</v>
      </c>
      <c r="E168" s="1">
        <v>1</v>
      </c>
      <c r="F168" t="s">
        <v>1623</v>
      </c>
      <c r="G168" s="1" t="str">
        <f>_xlfn.XLOOKUP(engagement[[#This Row],[SessionID]],session_data[SessionID],session_data[Traffic Source])</f>
        <v>Social Media</v>
      </c>
    </row>
    <row r="169" spans="1:7" x14ac:dyDescent="0.25">
      <c r="A169" s="1" t="s">
        <v>281</v>
      </c>
      <c r="B169" s="1">
        <v>27</v>
      </c>
      <c r="C169" s="1">
        <v>4</v>
      </c>
      <c r="D169" s="1">
        <v>4</v>
      </c>
      <c r="E169" s="1">
        <v>0</v>
      </c>
      <c r="F169" t="s">
        <v>1622</v>
      </c>
      <c r="G169" s="1" t="str">
        <f>_xlfn.XLOOKUP(engagement[[#This Row],[SessionID]],session_data[SessionID],session_data[Traffic Source])</f>
        <v>Direct</v>
      </c>
    </row>
    <row r="170" spans="1:7" x14ac:dyDescent="0.25">
      <c r="A170" s="1" t="s">
        <v>283</v>
      </c>
      <c r="B170" s="1">
        <v>246</v>
      </c>
      <c r="C170" s="1">
        <v>10</v>
      </c>
      <c r="D170" s="1">
        <v>4</v>
      </c>
      <c r="E170" s="1">
        <v>1</v>
      </c>
      <c r="F170" t="s">
        <v>1623</v>
      </c>
      <c r="G170" s="1" t="str">
        <f>_xlfn.XLOOKUP(engagement[[#This Row],[SessionID]],session_data[SessionID],session_data[Traffic Source])</f>
        <v>Direct</v>
      </c>
    </row>
    <row r="171" spans="1:7" x14ac:dyDescent="0.25">
      <c r="A171" s="1" t="s">
        <v>284</v>
      </c>
      <c r="B171" s="1">
        <v>215</v>
      </c>
      <c r="C171" s="1">
        <v>8</v>
      </c>
      <c r="D171" s="1">
        <v>4</v>
      </c>
      <c r="E171" s="1">
        <v>0</v>
      </c>
      <c r="F171" t="s">
        <v>1626</v>
      </c>
      <c r="G171" s="1" t="str">
        <f>_xlfn.XLOOKUP(engagement[[#This Row],[SessionID]],session_data[SessionID],session_data[Traffic Source])</f>
        <v>Referral</v>
      </c>
    </row>
    <row r="172" spans="1:7" x14ac:dyDescent="0.25">
      <c r="A172" s="1" t="s">
        <v>286</v>
      </c>
      <c r="B172" s="1">
        <v>201</v>
      </c>
      <c r="C172" s="1">
        <v>8</v>
      </c>
      <c r="D172" s="1">
        <v>4</v>
      </c>
      <c r="E172" s="1">
        <v>0</v>
      </c>
      <c r="F172" t="s">
        <v>1622</v>
      </c>
      <c r="G172" s="1" t="str">
        <f>_xlfn.XLOOKUP(engagement[[#This Row],[SessionID]],session_data[SessionID],session_data[Traffic Source])</f>
        <v>Organic Search</v>
      </c>
    </row>
    <row r="173" spans="1:7" x14ac:dyDescent="0.25">
      <c r="A173" s="1" t="s">
        <v>288</v>
      </c>
      <c r="B173" s="1">
        <v>61</v>
      </c>
      <c r="C173" s="1">
        <v>5</v>
      </c>
      <c r="D173" s="1">
        <v>4</v>
      </c>
      <c r="E173" s="1">
        <v>0</v>
      </c>
      <c r="F173" t="s">
        <v>1622</v>
      </c>
      <c r="G173" s="1" t="str">
        <f>_xlfn.XLOOKUP(engagement[[#This Row],[SessionID]],session_data[SessionID],session_data[Traffic Source])</f>
        <v>Organic Search</v>
      </c>
    </row>
    <row r="174" spans="1:7" x14ac:dyDescent="0.25">
      <c r="A174" s="1" t="s">
        <v>290</v>
      </c>
      <c r="B174" s="1">
        <v>200</v>
      </c>
      <c r="C174" s="1">
        <v>8</v>
      </c>
      <c r="D174" s="1">
        <v>4</v>
      </c>
      <c r="E174" s="1">
        <v>0</v>
      </c>
      <c r="F174" t="s">
        <v>1625</v>
      </c>
      <c r="G174" s="1" t="str">
        <f>_xlfn.XLOOKUP(engagement[[#This Row],[SessionID]],session_data[SessionID],session_data[Traffic Source])</f>
        <v>Organic Search</v>
      </c>
    </row>
    <row r="175" spans="1:7" x14ac:dyDescent="0.25">
      <c r="A175" s="1" t="s">
        <v>292</v>
      </c>
      <c r="B175" s="1">
        <v>362</v>
      </c>
      <c r="C175" s="1">
        <v>14</v>
      </c>
      <c r="D175" s="1">
        <v>3</v>
      </c>
      <c r="E175" s="1">
        <v>0</v>
      </c>
      <c r="F175" t="s">
        <v>1622</v>
      </c>
      <c r="G175" s="1" t="str">
        <f>_xlfn.XLOOKUP(engagement[[#This Row],[SessionID]],session_data[SessionID],session_data[Traffic Source])</f>
        <v>Organic Search</v>
      </c>
    </row>
    <row r="176" spans="1:7" x14ac:dyDescent="0.25">
      <c r="A176" s="1" t="s">
        <v>294</v>
      </c>
      <c r="B176" s="1">
        <v>59</v>
      </c>
      <c r="C176" s="1">
        <v>3</v>
      </c>
      <c r="D176" s="1">
        <v>3</v>
      </c>
      <c r="E176" s="1">
        <v>0</v>
      </c>
      <c r="F176" t="s">
        <v>1622</v>
      </c>
      <c r="G176" s="1" t="str">
        <f>_xlfn.XLOOKUP(engagement[[#This Row],[SessionID]],session_data[SessionID],session_data[Traffic Source])</f>
        <v>Organic Search</v>
      </c>
    </row>
    <row r="177" spans="1:7" x14ac:dyDescent="0.25">
      <c r="A177" s="1" t="s">
        <v>295</v>
      </c>
      <c r="B177" s="1">
        <v>280</v>
      </c>
      <c r="C177" s="1">
        <v>11</v>
      </c>
      <c r="D177" s="1">
        <v>3</v>
      </c>
      <c r="E177" s="1">
        <v>0</v>
      </c>
      <c r="F177" t="s">
        <v>1622</v>
      </c>
      <c r="G177" s="1" t="str">
        <f>_xlfn.XLOOKUP(engagement[[#This Row],[SessionID]],session_data[SessionID],session_data[Traffic Source])</f>
        <v>Organic Search</v>
      </c>
    </row>
    <row r="178" spans="1:7" x14ac:dyDescent="0.25">
      <c r="A178" s="1" t="s">
        <v>296</v>
      </c>
      <c r="B178" s="1">
        <v>88</v>
      </c>
      <c r="C178" s="1">
        <v>4</v>
      </c>
      <c r="D178" s="1">
        <v>4</v>
      </c>
      <c r="E178" s="1">
        <v>0</v>
      </c>
      <c r="F178" t="s">
        <v>1622</v>
      </c>
      <c r="G178" s="1" t="str">
        <f>_xlfn.XLOOKUP(engagement[[#This Row],[SessionID]],session_data[SessionID],session_data[Traffic Source])</f>
        <v>Direct</v>
      </c>
    </row>
    <row r="179" spans="1:7" x14ac:dyDescent="0.25">
      <c r="A179" s="1" t="s">
        <v>298</v>
      </c>
      <c r="B179" s="1">
        <v>355</v>
      </c>
      <c r="C179" s="1">
        <v>14</v>
      </c>
      <c r="D179" s="1">
        <v>4</v>
      </c>
      <c r="E179" s="1">
        <v>0</v>
      </c>
      <c r="F179" t="s">
        <v>1622</v>
      </c>
      <c r="G179" s="1" t="str">
        <f>_xlfn.XLOOKUP(engagement[[#This Row],[SessionID]],session_data[SessionID],session_data[Traffic Source])</f>
        <v>Direct</v>
      </c>
    </row>
    <row r="180" spans="1:7" x14ac:dyDescent="0.25">
      <c r="A180" s="1" t="s">
        <v>299</v>
      </c>
      <c r="B180" s="1">
        <v>341</v>
      </c>
      <c r="C180" s="1">
        <v>14</v>
      </c>
      <c r="D180" s="1">
        <v>4</v>
      </c>
      <c r="E180" s="1">
        <v>0</v>
      </c>
      <c r="F180" t="s">
        <v>1622</v>
      </c>
      <c r="G180" s="1" t="str">
        <f>_xlfn.XLOOKUP(engagement[[#This Row],[SessionID]],session_data[SessionID],session_data[Traffic Source])</f>
        <v>Organic Search</v>
      </c>
    </row>
    <row r="181" spans="1:7" x14ac:dyDescent="0.25">
      <c r="A181" s="1" t="s">
        <v>301</v>
      </c>
      <c r="B181" s="1">
        <v>315</v>
      </c>
      <c r="C181" s="1">
        <v>12</v>
      </c>
      <c r="D181" s="1">
        <v>5</v>
      </c>
      <c r="E181" s="1">
        <v>1</v>
      </c>
      <c r="F181" t="s">
        <v>1623</v>
      </c>
      <c r="G181" s="1" t="str">
        <f>_xlfn.XLOOKUP(engagement[[#This Row],[SessionID]],session_data[SessionID],session_data[Traffic Source])</f>
        <v>Organic Search</v>
      </c>
    </row>
    <row r="182" spans="1:7" x14ac:dyDescent="0.25">
      <c r="A182" s="1" t="s">
        <v>302</v>
      </c>
      <c r="B182" s="1">
        <v>300</v>
      </c>
      <c r="C182" s="1">
        <v>12</v>
      </c>
      <c r="D182" s="1">
        <v>4</v>
      </c>
      <c r="E182" s="1">
        <v>0</v>
      </c>
      <c r="F182" t="s">
        <v>1625</v>
      </c>
      <c r="G182" s="1" t="str">
        <f>_xlfn.XLOOKUP(engagement[[#This Row],[SessionID]],session_data[SessionID],session_data[Traffic Source])</f>
        <v>Organic Search</v>
      </c>
    </row>
    <row r="183" spans="1:7" x14ac:dyDescent="0.25">
      <c r="A183" s="1" t="s">
        <v>303</v>
      </c>
      <c r="B183" s="1">
        <v>103</v>
      </c>
      <c r="C183" s="1">
        <v>5</v>
      </c>
      <c r="D183" s="1">
        <v>4</v>
      </c>
      <c r="E183" s="1">
        <v>0</v>
      </c>
      <c r="F183" t="s">
        <v>1622</v>
      </c>
      <c r="G183" s="1" t="str">
        <f>_xlfn.XLOOKUP(engagement[[#This Row],[SessionID]],session_data[SessionID],session_data[Traffic Source])</f>
        <v>Organic Search</v>
      </c>
    </row>
    <row r="184" spans="1:7" x14ac:dyDescent="0.25">
      <c r="A184" s="1" t="s">
        <v>304</v>
      </c>
      <c r="B184" s="1">
        <v>175</v>
      </c>
      <c r="C184" s="1">
        <v>7</v>
      </c>
      <c r="D184" s="1">
        <v>4</v>
      </c>
      <c r="E184" s="1">
        <v>0</v>
      </c>
      <c r="F184" t="s">
        <v>1622</v>
      </c>
      <c r="G184" s="1" t="str">
        <f>_xlfn.XLOOKUP(engagement[[#This Row],[SessionID]],session_data[SessionID],session_data[Traffic Source])</f>
        <v>Organic Search</v>
      </c>
    </row>
    <row r="185" spans="1:7" x14ac:dyDescent="0.25">
      <c r="A185" s="1" t="s">
        <v>306</v>
      </c>
      <c r="B185" s="1">
        <v>191</v>
      </c>
      <c r="C185" s="1">
        <v>8</v>
      </c>
      <c r="D185" s="1">
        <v>4</v>
      </c>
      <c r="E185" s="1">
        <v>0</v>
      </c>
      <c r="F185" t="s">
        <v>1625</v>
      </c>
      <c r="G185" s="1" t="str">
        <f>_xlfn.XLOOKUP(engagement[[#This Row],[SessionID]],session_data[SessionID],session_data[Traffic Source])</f>
        <v>Organic Search</v>
      </c>
    </row>
    <row r="186" spans="1:7" x14ac:dyDescent="0.25">
      <c r="A186" s="1" t="s">
        <v>307</v>
      </c>
      <c r="B186" s="1">
        <v>41</v>
      </c>
      <c r="C186" s="1">
        <v>5</v>
      </c>
      <c r="D186" s="1">
        <v>4</v>
      </c>
      <c r="E186" s="1">
        <v>0</v>
      </c>
      <c r="F186" t="s">
        <v>1625</v>
      </c>
      <c r="G186" s="1" t="str">
        <f>_xlfn.XLOOKUP(engagement[[#This Row],[SessionID]],session_data[SessionID],session_data[Traffic Source])</f>
        <v>Organic Search</v>
      </c>
    </row>
    <row r="187" spans="1:7" x14ac:dyDescent="0.25">
      <c r="A187" s="1" t="s">
        <v>309</v>
      </c>
      <c r="B187" s="1">
        <v>127</v>
      </c>
      <c r="C187" s="1">
        <v>6</v>
      </c>
      <c r="D187" s="1">
        <v>4</v>
      </c>
      <c r="E187" s="1">
        <v>0</v>
      </c>
      <c r="F187" t="s">
        <v>1625</v>
      </c>
      <c r="G187" s="1" t="str">
        <f>_xlfn.XLOOKUP(engagement[[#This Row],[SessionID]],session_data[SessionID],session_data[Traffic Source])</f>
        <v>Organic Search</v>
      </c>
    </row>
    <row r="188" spans="1:7" x14ac:dyDescent="0.25">
      <c r="A188" s="1" t="s">
        <v>311</v>
      </c>
      <c r="B188" s="1">
        <v>282</v>
      </c>
      <c r="C188" s="1">
        <v>11</v>
      </c>
      <c r="D188" s="1">
        <v>4</v>
      </c>
      <c r="E188" s="1">
        <v>0</v>
      </c>
      <c r="F188" t="s">
        <v>1622</v>
      </c>
      <c r="G188" s="1" t="str">
        <f>_xlfn.XLOOKUP(engagement[[#This Row],[SessionID]],session_data[SessionID],session_data[Traffic Source])</f>
        <v>Organic Search</v>
      </c>
    </row>
    <row r="189" spans="1:7" x14ac:dyDescent="0.25">
      <c r="A189" s="1" t="s">
        <v>312</v>
      </c>
      <c r="B189" s="1">
        <v>116</v>
      </c>
      <c r="C189" s="1">
        <v>5</v>
      </c>
      <c r="D189" s="1">
        <v>4</v>
      </c>
      <c r="E189" s="1">
        <v>0</v>
      </c>
      <c r="F189" t="s">
        <v>1626</v>
      </c>
      <c r="G189" s="1" t="str">
        <f>_xlfn.XLOOKUP(engagement[[#This Row],[SessionID]],session_data[SessionID],session_data[Traffic Source])</f>
        <v>Organic Search</v>
      </c>
    </row>
    <row r="190" spans="1:7" x14ac:dyDescent="0.25">
      <c r="A190" s="1" t="s">
        <v>313</v>
      </c>
      <c r="B190" s="1">
        <v>163</v>
      </c>
      <c r="C190" s="1">
        <v>7</v>
      </c>
      <c r="D190" s="1">
        <v>4</v>
      </c>
      <c r="E190" s="1">
        <v>0</v>
      </c>
      <c r="F190" t="s">
        <v>1624</v>
      </c>
      <c r="G190" s="1" t="str">
        <f>_xlfn.XLOOKUP(engagement[[#This Row],[SessionID]],session_data[SessionID],session_data[Traffic Source])</f>
        <v>Referral</v>
      </c>
    </row>
    <row r="191" spans="1:7" x14ac:dyDescent="0.25">
      <c r="A191" s="1" t="s">
        <v>315</v>
      </c>
      <c r="B191" s="1">
        <v>247</v>
      </c>
      <c r="C191" s="1">
        <v>10</v>
      </c>
      <c r="D191" s="1">
        <v>4</v>
      </c>
      <c r="E191" s="1">
        <v>0</v>
      </c>
      <c r="F191" t="s">
        <v>1626</v>
      </c>
      <c r="G191" s="1" t="str">
        <f>_xlfn.XLOOKUP(engagement[[#This Row],[SessionID]],session_data[SessionID],session_data[Traffic Source])</f>
        <v>Referral</v>
      </c>
    </row>
    <row r="192" spans="1:7" x14ac:dyDescent="0.25">
      <c r="A192" s="1" t="s">
        <v>316</v>
      </c>
      <c r="B192" s="1">
        <v>351</v>
      </c>
      <c r="C192" s="1">
        <v>14</v>
      </c>
      <c r="D192" s="1">
        <v>4</v>
      </c>
      <c r="E192" s="1">
        <v>0</v>
      </c>
      <c r="F192" t="s">
        <v>1624</v>
      </c>
      <c r="G192" s="1" t="str">
        <f>_xlfn.XLOOKUP(engagement[[#This Row],[SessionID]],session_data[SessionID],session_data[Traffic Source])</f>
        <v>Referral</v>
      </c>
    </row>
    <row r="193" spans="1:7" x14ac:dyDescent="0.25">
      <c r="A193" s="1" t="s">
        <v>317</v>
      </c>
      <c r="B193" s="1">
        <v>113</v>
      </c>
      <c r="C193" s="1">
        <v>4</v>
      </c>
      <c r="D193" s="1">
        <v>4</v>
      </c>
      <c r="E193" s="1">
        <v>0</v>
      </c>
      <c r="F193" t="s">
        <v>1625</v>
      </c>
      <c r="G193" s="1" t="str">
        <f>_xlfn.XLOOKUP(engagement[[#This Row],[SessionID]],session_data[SessionID],session_data[Traffic Source])</f>
        <v>Referral</v>
      </c>
    </row>
    <row r="194" spans="1:7" x14ac:dyDescent="0.25">
      <c r="A194" s="1" t="s">
        <v>319</v>
      </c>
      <c r="B194" s="1">
        <v>23</v>
      </c>
      <c r="C194" s="1">
        <v>4</v>
      </c>
      <c r="D194" s="1">
        <v>4</v>
      </c>
      <c r="E194" s="1">
        <v>0</v>
      </c>
      <c r="F194" t="s">
        <v>1625</v>
      </c>
      <c r="G194" s="1" t="str">
        <f>_xlfn.XLOOKUP(engagement[[#This Row],[SessionID]],session_data[SessionID],session_data[Traffic Source])</f>
        <v>Referral</v>
      </c>
    </row>
    <row r="195" spans="1:7" x14ac:dyDescent="0.25">
      <c r="A195" s="1" t="s">
        <v>320</v>
      </c>
      <c r="B195" s="1">
        <v>133</v>
      </c>
      <c r="C195" s="1">
        <v>5</v>
      </c>
      <c r="D195" s="1">
        <v>4</v>
      </c>
      <c r="E195" s="1">
        <v>0</v>
      </c>
      <c r="F195" t="s">
        <v>1626</v>
      </c>
      <c r="G195" s="1" t="str">
        <f>_xlfn.XLOOKUP(engagement[[#This Row],[SessionID]],session_data[SessionID],session_data[Traffic Source])</f>
        <v>Direct</v>
      </c>
    </row>
    <row r="196" spans="1:7" x14ac:dyDescent="0.25">
      <c r="A196" s="1" t="s">
        <v>322</v>
      </c>
      <c r="B196" s="1">
        <v>341</v>
      </c>
      <c r="C196" s="1">
        <v>13</v>
      </c>
      <c r="D196" s="1">
        <v>4</v>
      </c>
      <c r="E196" s="1">
        <v>1</v>
      </c>
      <c r="F196" t="s">
        <v>1623</v>
      </c>
      <c r="G196" s="1" t="str">
        <f>_xlfn.XLOOKUP(engagement[[#This Row],[SessionID]],session_data[SessionID],session_data[Traffic Source])</f>
        <v>Direct</v>
      </c>
    </row>
    <row r="197" spans="1:7" x14ac:dyDescent="0.25">
      <c r="A197" s="1" t="s">
        <v>323</v>
      </c>
      <c r="B197" s="1">
        <v>76</v>
      </c>
      <c r="C197" s="1">
        <v>4</v>
      </c>
      <c r="D197" s="1">
        <v>4</v>
      </c>
      <c r="E197" s="1">
        <v>0</v>
      </c>
      <c r="F197" t="s">
        <v>1626</v>
      </c>
      <c r="G197" s="1" t="str">
        <f>_xlfn.XLOOKUP(engagement[[#This Row],[SessionID]],session_data[SessionID],session_data[Traffic Source])</f>
        <v>Direct</v>
      </c>
    </row>
    <row r="198" spans="1:7" x14ac:dyDescent="0.25">
      <c r="A198" s="1" t="s">
        <v>324</v>
      </c>
      <c r="B198" s="1">
        <v>349</v>
      </c>
      <c r="C198" s="1">
        <v>14</v>
      </c>
      <c r="D198" s="1">
        <v>2</v>
      </c>
      <c r="E198" s="1">
        <v>1</v>
      </c>
      <c r="F198" t="s">
        <v>1623</v>
      </c>
      <c r="G198" s="1" t="str">
        <f>_xlfn.XLOOKUP(engagement[[#This Row],[SessionID]],session_data[SessionID],session_data[Traffic Source])</f>
        <v>Direct</v>
      </c>
    </row>
    <row r="199" spans="1:7" x14ac:dyDescent="0.25">
      <c r="A199" s="1" t="s">
        <v>326</v>
      </c>
      <c r="B199" s="1">
        <v>148</v>
      </c>
      <c r="C199" s="1">
        <v>6</v>
      </c>
      <c r="D199" s="1">
        <v>2</v>
      </c>
      <c r="E199" s="1">
        <v>1</v>
      </c>
      <c r="F199" t="s">
        <v>1623</v>
      </c>
      <c r="G199" s="1" t="str">
        <f>_xlfn.XLOOKUP(engagement[[#This Row],[SessionID]],session_data[SessionID],session_data[Traffic Source])</f>
        <v>Direct</v>
      </c>
    </row>
    <row r="200" spans="1:7" x14ac:dyDescent="0.25">
      <c r="A200" s="1" t="s">
        <v>327</v>
      </c>
      <c r="B200" s="1">
        <v>358</v>
      </c>
      <c r="C200" s="1">
        <v>14</v>
      </c>
      <c r="D200" s="1">
        <v>4</v>
      </c>
      <c r="E200" s="1">
        <v>1</v>
      </c>
      <c r="F200" t="s">
        <v>1623</v>
      </c>
      <c r="G200" s="1" t="str">
        <f>_xlfn.XLOOKUP(engagement[[#This Row],[SessionID]],session_data[SessionID],session_data[Traffic Source])</f>
        <v>Social Media</v>
      </c>
    </row>
    <row r="201" spans="1:7" x14ac:dyDescent="0.25">
      <c r="A201" s="1" t="s">
        <v>329</v>
      </c>
      <c r="B201" s="1">
        <v>72</v>
      </c>
      <c r="C201" s="1">
        <v>4</v>
      </c>
      <c r="D201" s="1">
        <v>4</v>
      </c>
      <c r="E201" s="1">
        <v>0</v>
      </c>
      <c r="F201" t="s">
        <v>1626</v>
      </c>
      <c r="G201" s="1" t="str">
        <f>_xlfn.XLOOKUP(engagement[[#This Row],[SessionID]],session_data[SessionID],session_data[Traffic Source])</f>
        <v>Social Media</v>
      </c>
    </row>
    <row r="202" spans="1:7" x14ac:dyDescent="0.25">
      <c r="A202" s="1" t="s">
        <v>330</v>
      </c>
      <c r="B202" s="1">
        <v>120</v>
      </c>
      <c r="C202" s="1">
        <v>5</v>
      </c>
      <c r="D202" s="1">
        <v>4</v>
      </c>
      <c r="E202" s="1">
        <v>0</v>
      </c>
      <c r="F202" t="s">
        <v>1626</v>
      </c>
      <c r="G202" s="1" t="str">
        <f>_xlfn.XLOOKUP(engagement[[#This Row],[SessionID]],session_data[SessionID],session_data[Traffic Source])</f>
        <v>Organic Search</v>
      </c>
    </row>
    <row r="203" spans="1:7" x14ac:dyDescent="0.25">
      <c r="A203" s="1" t="s">
        <v>332</v>
      </c>
      <c r="B203" s="1">
        <v>39</v>
      </c>
      <c r="C203" s="1">
        <v>5</v>
      </c>
      <c r="D203" s="1">
        <v>5</v>
      </c>
      <c r="E203" s="1">
        <v>1</v>
      </c>
      <c r="F203" t="s">
        <v>1623</v>
      </c>
      <c r="G203" s="1" t="str">
        <f>_xlfn.XLOOKUP(engagement[[#This Row],[SessionID]],session_data[SessionID],session_data[Traffic Source])</f>
        <v>Organic Search</v>
      </c>
    </row>
    <row r="204" spans="1:7" x14ac:dyDescent="0.25">
      <c r="A204" s="1" t="s">
        <v>333</v>
      </c>
      <c r="B204" s="1">
        <v>74</v>
      </c>
      <c r="C204" s="1">
        <v>4</v>
      </c>
      <c r="D204" s="1">
        <v>4</v>
      </c>
      <c r="E204" s="1">
        <v>0</v>
      </c>
      <c r="F204" t="s">
        <v>1625</v>
      </c>
      <c r="G204" s="1" t="str">
        <f>_xlfn.XLOOKUP(engagement[[#This Row],[SessionID]],session_data[SessionID],session_data[Traffic Source])</f>
        <v>Direct</v>
      </c>
    </row>
    <row r="205" spans="1:7" x14ac:dyDescent="0.25">
      <c r="A205" s="1" t="s">
        <v>335</v>
      </c>
      <c r="B205" s="1">
        <v>173</v>
      </c>
      <c r="C205" s="1">
        <v>7</v>
      </c>
      <c r="D205" s="1">
        <v>5</v>
      </c>
      <c r="E205" s="1">
        <v>1</v>
      </c>
      <c r="F205" t="s">
        <v>1623</v>
      </c>
      <c r="G205" s="1" t="str">
        <f>_xlfn.XLOOKUP(engagement[[#This Row],[SessionID]],session_data[SessionID],session_data[Traffic Source])</f>
        <v>Direct</v>
      </c>
    </row>
    <row r="206" spans="1:7" x14ac:dyDescent="0.25">
      <c r="A206" s="1" t="s">
        <v>337</v>
      </c>
      <c r="B206" s="1">
        <v>164</v>
      </c>
      <c r="C206" s="1">
        <v>6</v>
      </c>
      <c r="D206" s="1">
        <v>4</v>
      </c>
      <c r="E206" s="1">
        <v>1</v>
      </c>
      <c r="F206" t="s">
        <v>1623</v>
      </c>
      <c r="G206" s="1" t="str">
        <f>_xlfn.XLOOKUP(engagement[[#This Row],[SessionID]],session_data[SessionID],session_data[Traffic Source])</f>
        <v>Organic Search</v>
      </c>
    </row>
    <row r="207" spans="1:7" x14ac:dyDescent="0.25">
      <c r="A207" s="1" t="s">
        <v>339</v>
      </c>
      <c r="B207" s="1">
        <v>84</v>
      </c>
      <c r="C207" s="1">
        <v>5</v>
      </c>
      <c r="D207" s="1">
        <v>5</v>
      </c>
      <c r="E207" s="1">
        <v>1</v>
      </c>
      <c r="F207" t="s">
        <v>1623</v>
      </c>
      <c r="G207" s="1" t="str">
        <f>_xlfn.XLOOKUP(engagement[[#This Row],[SessionID]],session_data[SessionID],session_data[Traffic Source])</f>
        <v>Organic Search</v>
      </c>
    </row>
    <row r="208" spans="1:7" x14ac:dyDescent="0.25">
      <c r="A208" s="1" t="s">
        <v>341</v>
      </c>
      <c r="B208" s="1">
        <v>150</v>
      </c>
      <c r="C208" s="1">
        <v>6</v>
      </c>
      <c r="D208" s="1">
        <v>4</v>
      </c>
      <c r="E208" s="1">
        <v>0</v>
      </c>
      <c r="F208" t="s">
        <v>1626</v>
      </c>
      <c r="G208" s="1" t="str">
        <f>_xlfn.XLOOKUP(engagement[[#This Row],[SessionID]],session_data[SessionID],session_data[Traffic Source])</f>
        <v>Organic Search</v>
      </c>
    </row>
    <row r="209" spans="1:7" x14ac:dyDescent="0.25">
      <c r="A209" s="1" t="s">
        <v>342</v>
      </c>
      <c r="B209" s="1">
        <v>208</v>
      </c>
      <c r="C209" s="1">
        <v>8</v>
      </c>
      <c r="D209" s="1">
        <v>4</v>
      </c>
      <c r="E209" s="1">
        <v>0</v>
      </c>
      <c r="F209" t="s">
        <v>1624</v>
      </c>
      <c r="G209" s="1" t="str">
        <f>_xlfn.XLOOKUP(engagement[[#This Row],[SessionID]],session_data[SessionID],session_data[Traffic Source])</f>
        <v>Referral</v>
      </c>
    </row>
    <row r="210" spans="1:7" x14ac:dyDescent="0.25">
      <c r="A210" s="1" t="s">
        <v>344</v>
      </c>
      <c r="B210" s="1">
        <v>18</v>
      </c>
      <c r="C210" s="1">
        <v>2</v>
      </c>
      <c r="D210" s="1">
        <v>2</v>
      </c>
      <c r="E210" s="1">
        <v>0</v>
      </c>
      <c r="F210" t="s">
        <v>1626</v>
      </c>
      <c r="G210" s="1" t="str">
        <f>_xlfn.XLOOKUP(engagement[[#This Row],[SessionID]],session_data[SessionID],session_data[Traffic Source])</f>
        <v>Organic Search</v>
      </c>
    </row>
    <row r="211" spans="1:7" x14ac:dyDescent="0.25">
      <c r="A211" s="1" t="s">
        <v>346</v>
      </c>
      <c r="B211" s="1">
        <v>174</v>
      </c>
      <c r="C211" s="1">
        <v>7</v>
      </c>
      <c r="D211" s="1">
        <v>4</v>
      </c>
      <c r="E211" s="1">
        <v>0</v>
      </c>
      <c r="F211" t="s">
        <v>1625</v>
      </c>
      <c r="G211" s="1" t="str">
        <f>_xlfn.XLOOKUP(engagement[[#This Row],[SessionID]],session_data[SessionID],session_data[Traffic Source])</f>
        <v>Organic Search</v>
      </c>
    </row>
    <row r="212" spans="1:7" x14ac:dyDescent="0.25">
      <c r="A212" s="1" t="s">
        <v>347</v>
      </c>
      <c r="B212" s="1">
        <v>338</v>
      </c>
      <c r="C212" s="1">
        <v>14</v>
      </c>
      <c r="D212" s="1">
        <v>4</v>
      </c>
      <c r="E212" s="1">
        <v>0</v>
      </c>
      <c r="F212" t="s">
        <v>1624</v>
      </c>
      <c r="G212" s="1" t="str">
        <f>_xlfn.XLOOKUP(engagement[[#This Row],[SessionID]],session_data[SessionID],session_data[Traffic Source])</f>
        <v>Social Media</v>
      </c>
    </row>
    <row r="213" spans="1:7" x14ac:dyDescent="0.25">
      <c r="A213" s="1" t="s">
        <v>349</v>
      </c>
      <c r="B213" s="1">
        <v>41</v>
      </c>
      <c r="C213" s="1">
        <v>5</v>
      </c>
      <c r="D213" s="1">
        <v>5</v>
      </c>
      <c r="E213" s="1">
        <v>1</v>
      </c>
      <c r="F213" t="s">
        <v>1623</v>
      </c>
      <c r="G213" s="1" t="str">
        <f>_xlfn.XLOOKUP(engagement[[#This Row],[SessionID]],session_data[SessionID],session_data[Traffic Source])</f>
        <v>Social Media</v>
      </c>
    </row>
    <row r="214" spans="1:7" x14ac:dyDescent="0.25">
      <c r="A214" s="1" t="s">
        <v>350</v>
      </c>
      <c r="B214" s="1">
        <v>287</v>
      </c>
      <c r="C214" s="1">
        <v>11</v>
      </c>
      <c r="D214" s="1">
        <v>5</v>
      </c>
      <c r="E214" s="1">
        <v>1</v>
      </c>
      <c r="F214" t="s">
        <v>1623</v>
      </c>
      <c r="G214" s="1" t="str">
        <f>_xlfn.XLOOKUP(engagement[[#This Row],[SessionID]],session_data[SessionID],session_data[Traffic Source])</f>
        <v>Social Media</v>
      </c>
    </row>
    <row r="215" spans="1:7" x14ac:dyDescent="0.25">
      <c r="A215" s="1" t="s">
        <v>351</v>
      </c>
      <c r="B215" s="1">
        <v>201</v>
      </c>
      <c r="C215" s="1">
        <v>8</v>
      </c>
      <c r="D215" s="1">
        <v>5</v>
      </c>
      <c r="E215" s="1">
        <v>1</v>
      </c>
      <c r="F215" t="s">
        <v>1623</v>
      </c>
      <c r="G215" s="1" t="str">
        <f>_xlfn.XLOOKUP(engagement[[#This Row],[SessionID]],session_data[SessionID],session_data[Traffic Source])</f>
        <v>Social Media</v>
      </c>
    </row>
    <row r="216" spans="1:7" x14ac:dyDescent="0.25">
      <c r="A216" s="1" t="s">
        <v>352</v>
      </c>
      <c r="B216" s="1">
        <v>336</v>
      </c>
      <c r="C216" s="1">
        <v>13</v>
      </c>
      <c r="D216" s="1">
        <v>5</v>
      </c>
      <c r="E216" s="1">
        <v>1</v>
      </c>
      <c r="F216" t="s">
        <v>1623</v>
      </c>
      <c r="G216" s="1" t="str">
        <f>_xlfn.XLOOKUP(engagement[[#This Row],[SessionID]],session_data[SessionID],session_data[Traffic Source])</f>
        <v>Social Media</v>
      </c>
    </row>
    <row r="217" spans="1:7" x14ac:dyDescent="0.25">
      <c r="A217" s="1" t="s">
        <v>354</v>
      </c>
      <c r="B217" s="1">
        <v>222</v>
      </c>
      <c r="C217" s="1">
        <v>9</v>
      </c>
      <c r="D217" s="1">
        <v>3</v>
      </c>
      <c r="E217" s="1">
        <v>1</v>
      </c>
      <c r="F217" t="s">
        <v>1623</v>
      </c>
      <c r="G217" s="1" t="str">
        <f>_xlfn.XLOOKUP(engagement[[#This Row],[SessionID]],session_data[SessionID],session_data[Traffic Source])</f>
        <v>Organic Search</v>
      </c>
    </row>
    <row r="218" spans="1:7" x14ac:dyDescent="0.25">
      <c r="A218" s="1" t="s">
        <v>356</v>
      </c>
      <c r="B218" s="1">
        <v>252</v>
      </c>
      <c r="C218" s="1">
        <v>10</v>
      </c>
      <c r="D218" s="1">
        <v>3</v>
      </c>
      <c r="E218" s="1">
        <v>1</v>
      </c>
      <c r="F218" t="s">
        <v>1623</v>
      </c>
      <c r="G218" s="1" t="str">
        <f>_xlfn.XLOOKUP(engagement[[#This Row],[SessionID]],session_data[SessionID],session_data[Traffic Source])</f>
        <v>Organic Search</v>
      </c>
    </row>
    <row r="219" spans="1:7" x14ac:dyDescent="0.25">
      <c r="A219" s="1" t="s">
        <v>357</v>
      </c>
      <c r="B219" s="1">
        <v>45</v>
      </c>
      <c r="C219" s="1">
        <v>3</v>
      </c>
      <c r="D219" s="1">
        <v>3</v>
      </c>
      <c r="E219" s="1">
        <v>0</v>
      </c>
      <c r="F219" t="s">
        <v>1626</v>
      </c>
      <c r="G219" s="1" t="str">
        <f>_xlfn.XLOOKUP(engagement[[#This Row],[SessionID]],session_data[SessionID],session_data[Traffic Source])</f>
        <v>Organic Search</v>
      </c>
    </row>
    <row r="220" spans="1:7" x14ac:dyDescent="0.25">
      <c r="A220" s="1" t="s">
        <v>359</v>
      </c>
      <c r="B220" s="1">
        <v>160</v>
      </c>
      <c r="C220" s="1">
        <v>6</v>
      </c>
      <c r="D220" s="1">
        <v>3</v>
      </c>
      <c r="E220" s="1">
        <v>1</v>
      </c>
      <c r="F220" t="s">
        <v>1623</v>
      </c>
      <c r="G220" s="1" t="str">
        <f>_xlfn.XLOOKUP(engagement[[#This Row],[SessionID]],session_data[SessionID],session_data[Traffic Source])</f>
        <v>Organic Search</v>
      </c>
    </row>
    <row r="221" spans="1:7" x14ac:dyDescent="0.25">
      <c r="A221" s="1" t="s">
        <v>360</v>
      </c>
      <c r="B221" s="1">
        <v>135</v>
      </c>
      <c r="C221" s="1">
        <v>5</v>
      </c>
      <c r="D221" s="1">
        <v>3</v>
      </c>
      <c r="E221" s="1">
        <v>1</v>
      </c>
      <c r="F221" t="s">
        <v>1623</v>
      </c>
      <c r="G221" s="1" t="str">
        <f>_xlfn.XLOOKUP(engagement[[#This Row],[SessionID]],session_data[SessionID],session_data[Traffic Source])</f>
        <v>Organic Search</v>
      </c>
    </row>
    <row r="222" spans="1:7" x14ac:dyDescent="0.25">
      <c r="A222" s="1" t="s">
        <v>361</v>
      </c>
      <c r="B222" s="1">
        <v>45</v>
      </c>
      <c r="C222" s="1">
        <v>5</v>
      </c>
      <c r="D222" s="1">
        <v>4</v>
      </c>
      <c r="E222" s="1">
        <v>0</v>
      </c>
      <c r="F222" t="s">
        <v>1626</v>
      </c>
      <c r="G222" s="1" t="str">
        <f>_xlfn.XLOOKUP(engagement[[#This Row],[SessionID]],session_data[SessionID],session_data[Traffic Source])</f>
        <v>Direct</v>
      </c>
    </row>
    <row r="223" spans="1:7" x14ac:dyDescent="0.25">
      <c r="A223" s="1" t="s">
        <v>363</v>
      </c>
      <c r="B223" s="1">
        <v>189</v>
      </c>
      <c r="C223" s="1">
        <v>8</v>
      </c>
      <c r="D223" s="1">
        <v>4</v>
      </c>
      <c r="E223" s="1">
        <v>0</v>
      </c>
      <c r="F223" t="s">
        <v>1625</v>
      </c>
      <c r="G223" s="1" t="str">
        <f>_xlfn.XLOOKUP(engagement[[#This Row],[SessionID]],session_data[SessionID],session_data[Traffic Source])</f>
        <v>Paid Ads</v>
      </c>
    </row>
    <row r="224" spans="1:7" x14ac:dyDescent="0.25">
      <c r="A224" s="1" t="s">
        <v>365</v>
      </c>
      <c r="B224" s="1">
        <v>294</v>
      </c>
      <c r="C224" s="1">
        <v>12</v>
      </c>
      <c r="D224" s="1">
        <v>1</v>
      </c>
      <c r="E224" s="1">
        <v>1</v>
      </c>
      <c r="F224" t="s">
        <v>1623</v>
      </c>
      <c r="G224" s="1" t="str">
        <f>_xlfn.XLOOKUP(engagement[[#This Row],[SessionID]],session_data[SessionID],session_data[Traffic Source])</f>
        <v>Organic Search</v>
      </c>
    </row>
    <row r="225" spans="1:7" x14ac:dyDescent="0.25">
      <c r="A225" s="1" t="s">
        <v>367</v>
      </c>
      <c r="B225" s="1">
        <v>218</v>
      </c>
      <c r="C225" s="1">
        <v>8</v>
      </c>
      <c r="D225" s="1">
        <v>1</v>
      </c>
      <c r="E225" s="1">
        <v>0</v>
      </c>
      <c r="F225" t="s">
        <v>1626</v>
      </c>
      <c r="G225" s="1" t="str">
        <f>_xlfn.XLOOKUP(engagement[[#This Row],[SessionID]],session_data[SessionID],session_data[Traffic Source])</f>
        <v>Paid Ads</v>
      </c>
    </row>
    <row r="226" spans="1:7" x14ac:dyDescent="0.25">
      <c r="A226" s="1" t="s">
        <v>369</v>
      </c>
      <c r="B226" s="1">
        <v>21</v>
      </c>
      <c r="C226" s="1">
        <v>4</v>
      </c>
      <c r="D226" s="1">
        <v>4</v>
      </c>
      <c r="E226" s="1">
        <v>0</v>
      </c>
      <c r="F226" t="s">
        <v>1625</v>
      </c>
      <c r="G226" s="1" t="str">
        <f>_xlfn.XLOOKUP(engagement[[#This Row],[SessionID]],session_data[SessionID],session_data[Traffic Source])</f>
        <v>Organic Search</v>
      </c>
    </row>
    <row r="227" spans="1:7" x14ac:dyDescent="0.25">
      <c r="A227" s="1" t="s">
        <v>371</v>
      </c>
      <c r="B227" s="1">
        <v>174</v>
      </c>
      <c r="C227" s="1">
        <v>7</v>
      </c>
      <c r="D227" s="1">
        <v>2</v>
      </c>
      <c r="E227" s="1">
        <v>1</v>
      </c>
      <c r="F227" t="s">
        <v>1623</v>
      </c>
      <c r="G227" s="1" t="str">
        <f>_xlfn.XLOOKUP(engagement[[#This Row],[SessionID]],session_data[SessionID],session_data[Traffic Source])</f>
        <v>Organic Search</v>
      </c>
    </row>
    <row r="228" spans="1:7" x14ac:dyDescent="0.25">
      <c r="A228" s="1" t="s">
        <v>372</v>
      </c>
      <c r="B228" s="1">
        <v>82</v>
      </c>
      <c r="C228" s="1">
        <v>3</v>
      </c>
      <c r="D228" s="1">
        <v>2</v>
      </c>
      <c r="E228" s="1">
        <v>0</v>
      </c>
      <c r="F228" t="s">
        <v>1626</v>
      </c>
      <c r="G228" s="1" t="str">
        <f>_xlfn.XLOOKUP(engagement[[#This Row],[SessionID]],session_data[SessionID],session_data[Traffic Source])</f>
        <v>Organic Search</v>
      </c>
    </row>
    <row r="229" spans="1:7" x14ac:dyDescent="0.25">
      <c r="A229" s="1" t="s">
        <v>373</v>
      </c>
      <c r="B229" s="1">
        <v>179</v>
      </c>
      <c r="C229" s="1">
        <v>7</v>
      </c>
      <c r="D229" s="1">
        <v>3</v>
      </c>
      <c r="E229" s="1">
        <v>0</v>
      </c>
      <c r="F229" t="s">
        <v>1624</v>
      </c>
      <c r="G229" s="1" t="str">
        <f>_xlfn.XLOOKUP(engagement[[#This Row],[SessionID]],session_data[SessionID],session_data[Traffic Source])</f>
        <v>Organic Search</v>
      </c>
    </row>
    <row r="230" spans="1:7" x14ac:dyDescent="0.25">
      <c r="A230" s="1" t="s">
        <v>374</v>
      </c>
      <c r="B230" s="1">
        <v>25</v>
      </c>
      <c r="C230" s="1">
        <v>5</v>
      </c>
      <c r="D230" s="1">
        <v>4</v>
      </c>
      <c r="E230" s="1">
        <v>0</v>
      </c>
      <c r="F230" t="s">
        <v>1625</v>
      </c>
      <c r="G230" s="1" t="str">
        <f>_xlfn.XLOOKUP(engagement[[#This Row],[SessionID]],session_data[SessionID],session_data[Traffic Source])</f>
        <v>Referral</v>
      </c>
    </row>
    <row r="231" spans="1:7" x14ac:dyDescent="0.25">
      <c r="A231" s="1" t="s">
        <v>376</v>
      </c>
      <c r="B231" s="1">
        <v>208</v>
      </c>
      <c r="C231" s="1">
        <v>9</v>
      </c>
      <c r="D231" s="1">
        <v>4</v>
      </c>
      <c r="E231" s="1">
        <v>0</v>
      </c>
      <c r="F231" t="s">
        <v>1626</v>
      </c>
      <c r="G231" s="1" t="str">
        <f>_xlfn.XLOOKUP(engagement[[#This Row],[SessionID]],session_data[SessionID],session_data[Traffic Source])</f>
        <v>Referral</v>
      </c>
    </row>
    <row r="232" spans="1:7" x14ac:dyDescent="0.25">
      <c r="A232" s="1" t="s">
        <v>377</v>
      </c>
      <c r="B232" s="1">
        <v>315</v>
      </c>
      <c r="C232" s="1">
        <v>12</v>
      </c>
      <c r="D232" s="1">
        <v>5</v>
      </c>
      <c r="E232" s="1">
        <v>1</v>
      </c>
      <c r="F232" t="s">
        <v>1623</v>
      </c>
      <c r="G232" s="1" t="str">
        <f>_xlfn.XLOOKUP(engagement[[#This Row],[SessionID]],session_data[SessionID],session_data[Traffic Source])</f>
        <v>Referral</v>
      </c>
    </row>
    <row r="233" spans="1:7" x14ac:dyDescent="0.25">
      <c r="A233" s="1" t="s">
        <v>378</v>
      </c>
      <c r="B233" s="1">
        <v>111</v>
      </c>
      <c r="C233" s="1">
        <v>4</v>
      </c>
      <c r="D233" s="1">
        <v>4</v>
      </c>
      <c r="E233" s="1">
        <v>0</v>
      </c>
      <c r="F233" t="s">
        <v>1625</v>
      </c>
      <c r="G233" s="1" t="str">
        <f>_xlfn.XLOOKUP(engagement[[#This Row],[SessionID]],session_data[SessionID],session_data[Traffic Source])</f>
        <v>Referral</v>
      </c>
    </row>
    <row r="234" spans="1:7" x14ac:dyDescent="0.25">
      <c r="A234" s="1" t="s">
        <v>380</v>
      </c>
      <c r="B234" s="1">
        <v>324</v>
      </c>
      <c r="C234" s="1">
        <v>13</v>
      </c>
      <c r="D234" s="1">
        <v>3</v>
      </c>
      <c r="E234" s="1">
        <v>1</v>
      </c>
      <c r="F234" t="s">
        <v>1623</v>
      </c>
      <c r="G234" s="1" t="str">
        <f>_xlfn.XLOOKUP(engagement[[#This Row],[SessionID]],session_data[SessionID],session_data[Traffic Source])</f>
        <v>Referral</v>
      </c>
    </row>
    <row r="235" spans="1:7" x14ac:dyDescent="0.25">
      <c r="A235" s="1" t="s">
        <v>381</v>
      </c>
      <c r="B235" s="1">
        <v>206</v>
      </c>
      <c r="C235" s="1">
        <v>9</v>
      </c>
      <c r="D235" s="1">
        <v>4</v>
      </c>
      <c r="E235" s="1">
        <v>1</v>
      </c>
      <c r="F235" t="s">
        <v>1623</v>
      </c>
      <c r="G235" s="1" t="str">
        <f>_xlfn.XLOOKUP(engagement[[#This Row],[SessionID]],session_data[SessionID],session_data[Traffic Source])</f>
        <v>Organic Search</v>
      </c>
    </row>
    <row r="236" spans="1:7" x14ac:dyDescent="0.25">
      <c r="A236" s="1" t="s">
        <v>383</v>
      </c>
      <c r="B236" s="1">
        <v>134</v>
      </c>
      <c r="C236" s="1">
        <v>5</v>
      </c>
      <c r="D236" s="1">
        <v>4</v>
      </c>
      <c r="E236" s="1">
        <v>0</v>
      </c>
      <c r="F236" t="s">
        <v>1626</v>
      </c>
      <c r="G236" s="1" t="str">
        <f>_xlfn.XLOOKUP(engagement[[#This Row],[SessionID]],session_data[SessionID],session_data[Traffic Source])</f>
        <v>Organic Search</v>
      </c>
    </row>
    <row r="237" spans="1:7" x14ac:dyDescent="0.25">
      <c r="A237" s="1" t="s">
        <v>384</v>
      </c>
      <c r="B237" s="1">
        <v>97</v>
      </c>
      <c r="C237" s="1">
        <v>4</v>
      </c>
      <c r="D237" s="1">
        <v>4</v>
      </c>
      <c r="E237" s="1">
        <v>0</v>
      </c>
      <c r="F237" t="s">
        <v>1626</v>
      </c>
      <c r="G237" s="1" t="str">
        <f>_xlfn.XLOOKUP(engagement[[#This Row],[SessionID]],session_data[SessionID],session_data[Traffic Source])</f>
        <v>Organic Search</v>
      </c>
    </row>
    <row r="238" spans="1:7" x14ac:dyDescent="0.25">
      <c r="A238" s="1" t="s">
        <v>385</v>
      </c>
      <c r="B238" s="1">
        <v>300</v>
      </c>
      <c r="C238" s="1">
        <v>12</v>
      </c>
      <c r="D238" s="1">
        <v>4</v>
      </c>
      <c r="E238" s="1">
        <v>0</v>
      </c>
      <c r="F238" t="s">
        <v>1625</v>
      </c>
      <c r="G238" s="1" t="str">
        <f>_xlfn.XLOOKUP(engagement[[#This Row],[SessionID]],session_data[SessionID],session_data[Traffic Source])</f>
        <v>Organic Search</v>
      </c>
    </row>
    <row r="239" spans="1:7" x14ac:dyDescent="0.25">
      <c r="A239" s="1" t="s">
        <v>386</v>
      </c>
      <c r="B239" s="1">
        <v>323</v>
      </c>
      <c r="C239" s="1">
        <v>13</v>
      </c>
      <c r="D239" s="1">
        <v>4</v>
      </c>
      <c r="E239" s="1">
        <v>1</v>
      </c>
      <c r="F239" t="s">
        <v>1623</v>
      </c>
      <c r="G239" s="1" t="str">
        <f>_xlfn.XLOOKUP(engagement[[#This Row],[SessionID]],session_data[SessionID],session_data[Traffic Source])</f>
        <v>Direct</v>
      </c>
    </row>
    <row r="240" spans="1:7" x14ac:dyDescent="0.25">
      <c r="A240" s="1" t="s">
        <v>388</v>
      </c>
      <c r="B240" s="1">
        <v>302</v>
      </c>
      <c r="C240" s="1">
        <v>12</v>
      </c>
      <c r="D240" s="1">
        <v>4</v>
      </c>
      <c r="E240" s="1">
        <v>0</v>
      </c>
      <c r="F240" t="s">
        <v>1626</v>
      </c>
      <c r="G240" s="1" t="str">
        <f>_xlfn.XLOOKUP(engagement[[#This Row],[SessionID]],session_data[SessionID],session_data[Traffic Source])</f>
        <v>Direct</v>
      </c>
    </row>
    <row r="241" spans="1:7" x14ac:dyDescent="0.25">
      <c r="A241" s="1" t="s">
        <v>389</v>
      </c>
      <c r="B241" s="1">
        <v>174</v>
      </c>
      <c r="C241" s="1">
        <v>8</v>
      </c>
      <c r="D241" s="1">
        <v>4</v>
      </c>
      <c r="E241" s="1">
        <v>1</v>
      </c>
      <c r="F241" t="s">
        <v>1623</v>
      </c>
      <c r="G241" s="1" t="str">
        <f>_xlfn.XLOOKUP(engagement[[#This Row],[SessionID]],session_data[SessionID],session_data[Traffic Source])</f>
        <v>Direct</v>
      </c>
    </row>
    <row r="242" spans="1:7" x14ac:dyDescent="0.25">
      <c r="A242" s="1" t="s">
        <v>390</v>
      </c>
      <c r="B242" s="1">
        <v>252</v>
      </c>
      <c r="C242" s="1">
        <v>10</v>
      </c>
      <c r="D242" s="1">
        <v>3</v>
      </c>
      <c r="E242" s="1">
        <v>1</v>
      </c>
      <c r="F242" t="s">
        <v>1623</v>
      </c>
      <c r="G242" s="1" t="str">
        <f>_xlfn.XLOOKUP(engagement[[#This Row],[SessionID]],session_data[SessionID],session_data[Traffic Source])</f>
        <v>Organic Search</v>
      </c>
    </row>
    <row r="243" spans="1:7" x14ac:dyDescent="0.25">
      <c r="A243" s="1" t="s">
        <v>392</v>
      </c>
      <c r="B243" s="1">
        <v>23</v>
      </c>
      <c r="C243" s="1">
        <v>4</v>
      </c>
      <c r="D243" s="1">
        <v>4</v>
      </c>
      <c r="E243" s="1">
        <v>0</v>
      </c>
      <c r="F243" t="s">
        <v>1625</v>
      </c>
      <c r="G243" s="1" t="str">
        <f>_xlfn.XLOOKUP(engagement[[#This Row],[SessionID]],session_data[SessionID],session_data[Traffic Source])</f>
        <v>Direct</v>
      </c>
    </row>
    <row r="244" spans="1:7" x14ac:dyDescent="0.25">
      <c r="A244" s="1" t="s">
        <v>394</v>
      </c>
      <c r="B244" s="1">
        <v>334</v>
      </c>
      <c r="C244" s="1">
        <v>13</v>
      </c>
      <c r="D244" s="1">
        <v>4</v>
      </c>
      <c r="E244" s="1">
        <v>0</v>
      </c>
      <c r="F244" t="s">
        <v>1625</v>
      </c>
      <c r="G244" s="1" t="str">
        <f>_xlfn.XLOOKUP(engagement[[#This Row],[SessionID]],session_data[SessionID],session_data[Traffic Source])</f>
        <v>Direct</v>
      </c>
    </row>
    <row r="245" spans="1:7" x14ac:dyDescent="0.25">
      <c r="A245" s="1" t="s">
        <v>395</v>
      </c>
      <c r="B245" s="1">
        <v>193</v>
      </c>
      <c r="C245" s="1">
        <v>8</v>
      </c>
      <c r="D245" s="1">
        <v>4</v>
      </c>
      <c r="E245" s="1">
        <v>0</v>
      </c>
      <c r="F245" t="s">
        <v>1625</v>
      </c>
      <c r="G245" s="1" t="str">
        <f>_xlfn.XLOOKUP(engagement[[#This Row],[SessionID]],session_data[SessionID],session_data[Traffic Source])</f>
        <v>Direct</v>
      </c>
    </row>
    <row r="246" spans="1:7" x14ac:dyDescent="0.25">
      <c r="A246" s="1" t="s">
        <v>396</v>
      </c>
      <c r="B246" s="1">
        <v>323</v>
      </c>
      <c r="C246" s="1">
        <v>13</v>
      </c>
      <c r="D246" s="1">
        <v>4</v>
      </c>
      <c r="E246" s="1">
        <v>0</v>
      </c>
      <c r="F246" t="s">
        <v>1625</v>
      </c>
      <c r="G246" s="1" t="str">
        <f>_xlfn.XLOOKUP(engagement[[#This Row],[SessionID]],session_data[SessionID],session_data[Traffic Source])</f>
        <v>Direct</v>
      </c>
    </row>
    <row r="247" spans="1:7" x14ac:dyDescent="0.25">
      <c r="A247" s="1" t="s">
        <v>397</v>
      </c>
      <c r="B247" s="1">
        <v>105</v>
      </c>
      <c r="C247" s="1">
        <v>4</v>
      </c>
      <c r="D247" s="1">
        <v>4</v>
      </c>
      <c r="E247" s="1">
        <v>0</v>
      </c>
      <c r="F247" t="s">
        <v>1625</v>
      </c>
      <c r="G247" s="1" t="str">
        <f>_xlfn.XLOOKUP(engagement[[#This Row],[SessionID]],session_data[SessionID],session_data[Traffic Source])</f>
        <v>Social Media</v>
      </c>
    </row>
    <row r="248" spans="1:7" x14ac:dyDescent="0.25">
      <c r="A248" s="1" t="s">
        <v>399</v>
      </c>
      <c r="B248" s="1">
        <v>87</v>
      </c>
      <c r="C248" s="1">
        <v>4</v>
      </c>
      <c r="D248" s="1">
        <v>4</v>
      </c>
      <c r="E248" s="1">
        <v>0</v>
      </c>
      <c r="F248" t="s">
        <v>1625</v>
      </c>
      <c r="G248" s="1" t="str">
        <f>_xlfn.XLOOKUP(engagement[[#This Row],[SessionID]],session_data[SessionID],session_data[Traffic Source])</f>
        <v>Social Media</v>
      </c>
    </row>
    <row r="249" spans="1:7" x14ac:dyDescent="0.25">
      <c r="A249" s="1" t="s">
        <v>400</v>
      </c>
      <c r="B249" s="1">
        <v>166</v>
      </c>
      <c r="C249" s="1">
        <v>7</v>
      </c>
      <c r="D249" s="1">
        <v>3</v>
      </c>
      <c r="E249" s="1">
        <v>1</v>
      </c>
      <c r="F249" t="s">
        <v>1623</v>
      </c>
      <c r="G249" s="1" t="str">
        <f>_xlfn.XLOOKUP(engagement[[#This Row],[SessionID]],session_data[SessionID],session_data[Traffic Source])</f>
        <v>Paid Ads</v>
      </c>
    </row>
    <row r="250" spans="1:7" x14ac:dyDescent="0.25">
      <c r="A250" s="1" t="s">
        <v>402</v>
      </c>
      <c r="B250" s="1">
        <v>86</v>
      </c>
      <c r="C250" s="1">
        <v>4</v>
      </c>
      <c r="D250" s="1">
        <v>4</v>
      </c>
      <c r="E250" s="1">
        <v>0</v>
      </c>
      <c r="F250" t="s">
        <v>1625</v>
      </c>
      <c r="G250" s="1" t="str">
        <f>_xlfn.XLOOKUP(engagement[[#This Row],[SessionID]],session_data[SessionID],session_data[Traffic Source])</f>
        <v>Paid Ads</v>
      </c>
    </row>
    <row r="251" spans="1:7" x14ac:dyDescent="0.25">
      <c r="A251" s="1" t="s">
        <v>403</v>
      </c>
      <c r="B251" s="1">
        <v>175</v>
      </c>
      <c r="C251" s="1">
        <v>6</v>
      </c>
      <c r="D251" s="1">
        <v>3</v>
      </c>
      <c r="E251" s="1">
        <v>0</v>
      </c>
      <c r="F251" t="s">
        <v>1624</v>
      </c>
      <c r="G251" s="1" t="str">
        <f>_xlfn.XLOOKUP(engagement[[#This Row],[SessionID]],session_data[SessionID],session_data[Traffic Source])</f>
        <v>Paid Ads</v>
      </c>
    </row>
    <row r="252" spans="1:7" x14ac:dyDescent="0.25">
      <c r="A252" s="1" t="s">
        <v>404</v>
      </c>
      <c r="B252" s="1">
        <v>44</v>
      </c>
      <c r="C252" s="1">
        <v>5</v>
      </c>
      <c r="D252" s="1">
        <v>4</v>
      </c>
      <c r="E252" s="1">
        <v>0</v>
      </c>
      <c r="F252" t="s">
        <v>1626</v>
      </c>
      <c r="G252" s="1" t="str">
        <f>_xlfn.XLOOKUP(engagement[[#This Row],[SessionID]],session_data[SessionID],session_data[Traffic Source])</f>
        <v>Organic Search</v>
      </c>
    </row>
    <row r="253" spans="1:7" x14ac:dyDescent="0.25">
      <c r="A253" s="1" t="s">
        <v>406</v>
      </c>
      <c r="B253" s="1">
        <v>350</v>
      </c>
      <c r="C253" s="1">
        <v>14</v>
      </c>
      <c r="D253" s="1">
        <v>4</v>
      </c>
      <c r="E253" s="1">
        <v>0</v>
      </c>
      <c r="F253" t="s">
        <v>1625</v>
      </c>
      <c r="G253" s="1" t="str">
        <f>_xlfn.XLOOKUP(engagement[[#This Row],[SessionID]],session_data[SessionID],session_data[Traffic Source])</f>
        <v>Organic Search</v>
      </c>
    </row>
    <row r="254" spans="1:7" x14ac:dyDescent="0.25">
      <c r="A254" s="1" t="s">
        <v>407</v>
      </c>
      <c r="B254" s="1">
        <v>285</v>
      </c>
      <c r="C254" s="1">
        <v>12</v>
      </c>
      <c r="D254" s="1">
        <v>5</v>
      </c>
      <c r="E254" s="1">
        <v>1</v>
      </c>
      <c r="F254" t="s">
        <v>1623</v>
      </c>
      <c r="G254" s="1" t="str">
        <f>_xlfn.XLOOKUP(engagement[[#This Row],[SessionID]],session_data[SessionID],session_data[Traffic Source])</f>
        <v>Organic Search</v>
      </c>
    </row>
    <row r="255" spans="1:7" x14ac:dyDescent="0.25">
      <c r="A255" s="1" t="s">
        <v>408</v>
      </c>
      <c r="B255" s="1">
        <v>342</v>
      </c>
      <c r="C255" s="1">
        <v>13</v>
      </c>
      <c r="D255" s="1">
        <v>4</v>
      </c>
      <c r="E255" s="1">
        <v>0</v>
      </c>
      <c r="F255" t="s">
        <v>1624</v>
      </c>
      <c r="G255" s="1" t="str">
        <f>_xlfn.XLOOKUP(engagement[[#This Row],[SessionID]],session_data[SessionID],session_data[Traffic Source])</f>
        <v>Organic Search</v>
      </c>
    </row>
    <row r="256" spans="1:7" x14ac:dyDescent="0.25">
      <c r="A256" s="1" t="s">
        <v>409</v>
      </c>
      <c r="B256" s="1">
        <v>61</v>
      </c>
      <c r="C256" s="1">
        <v>5</v>
      </c>
      <c r="D256" s="1">
        <v>4</v>
      </c>
      <c r="E256" s="1">
        <v>0</v>
      </c>
      <c r="F256" t="s">
        <v>1626</v>
      </c>
      <c r="G256" s="1" t="str">
        <f>_xlfn.XLOOKUP(engagement[[#This Row],[SessionID]],session_data[SessionID],session_data[Traffic Source])</f>
        <v>Organic Search</v>
      </c>
    </row>
    <row r="257" spans="1:7" x14ac:dyDescent="0.25">
      <c r="A257" s="1" t="s">
        <v>411</v>
      </c>
      <c r="B257" s="1">
        <v>288</v>
      </c>
      <c r="C257" s="1">
        <v>11</v>
      </c>
      <c r="D257" s="1">
        <v>5</v>
      </c>
      <c r="E257" s="1">
        <v>1</v>
      </c>
      <c r="F257" t="s">
        <v>1623</v>
      </c>
      <c r="G257" s="1" t="str">
        <f>_xlfn.XLOOKUP(engagement[[#This Row],[SessionID]],session_data[SessionID],session_data[Traffic Source])</f>
        <v>Direct</v>
      </c>
    </row>
    <row r="258" spans="1:7" x14ac:dyDescent="0.25">
      <c r="A258" s="1" t="s">
        <v>413</v>
      </c>
      <c r="B258" s="1">
        <v>104</v>
      </c>
      <c r="C258" s="1">
        <v>5</v>
      </c>
      <c r="D258" s="1">
        <v>5</v>
      </c>
      <c r="E258" s="1">
        <v>1</v>
      </c>
      <c r="F258" t="s">
        <v>1623</v>
      </c>
      <c r="G258" s="1" t="str">
        <f>_xlfn.XLOOKUP(engagement[[#This Row],[SessionID]],session_data[SessionID],session_data[Traffic Source])</f>
        <v>Social Media</v>
      </c>
    </row>
    <row r="259" spans="1:7" x14ac:dyDescent="0.25">
      <c r="A259" s="1" t="s">
        <v>415</v>
      </c>
      <c r="B259" s="1">
        <v>116</v>
      </c>
      <c r="C259" s="1">
        <v>5</v>
      </c>
      <c r="D259" s="1">
        <v>4</v>
      </c>
      <c r="E259" s="1">
        <v>0</v>
      </c>
      <c r="F259" t="s">
        <v>1622</v>
      </c>
      <c r="G259" s="1" t="str">
        <f>_xlfn.XLOOKUP(engagement[[#This Row],[SessionID]],session_data[SessionID],session_data[Traffic Source])</f>
        <v>Social Media</v>
      </c>
    </row>
    <row r="260" spans="1:7" x14ac:dyDescent="0.25">
      <c r="A260" s="1" t="s">
        <v>417</v>
      </c>
      <c r="B260" s="1">
        <v>249</v>
      </c>
      <c r="C260" s="1">
        <v>10</v>
      </c>
      <c r="D260" s="1">
        <v>4</v>
      </c>
      <c r="E260" s="1">
        <v>0</v>
      </c>
      <c r="F260" t="s">
        <v>1622</v>
      </c>
      <c r="G260" s="1" t="str">
        <f>_xlfn.XLOOKUP(engagement[[#This Row],[SessionID]],session_data[SessionID],session_data[Traffic Source])</f>
        <v>Social Media</v>
      </c>
    </row>
    <row r="261" spans="1:7" x14ac:dyDescent="0.25">
      <c r="A261" s="1" t="s">
        <v>418</v>
      </c>
      <c r="B261" s="1">
        <v>154</v>
      </c>
      <c r="C261" s="1">
        <v>6</v>
      </c>
      <c r="D261" s="1">
        <v>4</v>
      </c>
      <c r="E261" s="1">
        <v>0</v>
      </c>
      <c r="F261" t="s">
        <v>1626</v>
      </c>
      <c r="G261" s="1" t="str">
        <f>_xlfn.XLOOKUP(engagement[[#This Row],[SessionID]],session_data[SessionID],session_data[Traffic Source])</f>
        <v>Organic Search</v>
      </c>
    </row>
    <row r="262" spans="1:7" x14ac:dyDescent="0.25">
      <c r="A262" s="1" t="s">
        <v>420</v>
      </c>
      <c r="B262" s="1">
        <v>53</v>
      </c>
      <c r="C262" s="1">
        <v>5</v>
      </c>
      <c r="D262" s="1">
        <v>4</v>
      </c>
      <c r="E262" s="1">
        <v>0</v>
      </c>
      <c r="F262" t="s">
        <v>1625</v>
      </c>
      <c r="G262" s="1" t="str">
        <f>_xlfn.XLOOKUP(engagement[[#This Row],[SessionID]],session_data[SessionID],session_data[Traffic Source])</f>
        <v>Organic Search</v>
      </c>
    </row>
    <row r="263" spans="1:7" x14ac:dyDescent="0.25">
      <c r="A263" s="1" t="s">
        <v>421</v>
      </c>
      <c r="B263" s="1">
        <v>335</v>
      </c>
      <c r="C263" s="1">
        <v>13</v>
      </c>
      <c r="D263" s="1">
        <v>4</v>
      </c>
      <c r="E263" s="1">
        <v>0</v>
      </c>
      <c r="F263" t="s">
        <v>1625</v>
      </c>
      <c r="G263" s="1" t="str">
        <f>_xlfn.XLOOKUP(engagement[[#This Row],[SessionID]],session_data[SessionID],session_data[Traffic Source])</f>
        <v>Organic Search</v>
      </c>
    </row>
    <row r="264" spans="1:7" x14ac:dyDescent="0.25">
      <c r="A264" s="1" t="s">
        <v>422</v>
      </c>
      <c r="B264" s="1">
        <v>326</v>
      </c>
      <c r="C264" s="1">
        <v>13</v>
      </c>
      <c r="D264" s="1">
        <v>4</v>
      </c>
      <c r="E264" s="1">
        <v>1</v>
      </c>
      <c r="F264" t="s">
        <v>1623</v>
      </c>
      <c r="G264" s="1" t="str">
        <f>_xlfn.XLOOKUP(engagement[[#This Row],[SessionID]],session_data[SessionID],session_data[Traffic Source])</f>
        <v>Social Media</v>
      </c>
    </row>
    <row r="265" spans="1:7" x14ac:dyDescent="0.25">
      <c r="A265" s="1" t="s">
        <v>424</v>
      </c>
      <c r="B265" s="1">
        <v>133</v>
      </c>
      <c r="C265" s="1">
        <v>5</v>
      </c>
      <c r="D265" s="1">
        <v>4</v>
      </c>
      <c r="E265" s="1">
        <v>1</v>
      </c>
      <c r="F265" t="s">
        <v>1623</v>
      </c>
      <c r="G265" s="1" t="str">
        <f>_xlfn.XLOOKUP(engagement[[#This Row],[SessionID]],session_data[SessionID],session_data[Traffic Source])</f>
        <v>Social Media</v>
      </c>
    </row>
    <row r="266" spans="1:7" x14ac:dyDescent="0.25">
      <c r="A266" s="1" t="s">
        <v>425</v>
      </c>
      <c r="B266" s="1">
        <v>99</v>
      </c>
      <c r="C266" s="1">
        <v>4</v>
      </c>
      <c r="D266" s="1">
        <v>4</v>
      </c>
      <c r="E266" s="1">
        <v>0</v>
      </c>
      <c r="F266" t="s">
        <v>1622</v>
      </c>
      <c r="G266" s="1" t="str">
        <f>_xlfn.XLOOKUP(engagement[[#This Row],[SessionID]],session_data[SessionID],session_data[Traffic Source])</f>
        <v>Social Media</v>
      </c>
    </row>
    <row r="267" spans="1:7" x14ac:dyDescent="0.25">
      <c r="A267" s="1" t="s">
        <v>426</v>
      </c>
      <c r="B267" s="1">
        <v>264</v>
      </c>
      <c r="C267" s="1">
        <v>11</v>
      </c>
      <c r="D267" s="1">
        <v>4</v>
      </c>
      <c r="E267" s="1">
        <v>0</v>
      </c>
      <c r="F267" t="s">
        <v>1626</v>
      </c>
      <c r="G267" s="1" t="str">
        <f>_xlfn.XLOOKUP(engagement[[#This Row],[SessionID]],session_data[SessionID],session_data[Traffic Source])</f>
        <v>Social Media</v>
      </c>
    </row>
    <row r="268" spans="1:7" x14ac:dyDescent="0.25">
      <c r="A268" s="1" t="s">
        <v>427</v>
      </c>
      <c r="B268" s="1">
        <v>221</v>
      </c>
      <c r="C268" s="1">
        <v>9</v>
      </c>
      <c r="D268" s="1">
        <v>1</v>
      </c>
      <c r="E268" s="1">
        <v>1</v>
      </c>
      <c r="F268" t="s">
        <v>1623</v>
      </c>
      <c r="G268" s="1" t="str">
        <f>_xlfn.XLOOKUP(engagement[[#This Row],[SessionID]],session_data[SessionID],session_data[Traffic Source])</f>
        <v>Referral</v>
      </c>
    </row>
    <row r="269" spans="1:7" x14ac:dyDescent="0.25">
      <c r="A269" s="1" t="s">
        <v>429</v>
      </c>
      <c r="B269" s="1">
        <v>10</v>
      </c>
      <c r="C269" s="1">
        <v>4</v>
      </c>
      <c r="D269" s="1">
        <v>4</v>
      </c>
      <c r="E269" s="1">
        <v>0</v>
      </c>
      <c r="F269" t="s">
        <v>1626</v>
      </c>
      <c r="G269" s="1" t="str">
        <f>_xlfn.XLOOKUP(engagement[[#This Row],[SessionID]],session_data[SessionID],session_data[Traffic Source])</f>
        <v>Referral</v>
      </c>
    </row>
    <row r="270" spans="1:7" x14ac:dyDescent="0.25">
      <c r="A270" s="1" t="s">
        <v>431</v>
      </c>
      <c r="B270" s="1">
        <v>238</v>
      </c>
      <c r="C270" s="1">
        <v>9</v>
      </c>
      <c r="D270" s="1">
        <v>4</v>
      </c>
      <c r="E270" s="1">
        <v>1</v>
      </c>
      <c r="F270" t="s">
        <v>1623</v>
      </c>
      <c r="G270" s="1" t="str">
        <f>_xlfn.XLOOKUP(engagement[[#This Row],[SessionID]],session_data[SessionID],session_data[Traffic Source])</f>
        <v>Referral</v>
      </c>
    </row>
    <row r="271" spans="1:7" x14ac:dyDescent="0.25">
      <c r="A271" s="1" t="s">
        <v>432</v>
      </c>
      <c r="B271" s="1">
        <v>89</v>
      </c>
      <c r="C271" s="1">
        <v>5</v>
      </c>
      <c r="D271" s="1">
        <v>4</v>
      </c>
      <c r="E271" s="1">
        <v>0</v>
      </c>
      <c r="F271" t="s">
        <v>1626</v>
      </c>
      <c r="G271" s="1" t="str">
        <f>_xlfn.XLOOKUP(engagement[[#This Row],[SessionID]],session_data[SessionID],session_data[Traffic Source])</f>
        <v>Social Media</v>
      </c>
    </row>
    <row r="272" spans="1:7" x14ac:dyDescent="0.25">
      <c r="A272" s="1" t="s">
        <v>434</v>
      </c>
      <c r="B272" s="1">
        <v>67</v>
      </c>
      <c r="C272" s="1">
        <v>5</v>
      </c>
      <c r="D272" s="1">
        <v>4</v>
      </c>
      <c r="E272" s="1">
        <v>0</v>
      </c>
      <c r="F272" t="s">
        <v>1625</v>
      </c>
      <c r="G272" s="1" t="str">
        <f>_xlfn.XLOOKUP(engagement[[#This Row],[SessionID]],session_data[SessionID],session_data[Traffic Source])</f>
        <v>Social Media</v>
      </c>
    </row>
    <row r="273" spans="1:7" x14ac:dyDescent="0.25">
      <c r="A273" s="1" t="s">
        <v>435</v>
      </c>
      <c r="B273" s="1">
        <v>304</v>
      </c>
      <c r="C273" s="1">
        <v>12</v>
      </c>
      <c r="D273" s="1">
        <v>3</v>
      </c>
      <c r="E273" s="1">
        <v>0</v>
      </c>
      <c r="F273" t="s">
        <v>1626</v>
      </c>
      <c r="G273" s="1" t="str">
        <f>_xlfn.XLOOKUP(engagement[[#This Row],[SessionID]],session_data[SessionID],session_data[Traffic Source])</f>
        <v>Paid Ads</v>
      </c>
    </row>
    <row r="274" spans="1:7" x14ac:dyDescent="0.25">
      <c r="A274" s="1" t="s">
        <v>437</v>
      </c>
      <c r="B274" s="1">
        <v>110</v>
      </c>
      <c r="C274" s="1">
        <v>5</v>
      </c>
      <c r="D274" s="1">
        <v>4</v>
      </c>
      <c r="E274" s="1">
        <v>0</v>
      </c>
      <c r="F274" t="s">
        <v>1622</v>
      </c>
      <c r="G274" s="1" t="str">
        <f>_xlfn.XLOOKUP(engagement[[#This Row],[SessionID]],session_data[SessionID],session_data[Traffic Source])</f>
        <v>Referral</v>
      </c>
    </row>
    <row r="275" spans="1:7" x14ac:dyDescent="0.25">
      <c r="A275" s="1" t="s">
        <v>439</v>
      </c>
      <c r="B275" s="1">
        <v>228</v>
      </c>
      <c r="C275" s="1">
        <v>9</v>
      </c>
      <c r="D275" s="1">
        <v>1</v>
      </c>
      <c r="E275" s="1">
        <v>0</v>
      </c>
      <c r="F275" t="s">
        <v>1622</v>
      </c>
      <c r="G275" s="1" t="str">
        <f>_xlfn.XLOOKUP(engagement[[#This Row],[SessionID]],session_data[SessionID],session_data[Traffic Source])</f>
        <v>Social Media</v>
      </c>
    </row>
    <row r="276" spans="1:7" x14ac:dyDescent="0.25">
      <c r="A276" s="1" t="s">
        <v>441</v>
      </c>
      <c r="B276" s="1">
        <v>27</v>
      </c>
      <c r="C276" s="1">
        <v>5</v>
      </c>
      <c r="D276" s="1">
        <v>5</v>
      </c>
      <c r="E276" s="1">
        <v>1</v>
      </c>
      <c r="F276" t="s">
        <v>1623</v>
      </c>
      <c r="G276" s="1" t="str">
        <f>_xlfn.XLOOKUP(engagement[[#This Row],[SessionID]],session_data[SessionID],session_data[Traffic Source])</f>
        <v>Direct</v>
      </c>
    </row>
    <row r="277" spans="1:7" x14ac:dyDescent="0.25">
      <c r="A277" s="1" t="s">
        <v>443</v>
      </c>
      <c r="B277" s="1">
        <v>59</v>
      </c>
      <c r="C277" s="1">
        <v>5</v>
      </c>
      <c r="D277" s="1">
        <v>4</v>
      </c>
      <c r="E277" s="1">
        <v>0</v>
      </c>
      <c r="F277" t="s">
        <v>1625</v>
      </c>
      <c r="G277" s="1" t="str">
        <f>_xlfn.XLOOKUP(engagement[[#This Row],[SessionID]],session_data[SessionID],session_data[Traffic Source])</f>
        <v>Direct</v>
      </c>
    </row>
    <row r="278" spans="1:7" x14ac:dyDescent="0.25">
      <c r="A278" s="1" t="s">
        <v>444</v>
      </c>
      <c r="B278" s="1">
        <v>67</v>
      </c>
      <c r="C278" s="1">
        <v>5</v>
      </c>
      <c r="D278" s="1">
        <v>4</v>
      </c>
      <c r="E278" s="1">
        <v>0</v>
      </c>
      <c r="F278" t="s">
        <v>1622</v>
      </c>
      <c r="G278" s="1" t="str">
        <f>_xlfn.XLOOKUP(engagement[[#This Row],[SessionID]],session_data[SessionID],session_data[Traffic Source])</f>
        <v>Direct</v>
      </c>
    </row>
    <row r="279" spans="1:7" x14ac:dyDescent="0.25">
      <c r="A279" s="1" t="s">
        <v>445</v>
      </c>
      <c r="B279" s="1">
        <v>270</v>
      </c>
      <c r="C279" s="1">
        <v>11</v>
      </c>
      <c r="D279" s="1">
        <v>4</v>
      </c>
      <c r="E279" s="1">
        <v>0</v>
      </c>
      <c r="F279" t="s">
        <v>1625</v>
      </c>
      <c r="G279" s="1" t="str">
        <f>_xlfn.XLOOKUP(engagement[[#This Row],[SessionID]],session_data[SessionID],session_data[Traffic Source])</f>
        <v>Direct</v>
      </c>
    </row>
    <row r="280" spans="1:7" x14ac:dyDescent="0.25">
      <c r="A280" s="1" t="s">
        <v>446</v>
      </c>
      <c r="B280" s="1">
        <v>37</v>
      </c>
      <c r="C280" s="1">
        <v>5</v>
      </c>
      <c r="D280" s="1">
        <v>4</v>
      </c>
      <c r="E280" s="1">
        <v>0</v>
      </c>
      <c r="F280" t="s">
        <v>1626</v>
      </c>
      <c r="G280" s="1" t="str">
        <f>_xlfn.XLOOKUP(engagement[[#This Row],[SessionID]],session_data[SessionID],session_data[Traffic Source])</f>
        <v>Direct</v>
      </c>
    </row>
    <row r="281" spans="1:7" x14ac:dyDescent="0.25">
      <c r="A281" s="1" t="s">
        <v>448</v>
      </c>
      <c r="B281" s="1">
        <v>322</v>
      </c>
      <c r="C281" s="1">
        <v>12</v>
      </c>
      <c r="D281" s="1">
        <v>4</v>
      </c>
      <c r="E281" s="1">
        <v>0</v>
      </c>
      <c r="F281" t="s">
        <v>1626</v>
      </c>
      <c r="G281" s="1" t="str">
        <f>_xlfn.XLOOKUP(engagement[[#This Row],[SessionID]],session_data[SessionID],session_data[Traffic Source])</f>
        <v>Organic Search</v>
      </c>
    </row>
    <row r="282" spans="1:7" x14ac:dyDescent="0.25">
      <c r="A282" s="1" t="s">
        <v>450</v>
      </c>
      <c r="B282" s="1">
        <v>338</v>
      </c>
      <c r="C282" s="1">
        <v>13</v>
      </c>
      <c r="D282" s="1">
        <v>4</v>
      </c>
      <c r="E282" s="1">
        <v>0</v>
      </c>
      <c r="F282" t="s">
        <v>1626</v>
      </c>
      <c r="G282" s="1" t="str">
        <f>_xlfn.XLOOKUP(engagement[[#This Row],[SessionID]],session_data[SessionID],session_data[Traffic Source])</f>
        <v>Organic Search</v>
      </c>
    </row>
    <row r="283" spans="1:7" x14ac:dyDescent="0.25">
      <c r="A283" s="1" t="s">
        <v>451</v>
      </c>
      <c r="B283" s="1">
        <v>150</v>
      </c>
      <c r="C283" s="1">
        <v>6</v>
      </c>
      <c r="D283" s="1">
        <v>5</v>
      </c>
      <c r="E283" s="1">
        <v>1</v>
      </c>
      <c r="F283" t="s">
        <v>1623</v>
      </c>
      <c r="G283" s="1" t="str">
        <f>_xlfn.XLOOKUP(engagement[[#This Row],[SessionID]],session_data[SessionID],session_data[Traffic Source])</f>
        <v>Direct</v>
      </c>
    </row>
    <row r="284" spans="1:7" x14ac:dyDescent="0.25">
      <c r="A284" s="1" t="s">
        <v>453</v>
      </c>
      <c r="B284" s="1">
        <v>236</v>
      </c>
      <c r="C284" s="1">
        <v>9</v>
      </c>
      <c r="D284" s="1">
        <v>4</v>
      </c>
      <c r="E284" s="1">
        <v>0</v>
      </c>
      <c r="F284" t="s">
        <v>1626</v>
      </c>
      <c r="G284" s="1" t="str">
        <f>_xlfn.XLOOKUP(engagement[[#This Row],[SessionID]],session_data[SessionID],session_data[Traffic Source])</f>
        <v>Direct</v>
      </c>
    </row>
    <row r="285" spans="1:7" x14ac:dyDescent="0.25">
      <c r="A285" s="1" t="s">
        <v>454</v>
      </c>
      <c r="B285" s="1">
        <v>289</v>
      </c>
      <c r="C285" s="1">
        <v>12</v>
      </c>
      <c r="D285" s="1">
        <v>4</v>
      </c>
      <c r="E285" s="1">
        <v>0</v>
      </c>
      <c r="F285" t="s">
        <v>1626</v>
      </c>
      <c r="G285" s="1" t="str">
        <f>_xlfn.XLOOKUP(engagement[[#This Row],[SessionID]],session_data[SessionID],session_data[Traffic Source])</f>
        <v>Direct</v>
      </c>
    </row>
    <row r="286" spans="1:7" x14ac:dyDescent="0.25">
      <c r="A286" s="1" t="s">
        <v>455</v>
      </c>
      <c r="B286" s="1">
        <v>23</v>
      </c>
      <c r="C286" s="1">
        <v>5</v>
      </c>
      <c r="D286" s="1">
        <v>5</v>
      </c>
      <c r="E286" s="1">
        <v>1</v>
      </c>
      <c r="F286" t="s">
        <v>1623</v>
      </c>
      <c r="G286" s="1" t="str">
        <f>_xlfn.XLOOKUP(engagement[[#This Row],[SessionID]],session_data[SessionID],session_data[Traffic Source])</f>
        <v>Direct</v>
      </c>
    </row>
    <row r="287" spans="1:7" x14ac:dyDescent="0.25">
      <c r="A287" s="1" t="s">
        <v>457</v>
      </c>
      <c r="B287" s="1">
        <v>126</v>
      </c>
      <c r="C287" s="1">
        <v>5</v>
      </c>
      <c r="D287" s="1">
        <v>4</v>
      </c>
      <c r="E287" s="1">
        <v>1</v>
      </c>
      <c r="F287" t="s">
        <v>1623</v>
      </c>
      <c r="G287" s="1" t="str">
        <f>_xlfn.XLOOKUP(engagement[[#This Row],[SessionID]],session_data[SessionID],session_data[Traffic Source])</f>
        <v>Direct</v>
      </c>
    </row>
    <row r="288" spans="1:7" x14ac:dyDescent="0.25">
      <c r="A288" s="1" t="s">
        <v>459</v>
      </c>
      <c r="B288" s="1">
        <v>37</v>
      </c>
      <c r="C288" s="1">
        <v>4</v>
      </c>
      <c r="D288" s="1">
        <v>4</v>
      </c>
      <c r="E288" s="1">
        <v>0</v>
      </c>
      <c r="F288" t="s">
        <v>1626</v>
      </c>
      <c r="G288" s="1" t="str">
        <f>_xlfn.XLOOKUP(engagement[[#This Row],[SessionID]],session_data[SessionID],session_data[Traffic Source])</f>
        <v>Direct</v>
      </c>
    </row>
    <row r="289" spans="1:7" x14ac:dyDescent="0.25">
      <c r="A289" s="1" t="s">
        <v>460</v>
      </c>
      <c r="B289" s="1">
        <v>46</v>
      </c>
      <c r="C289" s="1">
        <v>5</v>
      </c>
      <c r="D289" s="1">
        <v>5</v>
      </c>
      <c r="E289" s="1">
        <v>1</v>
      </c>
      <c r="F289" t="s">
        <v>1623</v>
      </c>
      <c r="G289" s="1" t="str">
        <f>_xlfn.XLOOKUP(engagement[[#This Row],[SessionID]],session_data[SessionID],session_data[Traffic Source])</f>
        <v>Direct</v>
      </c>
    </row>
    <row r="290" spans="1:7" x14ac:dyDescent="0.25">
      <c r="A290" s="1" t="s">
        <v>461</v>
      </c>
      <c r="B290" s="1">
        <v>328</v>
      </c>
      <c r="C290" s="1">
        <v>13</v>
      </c>
      <c r="D290" s="1">
        <v>4</v>
      </c>
      <c r="E290" s="1">
        <v>1</v>
      </c>
      <c r="F290" t="s">
        <v>1623</v>
      </c>
      <c r="G290" s="1" t="str">
        <f>_xlfn.XLOOKUP(engagement[[#This Row],[SessionID]],session_data[SessionID],session_data[Traffic Source])</f>
        <v>Direct</v>
      </c>
    </row>
    <row r="291" spans="1:7" x14ac:dyDescent="0.25">
      <c r="A291" s="1" t="s">
        <v>462</v>
      </c>
      <c r="B291" s="1">
        <v>138</v>
      </c>
      <c r="C291" s="1">
        <v>6</v>
      </c>
      <c r="D291" s="1">
        <v>4</v>
      </c>
      <c r="E291" s="1">
        <v>0</v>
      </c>
      <c r="F291" t="s">
        <v>1626</v>
      </c>
      <c r="G291" s="1" t="str">
        <f>_xlfn.XLOOKUP(engagement[[#This Row],[SessionID]],session_data[SessionID],session_data[Traffic Source])</f>
        <v>Direct</v>
      </c>
    </row>
    <row r="292" spans="1:7" x14ac:dyDescent="0.25">
      <c r="A292" s="1" t="s">
        <v>463</v>
      </c>
      <c r="B292" s="1">
        <v>170</v>
      </c>
      <c r="C292" s="1">
        <v>7</v>
      </c>
      <c r="D292" s="1">
        <v>3</v>
      </c>
      <c r="E292" s="1">
        <v>0</v>
      </c>
      <c r="F292" t="s">
        <v>1622</v>
      </c>
      <c r="G292" s="1" t="str">
        <f>_xlfn.XLOOKUP(engagement[[#This Row],[SessionID]],session_data[SessionID],session_data[Traffic Source])</f>
        <v>Organic Search</v>
      </c>
    </row>
    <row r="293" spans="1:7" x14ac:dyDescent="0.25">
      <c r="A293" s="1" t="s">
        <v>465</v>
      </c>
      <c r="B293" s="1">
        <v>311</v>
      </c>
      <c r="C293" s="1">
        <v>12</v>
      </c>
      <c r="D293" s="1">
        <v>3</v>
      </c>
      <c r="E293" s="1">
        <v>0</v>
      </c>
      <c r="F293" t="s">
        <v>1622</v>
      </c>
      <c r="G293" s="1" t="str">
        <f>_xlfn.XLOOKUP(engagement[[#This Row],[SessionID]],session_data[SessionID],session_data[Traffic Source])</f>
        <v>Organic Search</v>
      </c>
    </row>
    <row r="294" spans="1:7" x14ac:dyDescent="0.25">
      <c r="A294" s="1" t="s">
        <v>466</v>
      </c>
      <c r="B294" s="1">
        <v>119</v>
      </c>
      <c r="C294" s="1">
        <v>4</v>
      </c>
      <c r="D294" s="1">
        <v>3</v>
      </c>
      <c r="E294" s="1">
        <v>1</v>
      </c>
      <c r="F294" t="s">
        <v>1623</v>
      </c>
      <c r="G294" s="1" t="str">
        <f>_xlfn.XLOOKUP(engagement[[#This Row],[SessionID]],session_data[SessionID],session_data[Traffic Source])</f>
        <v>Organic Search</v>
      </c>
    </row>
    <row r="295" spans="1:7" x14ac:dyDescent="0.25">
      <c r="A295" s="1" t="s">
        <v>467</v>
      </c>
      <c r="B295" s="1">
        <v>135</v>
      </c>
      <c r="C295" s="1">
        <v>6</v>
      </c>
      <c r="D295" s="1">
        <v>3</v>
      </c>
      <c r="E295" s="1">
        <v>0</v>
      </c>
      <c r="F295" t="s">
        <v>1626</v>
      </c>
      <c r="G295" s="1" t="str">
        <f>_xlfn.XLOOKUP(engagement[[#This Row],[SessionID]],session_data[SessionID],session_data[Traffic Source])</f>
        <v>Organic Search</v>
      </c>
    </row>
    <row r="296" spans="1:7" x14ac:dyDescent="0.25">
      <c r="A296" s="1" t="s">
        <v>468</v>
      </c>
      <c r="B296" s="1">
        <v>251</v>
      </c>
      <c r="C296" s="1">
        <v>10</v>
      </c>
      <c r="D296" s="1">
        <v>3</v>
      </c>
      <c r="E296" s="1">
        <v>0</v>
      </c>
      <c r="F296" t="s">
        <v>1626</v>
      </c>
      <c r="G296" s="1" t="str">
        <f>_xlfn.XLOOKUP(engagement[[#This Row],[SessionID]],session_data[SessionID],session_data[Traffic Source])</f>
        <v>Organic Search</v>
      </c>
    </row>
    <row r="297" spans="1:7" x14ac:dyDescent="0.25">
      <c r="A297" s="1" t="s">
        <v>469</v>
      </c>
      <c r="B297" s="1">
        <v>161</v>
      </c>
      <c r="C297" s="1">
        <v>6</v>
      </c>
      <c r="D297" s="1">
        <v>4</v>
      </c>
      <c r="E297" s="1">
        <v>0</v>
      </c>
      <c r="F297" t="s">
        <v>1622</v>
      </c>
      <c r="G297" s="1" t="str">
        <f>_xlfn.XLOOKUP(engagement[[#This Row],[SessionID]],session_data[SessionID],session_data[Traffic Source])</f>
        <v>Organic Search</v>
      </c>
    </row>
    <row r="298" spans="1:7" x14ac:dyDescent="0.25">
      <c r="A298" s="1" t="s">
        <v>471</v>
      </c>
      <c r="B298" s="1">
        <v>267</v>
      </c>
      <c r="C298" s="1">
        <v>11</v>
      </c>
      <c r="D298" s="1">
        <v>2</v>
      </c>
      <c r="E298" s="1">
        <v>0</v>
      </c>
      <c r="F298" t="s">
        <v>1626</v>
      </c>
      <c r="G298" s="1" t="str">
        <f>_xlfn.XLOOKUP(engagement[[#This Row],[SessionID]],session_data[SessionID],session_data[Traffic Source])</f>
        <v>Organic Search</v>
      </c>
    </row>
    <row r="299" spans="1:7" x14ac:dyDescent="0.25">
      <c r="A299" s="1" t="s">
        <v>473</v>
      </c>
      <c r="B299" s="1">
        <v>43</v>
      </c>
      <c r="C299" s="1">
        <v>2</v>
      </c>
      <c r="D299" s="1">
        <v>2</v>
      </c>
      <c r="E299" s="1">
        <v>1</v>
      </c>
      <c r="F299" t="s">
        <v>1623</v>
      </c>
      <c r="G299" s="1" t="str">
        <f>_xlfn.XLOOKUP(engagement[[#This Row],[SessionID]],session_data[SessionID],session_data[Traffic Source])</f>
        <v>Organic Search</v>
      </c>
    </row>
    <row r="300" spans="1:7" x14ac:dyDescent="0.25">
      <c r="A300" s="1" t="s">
        <v>474</v>
      </c>
      <c r="B300" s="1">
        <v>75</v>
      </c>
      <c r="C300" s="1">
        <v>3</v>
      </c>
      <c r="D300" s="1">
        <v>1</v>
      </c>
      <c r="E300" s="1">
        <v>1</v>
      </c>
      <c r="F300" t="s">
        <v>1623</v>
      </c>
      <c r="G300" s="1" t="str">
        <f>_xlfn.XLOOKUP(engagement[[#This Row],[SessionID]],session_data[SessionID],session_data[Traffic Source])</f>
        <v>Paid Ads</v>
      </c>
    </row>
    <row r="301" spans="1:7" x14ac:dyDescent="0.25">
      <c r="A301" s="1" t="s">
        <v>476</v>
      </c>
      <c r="B301" s="1">
        <v>292</v>
      </c>
      <c r="C301" s="1">
        <v>12</v>
      </c>
      <c r="D301" s="1">
        <v>4</v>
      </c>
      <c r="E301" s="1">
        <v>1</v>
      </c>
      <c r="F301" t="s">
        <v>1623</v>
      </c>
      <c r="G301" s="1" t="str">
        <f>_xlfn.XLOOKUP(engagement[[#This Row],[SessionID]],session_data[SessionID],session_data[Traffic Source])</f>
        <v>Referral</v>
      </c>
    </row>
    <row r="302" spans="1:7" x14ac:dyDescent="0.25">
      <c r="A302" s="1" t="s">
        <v>478</v>
      </c>
      <c r="B302" s="1">
        <v>241</v>
      </c>
      <c r="C302" s="1">
        <v>10</v>
      </c>
      <c r="D302" s="1">
        <v>3</v>
      </c>
      <c r="E302" s="1">
        <v>0</v>
      </c>
      <c r="F302" t="s">
        <v>1626</v>
      </c>
      <c r="G302" s="1" t="str">
        <f>_xlfn.XLOOKUP(engagement[[#This Row],[SessionID]],session_data[SessionID],session_data[Traffic Source])</f>
        <v>Direct</v>
      </c>
    </row>
    <row r="303" spans="1:7" x14ac:dyDescent="0.25">
      <c r="A303" s="1" t="s">
        <v>480</v>
      </c>
      <c r="B303" s="1">
        <v>275</v>
      </c>
      <c r="C303" s="1">
        <v>11</v>
      </c>
      <c r="D303" s="1">
        <v>4</v>
      </c>
      <c r="E303" s="1">
        <v>0</v>
      </c>
      <c r="F303" t="s">
        <v>1626</v>
      </c>
      <c r="G303" s="1" t="str">
        <f>_xlfn.XLOOKUP(engagement[[#This Row],[SessionID]],session_data[SessionID],session_data[Traffic Source])</f>
        <v>Referral</v>
      </c>
    </row>
    <row r="304" spans="1:7" x14ac:dyDescent="0.25">
      <c r="A304" s="1" t="s">
        <v>482</v>
      </c>
      <c r="B304" s="1">
        <v>297</v>
      </c>
      <c r="C304" s="1">
        <v>12</v>
      </c>
      <c r="D304" s="1">
        <v>4</v>
      </c>
      <c r="E304" s="1">
        <v>0</v>
      </c>
      <c r="F304" t="s">
        <v>1626</v>
      </c>
      <c r="G304" s="1" t="str">
        <f>_xlfn.XLOOKUP(engagement[[#This Row],[SessionID]],session_data[SessionID],session_data[Traffic Source])</f>
        <v>Referral</v>
      </c>
    </row>
    <row r="305" spans="1:7" x14ac:dyDescent="0.25">
      <c r="A305" s="1" t="s">
        <v>483</v>
      </c>
      <c r="B305" s="1">
        <v>351</v>
      </c>
      <c r="C305" s="1">
        <v>14</v>
      </c>
      <c r="D305" s="1">
        <v>4</v>
      </c>
      <c r="E305" s="1">
        <v>0</v>
      </c>
      <c r="F305" t="s">
        <v>1626</v>
      </c>
      <c r="G305" s="1" t="str">
        <f>_xlfn.XLOOKUP(engagement[[#This Row],[SessionID]],session_data[SessionID],session_data[Traffic Source])</f>
        <v>Organic Search</v>
      </c>
    </row>
    <row r="306" spans="1:7" x14ac:dyDescent="0.25">
      <c r="A306" s="1" t="s">
        <v>485</v>
      </c>
      <c r="B306" s="1">
        <v>351</v>
      </c>
      <c r="C306" s="1">
        <v>14</v>
      </c>
      <c r="D306" s="1">
        <v>5</v>
      </c>
      <c r="E306" s="1">
        <v>1</v>
      </c>
      <c r="F306" t="s">
        <v>1623</v>
      </c>
      <c r="G306" s="1" t="str">
        <f>_xlfn.XLOOKUP(engagement[[#This Row],[SessionID]],session_data[SessionID],session_data[Traffic Source])</f>
        <v>Organic Search</v>
      </c>
    </row>
    <row r="307" spans="1:7" x14ac:dyDescent="0.25">
      <c r="A307" s="1" t="s">
        <v>486</v>
      </c>
      <c r="B307" s="1">
        <v>230</v>
      </c>
      <c r="C307" s="1">
        <v>9</v>
      </c>
      <c r="D307" s="1">
        <v>1</v>
      </c>
      <c r="E307" s="1">
        <v>0</v>
      </c>
      <c r="F307" t="s">
        <v>1622</v>
      </c>
      <c r="G307" s="1" t="str">
        <f>_xlfn.XLOOKUP(engagement[[#This Row],[SessionID]],session_data[SessionID],session_data[Traffic Source])</f>
        <v>Organic Search</v>
      </c>
    </row>
    <row r="308" spans="1:7" x14ac:dyDescent="0.25">
      <c r="A308" s="1" t="s">
        <v>488</v>
      </c>
      <c r="B308" s="1">
        <v>60</v>
      </c>
      <c r="C308" s="1">
        <v>5</v>
      </c>
      <c r="D308" s="1">
        <v>5</v>
      </c>
      <c r="E308" s="1">
        <v>1</v>
      </c>
      <c r="F308" t="s">
        <v>1623</v>
      </c>
      <c r="G308" s="1" t="str">
        <f>_xlfn.XLOOKUP(engagement[[#This Row],[SessionID]],session_data[SessionID],session_data[Traffic Source])</f>
        <v>Paid Ads</v>
      </c>
    </row>
    <row r="309" spans="1:7" x14ac:dyDescent="0.25">
      <c r="A309" s="1" t="s">
        <v>490</v>
      </c>
      <c r="B309" s="1">
        <v>65</v>
      </c>
      <c r="C309" s="1">
        <v>3</v>
      </c>
      <c r="D309" s="1">
        <v>3</v>
      </c>
      <c r="E309" s="1">
        <v>0</v>
      </c>
      <c r="F309" t="s">
        <v>1622</v>
      </c>
      <c r="G309" s="1" t="str">
        <f>_xlfn.XLOOKUP(engagement[[#This Row],[SessionID]],session_data[SessionID],session_data[Traffic Source])</f>
        <v>Organic Search</v>
      </c>
    </row>
    <row r="310" spans="1:7" x14ac:dyDescent="0.25">
      <c r="A310" s="1" t="s">
        <v>492</v>
      </c>
      <c r="B310" s="1">
        <v>354</v>
      </c>
      <c r="C310" s="1">
        <v>14</v>
      </c>
      <c r="D310" s="1">
        <v>3</v>
      </c>
      <c r="E310" s="1">
        <v>1</v>
      </c>
      <c r="F310" t="s">
        <v>1623</v>
      </c>
      <c r="G310" s="1" t="str">
        <f>_xlfn.XLOOKUP(engagement[[#This Row],[SessionID]],session_data[SessionID],session_data[Traffic Source])</f>
        <v>Organic Search</v>
      </c>
    </row>
    <row r="311" spans="1:7" x14ac:dyDescent="0.25">
      <c r="A311" s="1" t="s">
        <v>493</v>
      </c>
      <c r="B311" s="1">
        <v>259</v>
      </c>
      <c r="C311" s="1">
        <v>11</v>
      </c>
      <c r="D311" s="1">
        <v>3</v>
      </c>
      <c r="E311" s="1">
        <v>1</v>
      </c>
      <c r="F311" t="s">
        <v>1623</v>
      </c>
      <c r="G311" s="1" t="str">
        <f>_xlfn.XLOOKUP(engagement[[#This Row],[SessionID]],session_data[SessionID],session_data[Traffic Source])</f>
        <v>Organic Search</v>
      </c>
    </row>
    <row r="312" spans="1:7" x14ac:dyDescent="0.25">
      <c r="A312" s="1" t="s">
        <v>494</v>
      </c>
      <c r="B312" s="1">
        <v>303</v>
      </c>
      <c r="C312" s="1">
        <v>12</v>
      </c>
      <c r="D312" s="1">
        <v>3</v>
      </c>
      <c r="E312" s="1">
        <v>0</v>
      </c>
      <c r="F312" t="s">
        <v>1622</v>
      </c>
      <c r="G312" s="1" t="str">
        <f>_xlfn.XLOOKUP(engagement[[#This Row],[SessionID]],session_data[SessionID],session_data[Traffic Source])</f>
        <v>Organic Search</v>
      </c>
    </row>
    <row r="313" spans="1:7" x14ac:dyDescent="0.25">
      <c r="A313" s="1" t="s">
        <v>495</v>
      </c>
      <c r="B313" s="1">
        <v>320</v>
      </c>
      <c r="C313" s="1">
        <v>13</v>
      </c>
      <c r="D313" s="1">
        <v>2</v>
      </c>
      <c r="E313" s="1">
        <v>0</v>
      </c>
      <c r="F313" t="s">
        <v>1622</v>
      </c>
      <c r="G313" s="1" t="str">
        <f>_xlfn.XLOOKUP(engagement[[#This Row],[SessionID]],session_data[SessionID],session_data[Traffic Source])</f>
        <v>Paid Ads</v>
      </c>
    </row>
    <row r="314" spans="1:7" x14ac:dyDescent="0.25">
      <c r="A314" s="1" t="s">
        <v>497</v>
      </c>
      <c r="B314" s="1">
        <v>120</v>
      </c>
      <c r="C314" s="1">
        <v>4</v>
      </c>
      <c r="D314" s="1">
        <v>4</v>
      </c>
      <c r="E314" s="1">
        <v>0</v>
      </c>
      <c r="F314" t="s">
        <v>1622</v>
      </c>
      <c r="G314" s="1" t="str">
        <f>_xlfn.XLOOKUP(engagement[[#This Row],[SessionID]],session_data[SessionID],session_data[Traffic Source])</f>
        <v>Organic Search</v>
      </c>
    </row>
    <row r="315" spans="1:7" x14ac:dyDescent="0.25">
      <c r="A315" s="1" t="s">
        <v>499</v>
      </c>
      <c r="B315" s="1">
        <v>85</v>
      </c>
      <c r="C315" s="1">
        <v>4</v>
      </c>
      <c r="D315" s="1">
        <v>4</v>
      </c>
      <c r="E315" s="1">
        <v>1</v>
      </c>
      <c r="F315" t="s">
        <v>1623</v>
      </c>
      <c r="G315" s="1" t="str">
        <f>_xlfn.XLOOKUP(engagement[[#This Row],[SessionID]],session_data[SessionID],session_data[Traffic Source])</f>
        <v>Social Media</v>
      </c>
    </row>
    <row r="316" spans="1:7" x14ac:dyDescent="0.25">
      <c r="A316" s="1" t="s">
        <v>501</v>
      </c>
      <c r="B316" s="1">
        <v>12</v>
      </c>
      <c r="C316" s="1">
        <v>4</v>
      </c>
      <c r="D316" s="1">
        <v>4</v>
      </c>
      <c r="E316" s="1">
        <v>0</v>
      </c>
      <c r="F316" t="s">
        <v>1626</v>
      </c>
      <c r="G316" s="1" t="str">
        <f>_xlfn.XLOOKUP(engagement[[#This Row],[SessionID]],session_data[SessionID],session_data[Traffic Source])</f>
        <v>Social Media</v>
      </c>
    </row>
    <row r="317" spans="1:7" x14ac:dyDescent="0.25">
      <c r="A317" s="1" t="s">
        <v>502</v>
      </c>
      <c r="B317" s="1">
        <v>132</v>
      </c>
      <c r="C317" s="1">
        <v>5</v>
      </c>
      <c r="D317" s="1">
        <v>4</v>
      </c>
      <c r="E317" s="1">
        <v>0</v>
      </c>
      <c r="F317" t="s">
        <v>1622</v>
      </c>
      <c r="G317" s="1" t="str">
        <f>_xlfn.XLOOKUP(engagement[[#This Row],[SessionID]],session_data[SessionID],session_data[Traffic Source])</f>
        <v>Organic Search</v>
      </c>
    </row>
    <row r="318" spans="1:7" x14ac:dyDescent="0.25">
      <c r="A318" s="1" t="s">
        <v>504</v>
      </c>
      <c r="B318" s="1">
        <v>266</v>
      </c>
      <c r="C318" s="1">
        <v>10</v>
      </c>
      <c r="D318" s="1">
        <v>4</v>
      </c>
      <c r="E318" s="1">
        <v>0</v>
      </c>
      <c r="F318" t="s">
        <v>1622</v>
      </c>
      <c r="G318" s="1" t="str">
        <f>_xlfn.XLOOKUP(engagement[[#This Row],[SessionID]],session_data[SessionID],session_data[Traffic Source])</f>
        <v>Organic Search</v>
      </c>
    </row>
    <row r="319" spans="1:7" x14ac:dyDescent="0.25">
      <c r="A319" s="1" t="s">
        <v>505</v>
      </c>
      <c r="B319" s="1">
        <v>163</v>
      </c>
      <c r="C319" s="1">
        <v>7</v>
      </c>
      <c r="D319" s="1">
        <v>4</v>
      </c>
      <c r="E319" s="1">
        <v>0</v>
      </c>
      <c r="F319" t="s">
        <v>1622</v>
      </c>
      <c r="G319" s="1" t="str">
        <f>_xlfn.XLOOKUP(engagement[[#This Row],[SessionID]],session_data[SessionID],session_data[Traffic Source])</f>
        <v>Organic Search</v>
      </c>
    </row>
    <row r="320" spans="1:7" x14ac:dyDescent="0.25">
      <c r="A320" s="1" t="s">
        <v>506</v>
      </c>
      <c r="B320" s="1">
        <v>184</v>
      </c>
      <c r="C320" s="1">
        <v>7</v>
      </c>
      <c r="D320" s="1">
        <v>5</v>
      </c>
      <c r="E320" s="1">
        <v>1</v>
      </c>
      <c r="F320" t="s">
        <v>1623</v>
      </c>
      <c r="G320" s="1" t="str">
        <f>_xlfn.XLOOKUP(engagement[[#This Row],[SessionID]],session_data[SessionID],session_data[Traffic Source])</f>
        <v>Organic Search</v>
      </c>
    </row>
    <row r="321" spans="1:7" x14ac:dyDescent="0.25">
      <c r="A321" s="1" t="s">
        <v>507</v>
      </c>
      <c r="B321" s="1">
        <v>224</v>
      </c>
      <c r="C321" s="1">
        <v>9</v>
      </c>
      <c r="D321" s="1">
        <v>4</v>
      </c>
      <c r="E321" s="1">
        <v>0</v>
      </c>
      <c r="F321" t="s">
        <v>1622</v>
      </c>
      <c r="G321" s="1" t="str">
        <f>_xlfn.XLOOKUP(engagement[[#This Row],[SessionID]],session_data[SessionID],session_data[Traffic Source])</f>
        <v>Organic Search</v>
      </c>
    </row>
    <row r="322" spans="1:7" x14ac:dyDescent="0.25">
      <c r="A322" s="1" t="s">
        <v>508</v>
      </c>
      <c r="B322" s="1">
        <v>107</v>
      </c>
      <c r="C322" s="1">
        <v>5</v>
      </c>
      <c r="D322" s="1">
        <v>4</v>
      </c>
      <c r="E322" s="1">
        <v>0</v>
      </c>
      <c r="F322" t="s">
        <v>1626</v>
      </c>
      <c r="G322" s="1" t="str">
        <f>_xlfn.XLOOKUP(engagement[[#This Row],[SessionID]],session_data[SessionID],session_data[Traffic Source])</f>
        <v>Organic Search</v>
      </c>
    </row>
    <row r="323" spans="1:7" x14ac:dyDescent="0.25">
      <c r="A323" s="1" t="s">
        <v>510</v>
      </c>
      <c r="B323" s="1">
        <v>202</v>
      </c>
      <c r="C323" s="1">
        <v>9</v>
      </c>
      <c r="D323" s="1">
        <v>3</v>
      </c>
      <c r="E323" s="1">
        <v>0</v>
      </c>
      <c r="F323" t="s">
        <v>1626</v>
      </c>
      <c r="G323" s="1" t="str">
        <f>_xlfn.XLOOKUP(engagement[[#This Row],[SessionID]],session_data[SessionID],session_data[Traffic Source])</f>
        <v>Referral</v>
      </c>
    </row>
    <row r="324" spans="1:7" x14ac:dyDescent="0.25">
      <c r="A324" s="1" t="s">
        <v>512</v>
      </c>
      <c r="B324" s="1">
        <v>200</v>
      </c>
      <c r="C324" s="1">
        <v>8</v>
      </c>
      <c r="D324" s="1">
        <v>3</v>
      </c>
      <c r="E324" s="1">
        <v>0</v>
      </c>
      <c r="F324" t="s">
        <v>1622</v>
      </c>
      <c r="G324" s="1" t="str">
        <f>_xlfn.XLOOKUP(engagement[[#This Row],[SessionID]],session_data[SessionID],session_data[Traffic Source])</f>
        <v>Referral</v>
      </c>
    </row>
    <row r="325" spans="1:7" x14ac:dyDescent="0.25">
      <c r="A325" s="1" t="s">
        <v>513</v>
      </c>
      <c r="B325" s="1">
        <v>98</v>
      </c>
      <c r="C325" s="1">
        <v>4</v>
      </c>
      <c r="D325" s="1">
        <v>3</v>
      </c>
      <c r="E325" s="1">
        <v>1</v>
      </c>
      <c r="F325" t="s">
        <v>1623</v>
      </c>
      <c r="G325" s="1" t="str">
        <f>_xlfn.XLOOKUP(engagement[[#This Row],[SessionID]],session_data[SessionID],session_data[Traffic Source])</f>
        <v>Referral</v>
      </c>
    </row>
    <row r="326" spans="1:7" x14ac:dyDescent="0.25">
      <c r="A326" s="1" t="s">
        <v>514</v>
      </c>
      <c r="B326" s="1">
        <v>227</v>
      </c>
      <c r="C326" s="1">
        <v>9</v>
      </c>
      <c r="D326" s="1">
        <v>3</v>
      </c>
      <c r="E326" s="1">
        <v>0</v>
      </c>
      <c r="F326" t="s">
        <v>1622</v>
      </c>
      <c r="G326" s="1" t="str">
        <f>_xlfn.XLOOKUP(engagement[[#This Row],[SessionID]],session_data[SessionID],session_data[Traffic Source])</f>
        <v>Paid Ads</v>
      </c>
    </row>
    <row r="327" spans="1:7" x14ac:dyDescent="0.25">
      <c r="A327" s="1" t="s">
        <v>516</v>
      </c>
      <c r="B327" s="1">
        <v>271</v>
      </c>
      <c r="C327" s="1">
        <v>11</v>
      </c>
      <c r="D327" s="1">
        <v>3</v>
      </c>
      <c r="E327" s="1">
        <v>0</v>
      </c>
      <c r="F327" t="s">
        <v>1626</v>
      </c>
      <c r="G327" s="1" t="str">
        <f>_xlfn.XLOOKUP(engagement[[#This Row],[SessionID]],session_data[SessionID],session_data[Traffic Source])</f>
        <v>Paid Ads</v>
      </c>
    </row>
    <row r="328" spans="1:7" x14ac:dyDescent="0.25">
      <c r="A328" s="1" t="s">
        <v>517</v>
      </c>
      <c r="B328" s="1">
        <v>214</v>
      </c>
      <c r="C328" s="1">
        <v>8</v>
      </c>
      <c r="D328" s="1">
        <v>3</v>
      </c>
      <c r="E328" s="1">
        <v>0</v>
      </c>
      <c r="F328" t="s">
        <v>1622</v>
      </c>
      <c r="G328" s="1" t="str">
        <f>_xlfn.XLOOKUP(engagement[[#This Row],[SessionID]],session_data[SessionID],session_data[Traffic Source])</f>
        <v>Paid Ads</v>
      </c>
    </row>
    <row r="329" spans="1:7" x14ac:dyDescent="0.25">
      <c r="A329" s="1" t="s">
        <v>518</v>
      </c>
      <c r="B329" s="1">
        <v>209</v>
      </c>
      <c r="C329" s="1">
        <v>9</v>
      </c>
      <c r="D329" s="1">
        <v>4</v>
      </c>
      <c r="E329" s="1">
        <v>0</v>
      </c>
      <c r="F329" t="s">
        <v>1622</v>
      </c>
      <c r="G329" s="1" t="str">
        <f>_xlfn.XLOOKUP(engagement[[#This Row],[SessionID]],session_data[SessionID],session_data[Traffic Source])</f>
        <v>Referral</v>
      </c>
    </row>
    <row r="330" spans="1:7" x14ac:dyDescent="0.25">
      <c r="A330" s="1" t="s">
        <v>520</v>
      </c>
      <c r="B330" s="1">
        <v>198</v>
      </c>
      <c r="C330" s="1">
        <v>8</v>
      </c>
      <c r="D330" s="1">
        <v>4</v>
      </c>
      <c r="E330" s="1">
        <v>0</v>
      </c>
      <c r="F330" t="s">
        <v>1622</v>
      </c>
      <c r="G330" s="1" t="str">
        <f>_xlfn.XLOOKUP(engagement[[#This Row],[SessionID]],session_data[SessionID],session_data[Traffic Source])</f>
        <v>Direct</v>
      </c>
    </row>
    <row r="331" spans="1:7" x14ac:dyDescent="0.25">
      <c r="A331" s="1" t="s">
        <v>522</v>
      </c>
      <c r="B331" s="1">
        <v>192</v>
      </c>
      <c r="C331" s="1">
        <v>7</v>
      </c>
      <c r="D331" s="1">
        <v>4</v>
      </c>
      <c r="E331" s="1">
        <v>1</v>
      </c>
      <c r="F331" t="s">
        <v>1623</v>
      </c>
      <c r="G331" s="1" t="str">
        <f>_xlfn.XLOOKUP(engagement[[#This Row],[SessionID]],session_data[SessionID],session_data[Traffic Source])</f>
        <v>Direct</v>
      </c>
    </row>
    <row r="332" spans="1:7" x14ac:dyDescent="0.25">
      <c r="A332" s="1" t="s">
        <v>523</v>
      </c>
      <c r="B332" s="1">
        <v>284</v>
      </c>
      <c r="C332" s="1">
        <v>11</v>
      </c>
      <c r="D332" s="1">
        <v>4</v>
      </c>
      <c r="E332" s="1">
        <v>0</v>
      </c>
      <c r="F332" t="s">
        <v>1626</v>
      </c>
      <c r="G332" s="1" t="str">
        <f>_xlfn.XLOOKUP(engagement[[#This Row],[SessionID]],session_data[SessionID],session_data[Traffic Source])</f>
        <v>Direct</v>
      </c>
    </row>
    <row r="333" spans="1:7" x14ac:dyDescent="0.25">
      <c r="A333" s="1" t="s">
        <v>524</v>
      </c>
      <c r="B333" s="1">
        <v>43</v>
      </c>
      <c r="C333" s="1">
        <v>1</v>
      </c>
      <c r="D333" s="1">
        <v>1</v>
      </c>
      <c r="E333" s="1">
        <v>0</v>
      </c>
      <c r="F333" t="s">
        <v>1626</v>
      </c>
      <c r="G333" s="1" t="str">
        <f>_xlfn.XLOOKUP(engagement[[#This Row],[SessionID]],session_data[SessionID],session_data[Traffic Source])</f>
        <v>Referral</v>
      </c>
    </row>
    <row r="334" spans="1:7" x14ac:dyDescent="0.25">
      <c r="A334" s="1" t="s">
        <v>526</v>
      </c>
      <c r="B334" s="1">
        <v>337</v>
      </c>
      <c r="C334" s="1">
        <v>13</v>
      </c>
      <c r="D334" s="1">
        <v>4</v>
      </c>
      <c r="E334" s="1">
        <v>0</v>
      </c>
      <c r="F334" t="s">
        <v>1622</v>
      </c>
      <c r="G334" s="1" t="str">
        <f>_xlfn.XLOOKUP(engagement[[#This Row],[SessionID]],session_data[SessionID],session_data[Traffic Source])</f>
        <v>Social Media</v>
      </c>
    </row>
    <row r="335" spans="1:7" x14ac:dyDescent="0.25">
      <c r="A335" s="1" t="s">
        <v>528</v>
      </c>
      <c r="B335" s="1">
        <v>254</v>
      </c>
      <c r="C335" s="1">
        <v>9</v>
      </c>
      <c r="D335" s="1">
        <v>4</v>
      </c>
      <c r="E335" s="1">
        <v>1</v>
      </c>
      <c r="F335" t="s">
        <v>1623</v>
      </c>
      <c r="G335" s="1" t="str">
        <f>_xlfn.XLOOKUP(engagement[[#This Row],[SessionID]],session_data[SessionID],session_data[Traffic Source])</f>
        <v>Social Media</v>
      </c>
    </row>
    <row r="336" spans="1:7" x14ac:dyDescent="0.25">
      <c r="A336" s="1" t="s">
        <v>529</v>
      </c>
      <c r="B336" s="1">
        <v>69</v>
      </c>
      <c r="C336" s="1">
        <v>5</v>
      </c>
      <c r="D336" s="1">
        <v>5</v>
      </c>
      <c r="E336" s="1">
        <v>1</v>
      </c>
      <c r="F336" t="s">
        <v>1623</v>
      </c>
      <c r="G336" s="1" t="str">
        <f>_xlfn.XLOOKUP(engagement[[#This Row],[SessionID]],session_data[SessionID],session_data[Traffic Source])</f>
        <v>Direct</v>
      </c>
    </row>
    <row r="337" spans="1:7" x14ac:dyDescent="0.25">
      <c r="A337" s="1" t="s">
        <v>531</v>
      </c>
      <c r="B337" s="1">
        <v>96</v>
      </c>
      <c r="C337" s="1">
        <v>4</v>
      </c>
      <c r="D337" s="1">
        <v>4</v>
      </c>
      <c r="E337" s="1">
        <v>0</v>
      </c>
      <c r="F337" t="s">
        <v>1626</v>
      </c>
      <c r="G337" s="1" t="str">
        <f>_xlfn.XLOOKUP(engagement[[#This Row],[SessionID]],session_data[SessionID],session_data[Traffic Source])</f>
        <v>Direct</v>
      </c>
    </row>
    <row r="338" spans="1:7" x14ac:dyDescent="0.25">
      <c r="A338" s="1" t="s">
        <v>532</v>
      </c>
      <c r="B338" s="1">
        <v>194</v>
      </c>
      <c r="C338" s="1">
        <v>7</v>
      </c>
      <c r="D338" s="1">
        <v>1</v>
      </c>
      <c r="E338" s="1">
        <v>1</v>
      </c>
      <c r="F338" t="s">
        <v>1623</v>
      </c>
      <c r="G338" s="1" t="str">
        <f>_xlfn.XLOOKUP(engagement[[#This Row],[SessionID]],session_data[SessionID],session_data[Traffic Source])</f>
        <v>Organic Search</v>
      </c>
    </row>
    <row r="339" spans="1:7" x14ac:dyDescent="0.25">
      <c r="A339" s="1" t="s">
        <v>534</v>
      </c>
      <c r="B339" s="1">
        <v>306</v>
      </c>
      <c r="C339" s="1">
        <v>12</v>
      </c>
      <c r="D339" s="1">
        <v>1</v>
      </c>
      <c r="E339" s="1">
        <v>1</v>
      </c>
      <c r="F339" t="s">
        <v>1623</v>
      </c>
      <c r="G339" s="1" t="str">
        <f>_xlfn.XLOOKUP(engagement[[#This Row],[SessionID]],session_data[SessionID],session_data[Traffic Source])</f>
        <v>Organic Search</v>
      </c>
    </row>
    <row r="340" spans="1:7" x14ac:dyDescent="0.25">
      <c r="A340" s="1" t="s">
        <v>535</v>
      </c>
      <c r="B340" s="1">
        <v>212</v>
      </c>
      <c r="C340" s="1">
        <v>9</v>
      </c>
      <c r="D340" s="1">
        <v>4</v>
      </c>
      <c r="E340" s="1">
        <v>0</v>
      </c>
      <c r="F340" t="s">
        <v>1622</v>
      </c>
      <c r="G340" s="1" t="str">
        <f>_xlfn.XLOOKUP(engagement[[#This Row],[SessionID]],session_data[SessionID],session_data[Traffic Source])</f>
        <v>Organic Search</v>
      </c>
    </row>
    <row r="341" spans="1:7" x14ac:dyDescent="0.25">
      <c r="A341" s="1" t="s">
        <v>537</v>
      </c>
      <c r="B341" s="1">
        <v>155</v>
      </c>
      <c r="C341" s="1">
        <v>6</v>
      </c>
      <c r="D341" s="1">
        <v>2</v>
      </c>
      <c r="E341" s="1">
        <v>1</v>
      </c>
      <c r="F341" t="s">
        <v>1623</v>
      </c>
      <c r="G341" s="1" t="str">
        <f>_xlfn.XLOOKUP(engagement[[#This Row],[SessionID]],session_data[SessionID],session_data[Traffic Source])</f>
        <v>Organic Search</v>
      </c>
    </row>
    <row r="342" spans="1:7" x14ac:dyDescent="0.25">
      <c r="A342" s="1" t="s">
        <v>539</v>
      </c>
      <c r="B342" s="1">
        <v>215</v>
      </c>
      <c r="C342" s="1">
        <v>9</v>
      </c>
      <c r="D342" s="1">
        <v>2</v>
      </c>
      <c r="E342" s="1">
        <v>1</v>
      </c>
      <c r="F342" t="s">
        <v>1623</v>
      </c>
      <c r="G342" s="1" t="str">
        <f>_xlfn.XLOOKUP(engagement[[#This Row],[SessionID]],session_data[SessionID],session_data[Traffic Source])</f>
        <v>Organic Search</v>
      </c>
    </row>
    <row r="343" spans="1:7" x14ac:dyDescent="0.25">
      <c r="A343" s="1" t="s">
        <v>540</v>
      </c>
      <c r="B343" s="1">
        <v>22</v>
      </c>
      <c r="C343" s="1">
        <v>2</v>
      </c>
      <c r="D343" s="1">
        <v>2</v>
      </c>
      <c r="E343" s="1">
        <v>0</v>
      </c>
      <c r="F343" t="s">
        <v>1626</v>
      </c>
      <c r="G343" s="1" t="str">
        <f>_xlfn.XLOOKUP(engagement[[#This Row],[SessionID]],session_data[SessionID],session_data[Traffic Source])</f>
        <v>Organic Search</v>
      </c>
    </row>
    <row r="344" spans="1:7" x14ac:dyDescent="0.25">
      <c r="A344" s="1" t="s">
        <v>541</v>
      </c>
      <c r="B344" s="1">
        <v>43</v>
      </c>
      <c r="C344" s="1">
        <v>5</v>
      </c>
      <c r="D344" s="1">
        <v>5</v>
      </c>
      <c r="E344" s="1">
        <v>1</v>
      </c>
      <c r="F344" t="s">
        <v>1623</v>
      </c>
      <c r="G344" s="1" t="str">
        <f>_xlfn.XLOOKUP(engagement[[#This Row],[SessionID]],session_data[SessionID],session_data[Traffic Source])</f>
        <v>Organic Search</v>
      </c>
    </row>
    <row r="345" spans="1:7" x14ac:dyDescent="0.25">
      <c r="A345" s="1" t="s">
        <v>543</v>
      </c>
      <c r="B345" s="1">
        <v>72</v>
      </c>
      <c r="C345" s="1">
        <v>5</v>
      </c>
      <c r="D345" s="1">
        <v>5</v>
      </c>
      <c r="E345" s="1">
        <v>1</v>
      </c>
      <c r="F345" t="s">
        <v>1623</v>
      </c>
      <c r="G345" s="1" t="str">
        <f>_xlfn.XLOOKUP(engagement[[#This Row],[SessionID]],session_data[SessionID],session_data[Traffic Source])</f>
        <v>Social Media</v>
      </c>
    </row>
    <row r="346" spans="1:7" x14ac:dyDescent="0.25">
      <c r="A346" s="1" t="s">
        <v>545</v>
      </c>
      <c r="B346" s="1">
        <v>10</v>
      </c>
      <c r="C346" s="1">
        <v>5</v>
      </c>
      <c r="D346" s="1">
        <v>5</v>
      </c>
      <c r="E346" s="1">
        <v>1</v>
      </c>
      <c r="F346" t="s">
        <v>1623</v>
      </c>
      <c r="G346" s="1" t="str">
        <f>_xlfn.XLOOKUP(engagement[[#This Row],[SessionID]],session_data[SessionID],session_data[Traffic Source])</f>
        <v>Referral</v>
      </c>
    </row>
    <row r="347" spans="1:7" x14ac:dyDescent="0.25">
      <c r="A347" s="1" t="s">
        <v>547</v>
      </c>
      <c r="B347" s="1">
        <v>130</v>
      </c>
      <c r="C347" s="1">
        <v>5</v>
      </c>
      <c r="D347" s="1">
        <v>4</v>
      </c>
      <c r="E347" s="1">
        <v>0</v>
      </c>
      <c r="F347" t="s">
        <v>1622</v>
      </c>
      <c r="G347" s="1" t="str">
        <f>_xlfn.XLOOKUP(engagement[[#This Row],[SessionID]],session_data[SessionID],session_data[Traffic Source])</f>
        <v>Organic Search</v>
      </c>
    </row>
    <row r="348" spans="1:7" x14ac:dyDescent="0.25">
      <c r="A348" s="1" t="s">
        <v>549</v>
      </c>
      <c r="B348" s="1">
        <v>314</v>
      </c>
      <c r="C348" s="1">
        <v>12</v>
      </c>
      <c r="D348" s="1">
        <v>4</v>
      </c>
      <c r="E348" s="1">
        <v>1</v>
      </c>
      <c r="F348" t="s">
        <v>1623</v>
      </c>
      <c r="G348" s="1" t="str">
        <f>_xlfn.XLOOKUP(engagement[[#This Row],[SessionID]],session_data[SessionID],session_data[Traffic Source])</f>
        <v>Organic Search</v>
      </c>
    </row>
    <row r="349" spans="1:7" x14ac:dyDescent="0.25">
      <c r="A349" s="1" t="s">
        <v>550</v>
      </c>
      <c r="B349" s="1">
        <v>146</v>
      </c>
      <c r="C349" s="1">
        <v>6</v>
      </c>
      <c r="D349" s="1">
        <v>5</v>
      </c>
      <c r="E349" s="1">
        <v>1</v>
      </c>
      <c r="F349" t="s">
        <v>1623</v>
      </c>
      <c r="G349" s="1" t="str">
        <f>_xlfn.XLOOKUP(engagement[[#This Row],[SessionID]],session_data[SessionID],session_data[Traffic Source])</f>
        <v>Organic Search</v>
      </c>
    </row>
    <row r="350" spans="1:7" x14ac:dyDescent="0.25">
      <c r="A350" s="1" t="s">
        <v>552</v>
      </c>
      <c r="B350" s="1">
        <v>71</v>
      </c>
      <c r="C350" s="1">
        <v>5</v>
      </c>
      <c r="D350" s="1">
        <v>5</v>
      </c>
      <c r="E350" s="1">
        <v>1</v>
      </c>
      <c r="F350" t="s">
        <v>1623</v>
      </c>
      <c r="G350" s="1" t="str">
        <f>_xlfn.XLOOKUP(engagement[[#This Row],[SessionID]],session_data[SessionID],session_data[Traffic Source])</f>
        <v>Organic Search</v>
      </c>
    </row>
    <row r="351" spans="1:7" x14ac:dyDescent="0.25">
      <c r="A351" s="1" t="s">
        <v>553</v>
      </c>
      <c r="B351" s="1">
        <v>327</v>
      </c>
      <c r="C351" s="1">
        <v>13</v>
      </c>
      <c r="D351" s="1">
        <v>5</v>
      </c>
      <c r="E351" s="1">
        <v>1</v>
      </c>
      <c r="F351" t="s">
        <v>1623</v>
      </c>
      <c r="G351" s="1" t="str">
        <f>_xlfn.XLOOKUP(engagement[[#This Row],[SessionID]],session_data[SessionID],session_data[Traffic Source])</f>
        <v>Organic Search</v>
      </c>
    </row>
    <row r="352" spans="1:7" x14ac:dyDescent="0.25">
      <c r="A352" s="1" t="s">
        <v>554</v>
      </c>
      <c r="B352" s="1">
        <v>31</v>
      </c>
      <c r="C352" s="1">
        <v>5</v>
      </c>
      <c r="D352" s="1">
        <v>5</v>
      </c>
      <c r="E352" s="1">
        <v>1</v>
      </c>
      <c r="F352" t="s">
        <v>1623</v>
      </c>
      <c r="G352" s="1" t="str">
        <f>_xlfn.XLOOKUP(engagement[[#This Row],[SessionID]],session_data[SessionID],session_data[Traffic Source])</f>
        <v>Direct</v>
      </c>
    </row>
    <row r="353" spans="1:7" x14ac:dyDescent="0.25">
      <c r="A353" s="1" t="s">
        <v>556</v>
      </c>
      <c r="B353" s="1">
        <v>177</v>
      </c>
      <c r="C353" s="1">
        <v>7</v>
      </c>
      <c r="D353" s="1">
        <v>4</v>
      </c>
      <c r="E353" s="1">
        <v>0</v>
      </c>
      <c r="F353" t="s">
        <v>1622</v>
      </c>
      <c r="G353" s="1" t="str">
        <f>_xlfn.XLOOKUP(engagement[[#This Row],[SessionID]],session_data[SessionID],session_data[Traffic Source])</f>
        <v>Direct</v>
      </c>
    </row>
    <row r="354" spans="1:7" x14ac:dyDescent="0.25">
      <c r="A354" s="1" t="s">
        <v>558</v>
      </c>
      <c r="B354" s="1">
        <v>283</v>
      </c>
      <c r="C354" s="1">
        <v>11</v>
      </c>
      <c r="D354" s="1">
        <v>4</v>
      </c>
      <c r="E354" s="1">
        <v>0</v>
      </c>
      <c r="F354" t="s">
        <v>1626</v>
      </c>
      <c r="G354" s="1" t="str">
        <f>_xlfn.XLOOKUP(engagement[[#This Row],[SessionID]],session_data[SessionID],session_data[Traffic Source])</f>
        <v>Direct</v>
      </c>
    </row>
    <row r="355" spans="1:7" x14ac:dyDescent="0.25">
      <c r="A355" s="1" t="s">
        <v>559</v>
      </c>
      <c r="B355" s="1">
        <v>32</v>
      </c>
      <c r="C355" s="1">
        <v>5</v>
      </c>
      <c r="D355" s="1">
        <v>5</v>
      </c>
      <c r="E355" s="1">
        <v>1</v>
      </c>
      <c r="F355" t="s">
        <v>1623</v>
      </c>
      <c r="G355" s="1" t="str">
        <f>_xlfn.XLOOKUP(engagement[[#This Row],[SessionID]],session_data[SessionID],session_data[Traffic Source])</f>
        <v>Referral</v>
      </c>
    </row>
    <row r="356" spans="1:7" x14ac:dyDescent="0.25">
      <c r="A356" s="1" t="s">
        <v>561</v>
      </c>
      <c r="B356" s="1">
        <v>104</v>
      </c>
      <c r="C356" s="1">
        <v>5</v>
      </c>
      <c r="D356" s="1">
        <v>5</v>
      </c>
      <c r="E356" s="1">
        <v>1</v>
      </c>
      <c r="F356" t="s">
        <v>1623</v>
      </c>
      <c r="G356" s="1" t="str">
        <f>_xlfn.XLOOKUP(engagement[[#This Row],[SessionID]],session_data[SessionID],session_data[Traffic Source])</f>
        <v>Referral</v>
      </c>
    </row>
    <row r="357" spans="1:7" x14ac:dyDescent="0.25">
      <c r="A357" s="1" t="s">
        <v>563</v>
      </c>
      <c r="B357" s="1">
        <v>288</v>
      </c>
      <c r="C357" s="1">
        <v>11</v>
      </c>
      <c r="D357" s="1">
        <v>4</v>
      </c>
      <c r="E357" s="1">
        <v>0</v>
      </c>
      <c r="F357" t="s">
        <v>1626</v>
      </c>
      <c r="G357" s="1" t="str">
        <f>_xlfn.XLOOKUP(engagement[[#This Row],[SessionID]],session_data[SessionID],session_data[Traffic Source])</f>
        <v>Referral</v>
      </c>
    </row>
    <row r="358" spans="1:7" x14ac:dyDescent="0.25">
      <c r="A358" s="1" t="s">
        <v>564</v>
      </c>
      <c r="B358" s="1">
        <v>239</v>
      </c>
      <c r="C358" s="1">
        <v>9</v>
      </c>
      <c r="D358" s="1">
        <v>3</v>
      </c>
      <c r="E358" s="1">
        <v>0</v>
      </c>
      <c r="F358" t="s">
        <v>1622</v>
      </c>
      <c r="G358" s="1" t="str">
        <f>_xlfn.XLOOKUP(engagement[[#This Row],[SessionID]],session_data[SessionID],session_data[Traffic Source])</f>
        <v>Organic Search</v>
      </c>
    </row>
    <row r="359" spans="1:7" x14ac:dyDescent="0.25">
      <c r="A359" s="1" t="s">
        <v>566</v>
      </c>
      <c r="B359" s="1">
        <v>182</v>
      </c>
      <c r="C359" s="1">
        <v>7</v>
      </c>
      <c r="D359" s="1">
        <v>5</v>
      </c>
      <c r="E359" s="1">
        <v>1</v>
      </c>
      <c r="F359" t="s">
        <v>1623</v>
      </c>
      <c r="G359" s="1" t="str">
        <f>_xlfn.XLOOKUP(engagement[[#This Row],[SessionID]],session_data[SessionID],session_data[Traffic Source])</f>
        <v>Organic Search</v>
      </c>
    </row>
    <row r="360" spans="1:7" x14ac:dyDescent="0.25">
      <c r="A360" s="1" t="s">
        <v>568</v>
      </c>
      <c r="B360" s="1">
        <v>186</v>
      </c>
      <c r="C360" s="1">
        <v>8</v>
      </c>
      <c r="D360" s="1">
        <v>4</v>
      </c>
      <c r="E360" s="1">
        <v>0</v>
      </c>
      <c r="F360" t="s">
        <v>1622</v>
      </c>
      <c r="G360" s="1" t="str">
        <f>_xlfn.XLOOKUP(engagement[[#This Row],[SessionID]],session_data[SessionID],session_data[Traffic Source])</f>
        <v>Organic Search</v>
      </c>
    </row>
    <row r="361" spans="1:7" x14ac:dyDescent="0.25">
      <c r="A361" s="1" t="s">
        <v>569</v>
      </c>
      <c r="B361" s="1">
        <v>130</v>
      </c>
      <c r="C361" s="1">
        <v>5</v>
      </c>
      <c r="D361" s="1">
        <v>5</v>
      </c>
      <c r="E361" s="1">
        <v>1</v>
      </c>
      <c r="F361" t="s">
        <v>1623</v>
      </c>
      <c r="G361" s="1" t="str">
        <f>_xlfn.XLOOKUP(engagement[[#This Row],[SessionID]],session_data[SessionID],session_data[Traffic Source])</f>
        <v>Organic Search</v>
      </c>
    </row>
    <row r="362" spans="1:7" x14ac:dyDescent="0.25">
      <c r="A362" s="1" t="s">
        <v>570</v>
      </c>
      <c r="B362" s="1">
        <v>228</v>
      </c>
      <c r="C362" s="1">
        <v>10</v>
      </c>
      <c r="D362" s="1">
        <v>4</v>
      </c>
      <c r="E362" s="1">
        <v>1</v>
      </c>
      <c r="F362" t="s">
        <v>1623</v>
      </c>
      <c r="G362" s="1" t="str">
        <f>_xlfn.XLOOKUP(engagement[[#This Row],[SessionID]],session_data[SessionID],session_data[Traffic Source])</f>
        <v>Direct</v>
      </c>
    </row>
    <row r="363" spans="1:7" x14ac:dyDescent="0.25">
      <c r="A363" s="1" t="s">
        <v>572</v>
      </c>
      <c r="B363" s="1">
        <v>172</v>
      </c>
      <c r="C363" s="1">
        <v>7</v>
      </c>
      <c r="D363" s="1">
        <v>1</v>
      </c>
      <c r="E363" s="1">
        <v>1</v>
      </c>
      <c r="F363" t="s">
        <v>1623</v>
      </c>
      <c r="G363" s="1" t="str">
        <f>_xlfn.XLOOKUP(engagement[[#This Row],[SessionID]],session_data[SessionID],session_data[Traffic Source])</f>
        <v>Referral</v>
      </c>
    </row>
    <row r="364" spans="1:7" x14ac:dyDescent="0.25">
      <c r="A364" s="1" t="s">
        <v>574</v>
      </c>
      <c r="B364" s="1">
        <v>359</v>
      </c>
      <c r="C364" s="1">
        <v>14</v>
      </c>
      <c r="D364" s="1">
        <v>1</v>
      </c>
      <c r="E364" s="1">
        <v>0</v>
      </c>
      <c r="F364" t="s">
        <v>1622</v>
      </c>
      <c r="G364" s="1" t="str">
        <f>_xlfn.XLOOKUP(engagement[[#This Row],[SessionID]],session_data[SessionID],session_data[Traffic Source])</f>
        <v>Referral</v>
      </c>
    </row>
    <row r="365" spans="1:7" x14ac:dyDescent="0.25">
      <c r="A365" s="1" t="s">
        <v>575</v>
      </c>
      <c r="B365" s="1">
        <v>255</v>
      </c>
      <c r="C365" s="1">
        <v>10</v>
      </c>
      <c r="D365" s="1">
        <v>1</v>
      </c>
      <c r="E365" s="1">
        <v>1</v>
      </c>
      <c r="F365" t="s">
        <v>1623</v>
      </c>
      <c r="G365" s="1" t="str">
        <f>_xlfn.XLOOKUP(engagement[[#This Row],[SessionID]],session_data[SessionID],session_data[Traffic Source])</f>
        <v>Referral</v>
      </c>
    </row>
    <row r="366" spans="1:7" x14ac:dyDescent="0.25">
      <c r="A366" s="1" t="s">
        <v>576</v>
      </c>
      <c r="B366" s="1">
        <v>91</v>
      </c>
      <c r="C366" s="1">
        <v>4</v>
      </c>
      <c r="D366" s="1">
        <v>1</v>
      </c>
      <c r="E366" s="1">
        <v>0</v>
      </c>
      <c r="F366" t="s">
        <v>1622</v>
      </c>
      <c r="G366" s="1" t="str">
        <f>_xlfn.XLOOKUP(engagement[[#This Row],[SessionID]],session_data[SessionID],session_data[Traffic Source])</f>
        <v>Referral</v>
      </c>
    </row>
    <row r="367" spans="1:7" x14ac:dyDescent="0.25">
      <c r="A367" s="1" t="s">
        <v>577</v>
      </c>
      <c r="B367" s="1">
        <v>29</v>
      </c>
      <c r="C367" s="1">
        <v>5</v>
      </c>
      <c r="D367" s="1">
        <v>5</v>
      </c>
      <c r="E367" s="1">
        <v>1</v>
      </c>
      <c r="F367" t="s">
        <v>1623</v>
      </c>
      <c r="G367" s="1" t="str">
        <f>_xlfn.XLOOKUP(engagement[[#This Row],[SessionID]],session_data[SessionID],session_data[Traffic Source])</f>
        <v>Organic Search</v>
      </c>
    </row>
    <row r="368" spans="1:7" x14ac:dyDescent="0.25">
      <c r="A368" s="1" t="s">
        <v>579</v>
      </c>
      <c r="B368" s="1">
        <v>338</v>
      </c>
      <c r="C368" s="1">
        <v>13</v>
      </c>
      <c r="D368" s="1">
        <v>4</v>
      </c>
      <c r="E368" s="1">
        <v>0</v>
      </c>
      <c r="F368" t="s">
        <v>1626</v>
      </c>
      <c r="G368" s="1" t="str">
        <f>_xlfn.XLOOKUP(engagement[[#This Row],[SessionID]],session_data[SessionID],session_data[Traffic Source])</f>
        <v>Direct</v>
      </c>
    </row>
    <row r="369" spans="1:7" x14ac:dyDescent="0.25">
      <c r="A369" s="1" t="s">
        <v>581</v>
      </c>
      <c r="B369" s="1">
        <v>174</v>
      </c>
      <c r="C369" s="1">
        <v>7</v>
      </c>
      <c r="D369" s="1">
        <v>3</v>
      </c>
      <c r="E369" s="1">
        <v>0</v>
      </c>
      <c r="F369" t="s">
        <v>1622</v>
      </c>
      <c r="G369" s="1" t="str">
        <f>_xlfn.XLOOKUP(engagement[[#This Row],[SessionID]],session_data[SessionID],session_data[Traffic Source])</f>
        <v>Organic Search</v>
      </c>
    </row>
    <row r="370" spans="1:7" x14ac:dyDescent="0.25">
      <c r="A370" s="1" t="s">
        <v>583</v>
      </c>
      <c r="B370" s="1">
        <v>317</v>
      </c>
      <c r="C370" s="1">
        <v>13</v>
      </c>
      <c r="D370" s="1">
        <v>1</v>
      </c>
      <c r="E370" s="1">
        <v>0</v>
      </c>
      <c r="F370" t="s">
        <v>1622</v>
      </c>
      <c r="G370" s="1" t="str">
        <f>_xlfn.XLOOKUP(engagement[[#This Row],[SessionID]],session_data[SessionID],session_data[Traffic Source])</f>
        <v>Referral</v>
      </c>
    </row>
    <row r="371" spans="1:7" x14ac:dyDescent="0.25">
      <c r="A371" s="1" t="s">
        <v>585</v>
      </c>
      <c r="B371" s="1">
        <v>303</v>
      </c>
      <c r="C371" s="1">
        <v>12</v>
      </c>
      <c r="D371" s="1">
        <v>1</v>
      </c>
      <c r="E371" s="1">
        <v>1</v>
      </c>
      <c r="F371" t="s">
        <v>1623</v>
      </c>
      <c r="G371" s="1" t="str">
        <f>_xlfn.XLOOKUP(engagement[[#This Row],[SessionID]],session_data[SessionID],session_data[Traffic Source])</f>
        <v>Referral</v>
      </c>
    </row>
    <row r="372" spans="1:7" x14ac:dyDescent="0.25">
      <c r="A372" s="1" t="s">
        <v>586</v>
      </c>
      <c r="B372" s="1">
        <v>226</v>
      </c>
      <c r="C372" s="1">
        <v>9</v>
      </c>
      <c r="D372" s="1">
        <v>1</v>
      </c>
      <c r="E372" s="1">
        <v>1</v>
      </c>
      <c r="F372" t="s">
        <v>1623</v>
      </c>
      <c r="G372" s="1" t="str">
        <f>_xlfn.XLOOKUP(engagement[[#This Row],[SessionID]],session_data[SessionID],session_data[Traffic Source])</f>
        <v>Referral</v>
      </c>
    </row>
    <row r="373" spans="1:7" x14ac:dyDescent="0.25">
      <c r="A373" s="1" t="s">
        <v>587</v>
      </c>
      <c r="B373" s="1">
        <v>56</v>
      </c>
      <c r="C373" s="1">
        <v>3</v>
      </c>
      <c r="D373" s="1">
        <v>1</v>
      </c>
      <c r="E373" s="1">
        <v>0</v>
      </c>
      <c r="F373" t="s">
        <v>1626</v>
      </c>
      <c r="G373" s="1" t="str">
        <f>_xlfn.XLOOKUP(engagement[[#This Row],[SessionID]],session_data[SessionID],session_data[Traffic Source])</f>
        <v>Referral</v>
      </c>
    </row>
    <row r="374" spans="1:7" x14ac:dyDescent="0.25">
      <c r="A374" s="1" t="s">
        <v>588</v>
      </c>
      <c r="B374" s="1">
        <v>277</v>
      </c>
      <c r="C374" s="1">
        <v>12</v>
      </c>
      <c r="D374" s="1">
        <v>4</v>
      </c>
      <c r="E374" s="1">
        <v>1</v>
      </c>
      <c r="F374" t="s">
        <v>1623</v>
      </c>
      <c r="G374" s="1" t="str">
        <f>_xlfn.XLOOKUP(engagement[[#This Row],[SessionID]],session_data[SessionID],session_data[Traffic Source])</f>
        <v>Direct</v>
      </c>
    </row>
    <row r="375" spans="1:7" x14ac:dyDescent="0.25">
      <c r="A375" s="1" t="s">
        <v>590</v>
      </c>
      <c r="B375" s="1">
        <v>328</v>
      </c>
      <c r="C375" s="1">
        <v>13</v>
      </c>
      <c r="D375" s="1">
        <v>4</v>
      </c>
      <c r="E375" s="1">
        <v>1</v>
      </c>
      <c r="F375" t="s">
        <v>1623</v>
      </c>
      <c r="G375" s="1" t="str">
        <f>_xlfn.XLOOKUP(engagement[[#This Row],[SessionID]],session_data[SessionID],session_data[Traffic Source])</f>
        <v>Direct</v>
      </c>
    </row>
    <row r="376" spans="1:7" x14ac:dyDescent="0.25">
      <c r="A376" s="1" t="s">
        <v>591</v>
      </c>
      <c r="B376" s="1">
        <v>144</v>
      </c>
      <c r="C376" s="1">
        <v>6</v>
      </c>
      <c r="D376" s="1">
        <v>4</v>
      </c>
      <c r="E376" s="1">
        <v>1</v>
      </c>
      <c r="F376" t="s">
        <v>1623</v>
      </c>
      <c r="G376" s="1" t="str">
        <f>_xlfn.XLOOKUP(engagement[[#This Row],[SessionID]],session_data[SessionID],session_data[Traffic Source])</f>
        <v>Direct</v>
      </c>
    </row>
    <row r="377" spans="1:7" x14ac:dyDescent="0.25">
      <c r="A377" s="1" t="s">
        <v>592</v>
      </c>
      <c r="B377" s="1">
        <v>273</v>
      </c>
      <c r="C377" s="1">
        <v>11</v>
      </c>
      <c r="D377" s="1">
        <v>4</v>
      </c>
      <c r="E377" s="1">
        <v>1</v>
      </c>
      <c r="F377" t="s">
        <v>1623</v>
      </c>
      <c r="G377" s="1" t="str">
        <f>_xlfn.XLOOKUP(engagement[[#This Row],[SessionID]],session_data[SessionID],session_data[Traffic Source])</f>
        <v>Direct</v>
      </c>
    </row>
    <row r="378" spans="1:7" x14ac:dyDescent="0.25">
      <c r="A378" s="1" t="s">
        <v>593</v>
      </c>
      <c r="B378" s="1">
        <v>346</v>
      </c>
      <c r="C378" s="1">
        <v>13</v>
      </c>
      <c r="D378" s="1">
        <v>5</v>
      </c>
      <c r="E378" s="1">
        <v>1</v>
      </c>
      <c r="F378" t="s">
        <v>1623</v>
      </c>
      <c r="G378" s="1" t="str">
        <f>_xlfn.XLOOKUP(engagement[[#This Row],[SessionID]],session_data[SessionID],session_data[Traffic Source])</f>
        <v>Organic Search</v>
      </c>
    </row>
    <row r="379" spans="1:7" x14ac:dyDescent="0.25">
      <c r="A379" s="1" t="s">
        <v>595</v>
      </c>
      <c r="B379" s="1">
        <v>75</v>
      </c>
      <c r="C379" s="1">
        <v>5</v>
      </c>
      <c r="D379" s="1">
        <v>5</v>
      </c>
      <c r="E379" s="1">
        <v>1</v>
      </c>
      <c r="F379" t="s">
        <v>1623</v>
      </c>
      <c r="G379" s="1" t="str">
        <f>_xlfn.XLOOKUP(engagement[[#This Row],[SessionID]],session_data[SessionID],session_data[Traffic Source])</f>
        <v>Organic Search</v>
      </c>
    </row>
    <row r="380" spans="1:7" x14ac:dyDescent="0.25">
      <c r="A380" s="1" t="s">
        <v>597</v>
      </c>
      <c r="B380" s="1">
        <v>315</v>
      </c>
      <c r="C380" s="1">
        <v>12</v>
      </c>
      <c r="D380" s="1">
        <v>4</v>
      </c>
      <c r="E380" s="1">
        <v>0</v>
      </c>
      <c r="F380" t="s">
        <v>1622</v>
      </c>
      <c r="G380" s="1" t="str">
        <f>_xlfn.XLOOKUP(engagement[[#This Row],[SessionID]],session_data[SessionID],session_data[Traffic Source])</f>
        <v>Organic Search</v>
      </c>
    </row>
    <row r="381" spans="1:7" x14ac:dyDescent="0.25">
      <c r="A381" s="1" t="s">
        <v>598</v>
      </c>
      <c r="B381" s="1">
        <v>77</v>
      </c>
      <c r="C381" s="1">
        <v>4</v>
      </c>
      <c r="D381" s="1">
        <v>4</v>
      </c>
      <c r="E381" s="1">
        <v>0</v>
      </c>
      <c r="F381" t="s">
        <v>1622</v>
      </c>
      <c r="G381" s="1" t="str">
        <f>_xlfn.XLOOKUP(engagement[[#This Row],[SessionID]],session_data[SessionID],session_data[Traffic Source])</f>
        <v>Organic Search</v>
      </c>
    </row>
    <row r="382" spans="1:7" x14ac:dyDescent="0.25">
      <c r="A382" s="1" t="s">
        <v>599</v>
      </c>
      <c r="B382" s="1">
        <v>290</v>
      </c>
      <c r="C382" s="1">
        <v>11</v>
      </c>
      <c r="D382" s="1">
        <v>4</v>
      </c>
      <c r="E382" s="1">
        <v>1</v>
      </c>
      <c r="F382" t="s">
        <v>1623</v>
      </c>
      <c r="G382" s="1" t="str">
        <f>_xlfn.XLOOKUP(engagement[[#This Row],[SessionID]],session_data[SessionID],session_data[Traffic Source])</f>
        <v>Organic Search</v>
      </c>
    </row>
    <row r="383" spans="1:7" x14ac:dyDescent="0.25">
      <c r="A383" s="1" t="s">
        <v>601</v>
      </c>
      <c r="B383" s="1">
        <v>243</v>
      </c>
      <c r="C383" s="1">
        <v>10</v>
      </c>
      <c r="D383" s="1">
        <v>4</v>
      </c>
      <c r="E383" s="1">
        <v>1</v>
      </c>
      <c r="F383" t="s">
        <v>1623</v>
      </c>
      <c r="G383" s="1" t="str">
        <f>_xlfn.XLOOKUP(engagement[[#This Row],[SessionID]],session_data[SessionID],session_data[Traffic Source])</f>
        <v>Organic Search</v>
      </c>
    </row>
    <row r="384" spans="1:7" x14ac:dyDescent="0.25">
      <c r="A384" s="1" t="s">
        <v>602</v>
      </c>
      <c r="B384" s="1">
        <v>66</v>
      </c>
      <c r="C384" s="1">
        <v>4</v>
      </c>
      <c r="D384" s="1">
        <v>4</v>
      </c>
      <c r="E384" s="1">
        <v>0</v>
      </c>
      <c r="F384" t="s">
        <v>1622</v>
      </c>
      <c r="G384" s="1" t="str">
        <f>_xlfn.XLOOKUP(engagement[[#This Row],[SessionID]],session_data[SessionID],session_data[Traffic Source])</f>
        <v>Organic Search</v>
      </c>
    </row>
    <row r="385" spans="1:7" x14ac:dyDescent="0.25">
      <c r="A385" s="1" t="s">
        <v>603</v>
      </c>
      <c r="B385" s="1">
        <v>307</v>
      </c>
      <c r="C385" s="1">
        <v>12</v>
      </c>
      <c r="D385" s="1">
        <v>5</v>
      </c>
      <c r="E385" s="1">
        <v>1</v>
      </c>
      <c r="F385" t="s">
        <v>1623</v>
      </c>
      <c r="G385" s="1" t="str">
        <f>_xlfn.XLOOKUP(engagement[[#This Row],[SessionID]],session_data[SessionID],session_data[Traffic Source])</f>
        <v>Direct</v>
      </c>
    </row>
    <row r="386" spans="1:7" x14ac:dyDescent="0.25">
      <c r="A386" s="1" t="s">
        <v>605</v>
      </c>
      <c r="B386" s="1">
        <v>182</v>
      </c>
      <c r="C386" s="1">
        <v>7</v>
      </c>
      <c r="D386" s="1">
        <v>4</v>
      </c>
      <c r="E386" s="1">
        <v>0</v>
      </c>
      <c r="F386" t="s">
        <v>1622</v>
      </c>
      <c r="G386" s="1" t="str">
        <f>_xlfn.XLOOKUP(engagement[[#This Row],[SessionID]],session_data[SessionID],session_data[Traffic Source])</f>
        <v>Direct</v>
      </c>
    </row>
    <row r="387" spans="1:7" x14ac:dyDescent="0.25">
      <c r="A387" s="1" t="s">
        <v>606</v>
      </c>
      <c r="B387" s="1">
        <v>105</v>
      </c>
      <c r="C387" s="1">
        <v>5</v>
      </c>
      <c r="D387" s="1">
        <v>4</v>
      </c>
      <c r="E387" s="1">
        <v>0</v>
      </c>
      <c r="F387" t="s">
        <v>1626</v>
      </c>
      <c r="G387" s="1" t="str">
        <f>_xlfn.XLOOKUP(engagement[[#This Row],[SessionID]],session_data[SessionID],session_data[Traffic Source])</f>
        <v>Social Media</v>
      </c>
    </row>
    <row r="388" spans="1:7" x14ac:dyDescent="0.25">
      <c r="A388" s="1" t="s">
        <v>608</v>
      </c>
      <c r="B388" s="1">
        <v>109</v>
      </c>
      <c r="C388" s="1">
        <v>5</v>
      </c>
      <c r="D388" s="1">
        <v>4</v>
      </c>
      <c r="E388" s="1">
        <v>0</v>
      </c>
      <c r="F388" t="s">
        <v>1626</v>
      </c>
      <c r="G388" s="1" t="str">
        <f>_xlfn.XLOOKUP(engagement[[#This Row],[SessionID]],session_data[SessionID],session_data[Traffic Source])</f>
        <v>Social Media</v>
      </c>
    </row>
    <row r="389" spans="1:7" x14ac:dyDescent="0.25">
      <c r="A389" s="1" t="s">
        <v>609</v>
      </c>
      <c r="B389" s="1">
        <v>276</v>
      </c>
      <c r="C389" s="1">
        <v>11</v>
      </c>
      <c r="D389" s="1">
        <v>4</v>
      </c>
      <c r="E389" s="1">
        <v>1</v>
      </c>
      <c r="F389" t="s">
        <v>1623</v>
      </c>
      <c r="G389" s="1" t="str">
        <f>_xlfn.XLOOKUP(engagement[[#This Row],[SessionID]],session_data[SessionID],session_data[Traffic Source])</f>
        <v>Organic Search</v>
      </c>
    </row>
    <row r="390" spans="1:7" x14ac:dyDescent="0.25">
      <c r="A390" s="1" t="s">
        <v>611</v>
      </c>
      <c r="B390" s="1">
        <v>313</v>
      </c>
      <c r="C390" s="1">
        <v>13</v>
      </c>
      <c r="D390" s="1">
        <v>4</v>
      </c>
      <c r="E390" s="1">
        <v>0</v>
      </c>
      <c r="F390" t="s">
        <v>1622</v>
      </c>
      <c r="G390" s="1" t="str">
        <f>_xlfn.XLOOKUP(engagement[[#This Row],[SessionID]],session_data[SessionID],session_data[Traffic Source])</f>
        <v>Organic Search</v>
      </c>
    </row>
    <row r="391" spans="1:7" x14ac:dyDescent="0.25">
      <c r="A391" s="1" t="s">
        <v>613</v>
      </c>
      <c r="B391" s="1">
        <v>131</v>
      </c>
      <c r="C391" s="1">
        <v>5</v>
      </c>
      <c r="D391" s="1">
        <v>1</v>
      </c>
      <c r="E391" s="1">
        <v>0</v>
      </c>
      <c r="F391" t="s">
        <v>1622</v>
      </c>
      <c r="G391" s="1" t="str">
        <f>_xlfn.XLOOKUP(engagement[[#This Row],[SessionID]],session_data[SessionID],session_data[Traffic Source])</f>
        <v>Direct</v>
      </c>
    </row>
    <row r="392" spans="1:7" x14ac:dyDescent="0.25">
      <c r="A392" s="1" t="s">
        <v>615</v>
      </c>
      <c r="B392" s="1">
        <v>179</v>
      </c>
      <c r="C392" s="1">
        <v>7</v>
      </c>
      <c r="D392" s="1">
        <v>1</v>
      </c>
      <c r="E392" s="1">
        <v>1</v>
      </c>
      <c r="F392" t="s">
        <v>1623</v>
      </c>
      <c r="G392" s="1" t="str">
        <f>_xlfn.XLOOKUP(engagement[[#This Row],[SessionID]],session_data[SessionID],session_data[Traffic Source])</f>
        <v>Direct</v>
      </c>
    </row>
    <row r="393" spans="1:7" x14ac:dyDescent="0.25">
      <c r="A393" s="1" t="s">
        <v>616</v>
      </c>
      <c r="B393" s="1">
        <v>125</v>
      </c>
      <c r="C393" s="1">
        <v>5</v>
      </c>
      <c r="D393" s="1">
        <v>1</v>
      </c>
      <c r="E393" s="1">
        <v>1</v>
      </c>
      <c r="F393" t="s">
        <v>1623</v>
      </c>
      <c r="G393" s="1" t="str">
        <f>_xlfn.XLOOKUP(engagement[[#This Row],[SessionID]],session_data[SessionID],session_data[Traffic Source])</f>
        <v>Direct</v>
      </c>
    </row>
    <row r="394" spans="1:7" x14ac:dyDescent="0.25">
      <c r="A394" s="1" t="s">
        <v>617</v>
      </c>
      <c r="B394" s="1">
        <v>310</v>
      </c>
      <c r="C394" s="1">
        <v>13</v>
      </c>
      <c r="D394" s="1">
        <v>1</v>
      </c>
      <c r="E394" s="1">
        <v>0</v>
      </c>
      <c r="F394" t="s">
        <v>1622</v>
      </c>
      <c r="G394" s="1" t="str">
        <f>_xlfn.XLOOKUP(engagement[[#This Row],[SessionID]],session_data[SessionID],session_data[Traffic Source])</f>
        <v>Direct</v>
      </c>
    </row>
    <row r="395" spans="1:7" x14ac:dyDescent="0.25">
      <c r="A395" s="1" t="s">
        <v>618</v>
      </c>
      <c r="B395" s="1">
        <v>283</v>
      </c>
      <c r="C395" s="1">
        <v>11</v>
      </c>
      <c r="D395" s="1">
        <v>5</v>
      </c>
      <c r="E395" s="1">
        <v>1</v>
      </c>
      <c r="F395" t="s">
        <v>1623</v>
      </c>
      <c r="G395" s="1" t="str">
        <f>_xlfn.XLOOKUP(engagement[[#This Row],[SessionID]],session_data[SessionID],session_data[Traffic Source])</f>
        <v>Organic Search</v>
      </c>
    </row>
    <row r="396" spans="1:7" x14ac:dyDescent="0.25">
      <c r="A396" s="1" t="s">
        <v>620</v>
      </c>
      <c r="B396" s="1">
        <v>144</v>
      </c>
      <c r="C396" s="1">
        <v>6</v>
      </c>
      <c r="D396" s="1">
        <v>5</v>
      </c>
      <c r="E396" s="1">
        <v>1</v>
      </c>
      <c r="F396" t="s">
        <v>1623</v>
      </c>
      <c r="G396" s="1" t="str">
        <f>_xlfn.XLOOKUP(engagement[[#This Row],[SessionID]],session_data[SessionID],session_data[Traffic Source])</f>
        <v>Organic Search</v>
      </c>
    </row>
    <row r="397" spans="1:7" x14ac:dyDescent="0.25">
      <c r="A397" s="1" t="s">
        <v>621</v>
      </c>
      <c r="B397" s="1">
        <v>151</v>
      </c>
      <c r="C397" s="1">
        <v>6</v>
      </c>
      <c r="D397" s="1">
        <v>5</v>
      </c>
      <c r="E397" s="1">
        <v>1</v>
      </c>
      <c r="F397" t="s">
        <v>1623</v>
      </c>
      <c r="G397" s="1" t="str">
        <f>_xlfn.XLOOKUP(engagement[[#This Row],[SessionID]],session_data[SessionID],session_data[Traffic Source])</f>
        <v>Organic Search</v>
      </c>
    </row>
    <row r="398" spans="1:7" x14ac:dyDescent="0.25">
      <c r="A398" s="1" t="s">
        <v>622</v>
      </c>
      <c r="B398" s="1">
        <v>103</v>
      </c>
      <c r="C398" s="1">
        <v>5</v>
      </c>
      <c r="D398" s="1">
        <v>4</v>
      </c>
      <c r="E398" s="1">
        <v>0</v>
      </c>
      <c r="F398" t="s">
        <v>1626</v>
      </c>
      <c r="G398" s="1" t="str">
        <f>_xlfn.XLOOKUP(engagement[[#This Row],[SessionID]],session_data[SessionID],session_data[Traffic Source])</f>
        <v>Organic Search</v>
      </c>
    </row>
    <row r="399" spans="1:7" x14ac:dyDescent="0.25">
      <c r="A399" s="1" t="s">
        <v>623</v>
      </c>
      <c r="B399" s="1">
        <v>70</v>
      </c>
      <c r="C399" s="1">
        <v>5</v>
      </c>
      <c r="D399" s="1">
        <v>4</v>
      </c>
      <c r="E399" s="1">
        <v>0</v>
      </c>
      <c r="F399" t="s">
        <v>1622</v>
      </c>
      <c r="G399" s="1" t="str">
        <f>_xlfn.XLOOKUP(engagement[[#This Row],[SessionID]],session_data[SessionID],session_data[Traffic Source])</f>
        <v>Direct</v>
      </c>
    </row>
    <row r="400" spans="1:7" x14ac:dyDescent="0.25">
      <c r="A400" s="1" t="s">
        <v>625</v>
      </c>
      <c r="B400" s="1">
        <v>47</v>
      </c>
      <c r="C400" s="1">
        <v>5</v>
      </c>
      <c r="D400" s="1">
        <v>4</v>
      </c>
      <c r="E400" s="1">
        <v>0</v>
      </c>
      <c r="F400" t="s">
        <v>1622</v>
      </c>
      <c r="G400" s="1" t="str">
        <f>_xlfn.XLOOKUP(engagement[[#This Row],[SessionID]],session_data[SessionID],session_data[Traffic Source])</f>
        <v>Direct</v>
      </c>
    </row>
    <row r="401" spans="1:7" x14ac:dyDescent="0.25">
      <c r="A401" s="1" t="s">
        <v>626</v>
      </c>
      <c r="B401" s="1">
        <v>101</v>
      </c>
      <c r="C401" s="1">
        <v>5</v>
      </c>
      <c r="D401" s="1">
        <v>5</v>
      </c>
      <c r="E401" s="1">
        <v>1</v>
      </c>
      <c r="F401" t="s">
        <v>1623</v>
      </c>
      <c r="G401" s="1" t="str">
        <f>_xlfn.XLOOKUP(engagement[[#This Row],[SessionID]],session_data[SessionID],session_data[Traffic Source])</f>
        <v>Organic Search</v>
      </c>
    </row>
    <row r="402" spans="1:7" x14ac:dyDescent="0.25">
      <c r="A402" s="1" t="s">
        <v>628</v>
      </c>
      <c r="B402" s="1">
        <v>214</v>
      </c>
      <c r="C402" s="1">
        <v>9</v>
      </c>
      <c r="D402" s="1">
        <v>3</v>
      </c>
      <c r="E402" s="1">
        <v>0</v>
      </c>
      <c r="F402" t="s">
        <v>1622</v>
      </c>
      <c r="G402" s="1" t="str">
        <f>_xlfn.XLOOKUP(engagement[[#This Row],[SessionID]],session_data[SessionID],session_data[Traffic Source])</f>
        <v>Direct</v>
      </c>
    </row>
    <row r="403" spans="1:7" x14ac:dyDescent="0.25">
      <c r="A403" s="1" t="s">
        <v>630</v>
      </c>
      <c r="B403" s="1">
        <v>339</v>
      </c>
      <c r="C403" s="1">
        <v>14</v>
      </c>
      <c r="D403" s="1">
        <v>4</v>
      </c>
      <c r="E403" s="1">
        <v>1</v>
      </c>
      <c r="F403" t="s">
        <v>1623</v>
      </c>
      <c r="G403" s="1" t="str">
        <f>_xlfn.XLOOKUP(engagement[[#This Row],[SessionID]],session_data[SessionID],session_data[Traffic Source])</f>
        <v>Direct</v>
      </c>
    </row>
    <row r="404" spans="1:7" x14ac:dyDescent="0.25">
      <c r="A404" s="1" t="s">
        <v>632</v>
      </c>
      <c r="B404" s="1">
        <v>167</v>
      </c>
      <c r="C404" s="1">
        <v>7</v>
      </c>
      <c r="D404" s="1">
        <v>4</v>
      </c>
      <c r="E404" s="1">
        <v>0</v>
      </c>
      <c r="F404" t="s">
        <v>1626</v>
      </c>
      <c r="G404" s="1" t="str">
        <f>_xlfn.XLOOKUP(engagement[[#This Row],[SessionID]],session_data[SessionID],session_data[Traffic Source])</f>
        <v>Direct</v>
      </c>
    </row>
    <row r="405" spans="1:7" x14ac:dyDescent="0.25">
      <c r="A405" s="1" t="s">
        <v>633</v>
      </c>
      <c r="B405" s="1">
        <v>184</v>
      </c>
      <c r="C405" s="1">
        <v>8</v>
      </c>
      <c r="D405" s="1">
        <v>4</v>
      </c>
      <c r="E405" s="1">
        <v>0</v>
      </c>
      <c r="F405" t="s">
        <v>1622</v>
      </c>
      <c r="G405" s="1" t="str">
        <f>_xlfn.XLOOKUP(engagement[[#This Row],[SessionID]],session_data[SessionID],session_data[Traffic Source])</f>
        <v>Direct</v>
      </c>
    </row>
    <row r="406" spans="1:7" x14ac:dyDescent="0.25">
      <c r="A406" s="1" t="s">
        <v>634</v>
      </c>
      <c r="B406" s="1">
        <v>87</v>
      </c>
      <c r="C406" s="1">
        <v>5</v>
      </c>
      <c r="D406" s="1">
        <v>5</v>
      </c>
      <c r="E406" s="1">
        <v>1</v>
      </c>
      <c r="F406" t="s">
        <v>1623</v>
      </c>
      <c r="G406" s="1" t="str">
        <f>_xlfn.XLOOKUP(engagement[[#This Row],[SessionID]],session_data[SessionID],session_data[Traffic Source])</f>
        <v>Paid Ads</v>
      </c>
    </row>
    <row r="407" spans="1:7" x14ac:dyDescent="0.25">
      <c r="A407" s="1" t="s">
        <v>636</v>
      </c>
      <c r="B407" s="1">
        <v>203</v>
      </c>
      <c r="C407" s="1">
        <v>8</v>
      </c>
      <c r="D407" s="1">
        <v>5</v>
      </c>
      <c r="E407" s="1">
        <v>1</v>
      </c>
      <c r="F407" t="s">
        <v>1623</v>
      </c>
      <c r="G407" s="1" t="str">
        <f>_xlfn.XLOOKUP(engagement[[#This Row],[SessionID]],session_data[SessionID],session_data[Traffic Source])</f>
        <v>Paid Ads</v>
      </c>
    </row>
    <row r="408" spans="1:7" x14ac:dyDescent="0.25">
      <c r="A408" s="1" t="s">
        <v>637</v>
      </c>
      <c r="B408" s="1">
        <v>358</v>
      </c>
      <c r="C408" s="1">
        <v>14</v>
      </c>
      <c r="D408" s="1">
        <v>4</v>
      </c>
      <c r="E408" s="1">
        <v>0</v>
      </c>
      <c r="F408" t="s">
        <v>1626</v>
      </c>
      <c r="G408" s="1" t="str">
        <f>_xlfn.XLOOKUP(engagement[[#This Row],[SessionID]],session_data[SessionID],session_data[Traffic Source])</f>
        <v>Paid Ads</v>
      </c>
    </row>
    <row r="409" spans="1:7" x14ac:dyDescent="0.25">
      <c r="A409" s="1" t="s">
        <v>638</v>
      </c>
      <c r="B409" s="1">
        <v>198</v>
      </c>
      <c r="C409" s="1">
        <v>8</v>
      </c>
      <c r="D409" s="1">
        <v>5</v>
      </c>
      <c r="E409" s="1">
        <v>1</v>
      </c>
      <c r="F409" t="s">
        <v>1623</v>
      </c>
      <c r="G409" s="1" t="str">
        <f>_xlfn.XLOOKUP(engagement[[#This Row],[SessionID]],session_data[SessionID],session_data[Traffic Source])</f>
        <v>Paid Ads</v>
      </c>
    </row>
    <row r="410" spans="1:7" x14ac:dyDescent="0.25">
      <c r="A410" s="1" t="s">
        <v>639</v>
      </c>
      <c r="B410" s="1">
        <v>216</v>
      </c>
      <c r="C410" s="1">
        <v>9</v>
      </c>
      <c r="D410" s="1">
        <v>5</v>
      </c>
      <c r="E410" s="1">
        <v>1</v>
      </c>
      <c r="F410" t="s">
        <v>1623</v>
      </c>
      <c r="G410" s="1" t="str">
        <f>_xlfn.XLOOKUP(engagement[[#This Row],[SessionID]],session_data[SessionID],session_data[Traffic Source])</f>
        <v>Direct</v>
      </c>
    </row>
    <row r="411" spans="1:7" x14ac:dyDescent="0.25">
      <c r="A411" s="1" t="s">
        <v>641</v>
      </c>
      <c r="B411" s="1">
        <v>143</v>
      </c>
      <c r="C411" s="1">
        <v>6</v>
      </c>
      <c r="D411" s="1">
        <v>4</v>
      </c>
      <c r="E411" s="1">
        <v>0</v>
      </c>
      <c r="F411" t="s">
        <v>1622</v>
      </c>
      <c r="G411" s="1" t="str">
        <f>_xlfn.XLOOKUP(engagement[[#This Row],[SessionID]],session_data[SessionID],session_data[Traffic Source])</f>
        <v>Direct</v>
      </c>
    </row>
    <row r="412" spans="1:7" x14ac:dyDescent="0.25">
      <c r="A412" s="1" t="s">
        <v>642</v>
      </c>
      <c r="B412" s="1">
        <v>179</v>
      </c>
      <c r="C412" s="1">
        <v>8</v>
      </c>
      <c r="D412" s="1">
        <v>4</v>
      </c>
      <c r="E412" s="1">
        <v>0</v>
      </c>
      <c r="F412" t="s">
        <v>1622</v>
      </c>
      <c r="G412" s="1" t="str">
        <f>_xlfn.XLOOKUP(engagement[[#This Row],[SessionID]],session_data[SessionID],session_data[Traffic Source])</f>
        <v>Direct</v>
      </c>
    </row>
    <row r="413" spans="1:7" x14ac:dyDescent="0.25">
      <c r="A413" s="1" t="s">
        <v>643</v>
      </c>
      <c r="B413" s="1">
        <v>183</v>
      </c>
      <c r="C413" s="1">
        <v>7</v>
      </c>
      <c r="D413" s="1">
        <v>5</v>
      </c>
      <c r="E413" s="1">
        <v>1</v>
      </c>
      <c r="F413" t="s">
        <v>1623</v>
      </c>
      <c r="G413" s="1" t="str">
        <f>_xlfn.XLOOKUP(engagement[[#This Row],[SessionID]],session_data[SessionID],session_data[Traffic Source])</f>
        <v>Direct</v>
      </c>
    </row>
    <row r="414" spans="1:7" x14ac:dyDescent="0.25">
      <c r="A414" s="1" t="s">
        <v>644</v>
      </c>
      <c r="B414" s="1">
        <v>319</v>
      </c>
      <c r="C414" s="1">
        <v>12</v>
      </c>
      <c r="D414" s="1">
        <v>4</v>
      </c>
      <c r="E414" s="1">
        <v>1</v>
      </c>
      <c r="F414" t="s">
        <v>1623</v>
      </c>
      <c r="G414" s="1" t="str">
        <f>_xlfn.XLOOKUP(engagement[[#This Row],[SessionID]],session_data[SessionID],session_data[Traffic Source])</f>
        <v>Organic Search</v>
      </c>
    </row>
    <row r="415" spans="1:7" x14ac:dyDescent="0.25">
      <c r="A415" s="1" t="s">
        <v>646</v>
      </c>
      <c r="B415" s="1">
        <v>62</v>
      </c>
      <c r="C415" s="1">
        <v>5</v>
      </c>
      <c r="D415" s="1">
        <v>5</v>
      </c>
      <c r="E415" s="1">
        <v>1</v>
      </c>
      <c r="F415" t="s">
        <v>1623</v>
      </c>
      <c r="G415" s="1" t="str">
        <f>_xlfn.XLOOKUP(engagement[[#This Row],[SessionID]],session_data[SessionID],session_data[Traffic Source])</f>
        <v>Organic Search</v>
      </c>
    </row>
    <row r="416" spans="1:7" x14ac:dyDescent="0.25">
      <c r="A416" s="1" t="s">
        <v>647</v>
      </c>
      <c r="B416" s="1">
        <v>305</v>
      </c>
      <c r="C416" s="1">
        <v>13</v>
      </c>
      <c r="D416" s="1">
        <v>4</v>
      </c>
      <c r="E416" s="1">
        <v>1</v>
      </c>
      <c r="F416" t="s">
        <v>1623</v>
      </c>
      <c r="G416" s="1" t="str">
        <f>_xlfn.XLOOKUP(engagement[[#This Row],[SessionID]],session_data[SessionID],session_data[Traffic Source])</f>
        <v>Organic Search</v>
      </c>
    </row>
    <row r="417" spans="1:7" x14ac:dyDescent="0.25">
      <c r="A417" s="1" t="s">
        <v>648</v>
      </c>
      <c r="B417" s="1">
        <v>259</v>
      </c>
      <c r="C417" s="1">
        <v>11</v>
      </c>
      <c r="D417" s="1">
        <v>4</v>
      </c>
      <c r="E417" s="1">
        <v>0</v>
      </c>
      <c r="F417" t="s">
        <v>1626</v>
      </c>
      <c r="G417" s="1" t="str">
        <f>_xlfn.XLOOKUP(engagement[[#This Row],[SessionID]],session_data[SessionID],session_data[Traffic Source])</f>
        <v>Direct</v>
      </c>
    </row>
    <row r="418" spans="1:7" x14ac:dyDescent="0.25">
      <c r="A418" s="1" t="s">
        <v>650</v>
      </c>
      <c r="B418" s="1">
        <v>302</v>
      </c>
      <c r="C418" s="1">
        <v>12</v>
      </c>
      <c r="D418" s="1">
        <v>4</v>
      </c>
      <c r="E418" s="1">
        <v>0</v>
      </c>
      <c r="F418" t="s">
        <v>1625</v>
      </c>
      <c r="G418" s="1" t="str">
        <f>_xlfn.XLOOKUP(engagement[[#This Row],[SessionID]],session_data[SessionID],session_data[Traffic Source])</f>
        <v>Direct</v>
      </c>
    </row>
    <row r="419" spans="1:7" x14ac:dyDescent="0.25">
      <c r="A419" s="1" t="s">
        <v>651</v>
      </c>
      <c r="B419" s="1">
        <v>36</v>
      </c>
      <c r="C419" s="1">
        <v>4</v>
      </c>
      <c r="D419" s="1">
        <v>4</v>
      </c>
      <c r="E419" s="1">
        <v>0</v>
      </c>
      <c r="F419" t="s">
        <v>1626</v>
      </c>
      <c r="G419" s="1" t="str">
        <f>_xlfn.XLOOKUP(engagement[[#This Row],[SessionID]],session_data[SessionID],session_data[Traffic Source])</f>
        <v>Organic Search</v>
      </c>
    </row>
    <row r="420" spans="1:7" x14ac:dyDescent="0.25">
      <c r="A420" s="1" t="s">
        <v>653</v>
      </c>
      <c r="B420" s="1">
        <v>103</v>
      </c>
      <c r="C420" s="1">
        <v>4</v>
      </c>
      <c r="D420" s="1">
        <v>4</v>
      </c>
      <c r="E420" s="1">
        <v>1</v>
      </c>
      <c r="F420" t="s">
        <v>1623</v>
      </c>
      <c r="G420" s="1" t="str">
        <f>_xlfn.XLOOKUP(engagement[[#This Row],[SessionID]],session_data[SessionID],session_data[Traffic Source])</f>
        <v>Paid Ads</v>
      </c>
    </row>
    <row r="421" spans="1:7" x14ac:dyDescent="0.25">
      <c r="A421" s="1" t="s">
        <v>655</v>
      </c>
      <c r="B421" s="1">
        <v>268</v>
      </c>
      <c r="C421" s="1">
        <v>11</v>
      </c>
      <c r="D421" s="1">
        <v>4</v>
      </c>
      <c r="E421" s="1">
        <v>0</v>
      </c>
      <c r="F421" t="s">
        <v>1625</v>
      </c>
      <c r="G421" s="1" t="str">
        <f>_xlfn.XLOOKUP(engagement[[#This Row],[SessionID]],session_data[SessionID],session_data[Traffic Source])</f>
        <v>Organic Search</v>
      </c>
    </row>
    <row r="422" spans="1:7" x14ac:dyDescent="0.25">
      <c r="A422" s="1" t="s">
        <v>657</v>
      </c>
      <c r="B422" s="1">
        <v>153</v>
      </c>
      <c r="C422" s="1">
        <v>7</v>
      </c>
      <c r="D422" s="1">
        <v>4</v>
      </c>
      <c r="E422" s="1">
        <v>0</v>
      </c>
      <c r="F422" t="s">
        <v>1622</v>
      </c>
      <c r="G422" s="1" t="str">
        <f>_xlfn.XLOOKUP(engagement[[#This Row],[SessionID]],session_data[SessionID],session_data[Traffic Source])</f>
        <v>Organic Search</v>
      </c>
    </row>
    <row r="423" spans="1:7" x14ac:dyDescent="0.25">
      <c r="A423" s="1" t="s">
        <v>658</v>
      </c>
      <c r="B423" s="1">
        <v>341</v>
      </c>
      <c r="C423" s="1">
        <v>13</v>
      </c>
      <c r="D423" s="1">
        <v>5</v>
      </c>
      <c r="E423" s="1">
        <v>1</v>
      </c>
      <c r="F423" t="s">
        <v>1623</v>
      </c>
      <c r="G423" s="1" t="str">
        <f>_xlfn.XLOOKUP(engagement[[#This Row],[SessionID]],session_data[SessionID],session_data[Traffic Source])</f>
        <v>Organic Search</v>
      </c>
    </row>
    <row r="424" spans="1:7" x14ac:dyDescent="0.25">
      <c r="A424" s="1" t="s">
        <v>659</v>
      </c>
      <c r="B424" s="1">
        <v>143</v>
      </c>
      <c r="C424" s="1">
        <v>5</v>
      </c>
      <c r="D424" s="1">
        <v>4</v>
      </c>
      <c r="E424" s="1">
        <v>0</v>
      </c>
      <c r="F424" t="s">
        <v>1625</v>
      </c>
      <c r="G424" s="1" t="str">
        <f>_xlfn.XLOOKUP(engagement[[#This Row],[SessionID]],session_data[SessionID],session_data[Traffic Source])</f>
        <v>Organic Search</v>
      </c>
    </row>
    <row r="425" spans="1:7" x14ac:dyDescent="0.25">
      <c r="A425" s="1" t="s">
        <v>660</v>
      </c>
      <c r="B425" s="1">
        <v>350</v>
      </c>
      <c r="C425" s="1">
        <v>14</v>
      </c>
      <c r="D425" s="1">
        <v>4</v>
      </c>
      <c r="E425" s="1">
        <v>0</v>
      </c>
      <c r="F425" t="s">
        <v>1625</v>
      </c>
      <c r="G425" s="1" t="str">
        <f>_xlfn.XLOOKUP(engagement[[#This Row],[SessionID]],session_data[SessionID],session_data[Traffic Source])</f>
        <v>Organic Search</v>
      </c>
    </row>
    <row r="426" spans="1:7" x14ac:dyDescent="0.25">
      <c r="A426" s="1" t="s">
        <v>662</v>
      </c>
      <c r="B426" s="1">
        <v>306</v>
      </c>
      <c r="C426" s="1">
        <v>12</v>
      </c>
      <c r="D426" s="1">
        <v>5</v>
      </c>
      <c r="E426" s="1">
        <v>1</v>
      </c>
      <c r="F426" t="s">
        <v>1623</v>
      </c>
      <c r="G426" s="1" t="str">
        <f>_xlfn.XLOOKUP(engagement[[#This Row],[SessionID]],session_data[SessionID],session_data[Traffic Source])</f>
        <v>Organic Search</v>
      </c>
    </row>
    <row r="427" spans="1:7" x14ac:dyDescent="0.25">
      <c r="A427" s="1" t="s">
        <v>663</v>
      </c>
      <c r="B427" s="1">
        <v>132</v>
      </c>
      <c r="C427" s="1">
        <v>5</v>
      </c>
      <c r="D427" s="1">
        <v>4</v>
      </c>
      <c r="E427" s="1">
        <v>0</v>
      </c>
      <c r="F427" t="s">
        <v>1622</v>
      </c>
      <c r="G427" s="1" t="str">
        <f>_xlfn.XLOOKUP(engagement[[#This Row],[SessionID]],session_data[SessionID],session_data[Traffic Source])</f>
        <v>Paid Ads</v>
      </c>
    </row>
    <row r="428" spans="1:7" x14ac:dyDescent="0.25">
      <c r="A428" s="1" t="s">
        <v>665</v>
      </c>
      <c r="B428" s="1">
        <v>270</v>
      </c>
      <c r="C428" s="1">
        <v>11</v>
      </c>
      <c r="D428" s="1">
        <v>4</v>
      </c>
      <c r="E428" s="1">
        <v>0</v>
      </c>
      <c r="F428" t="s">
        <v>1625</v>
      </c>
      <c r="G428" s="1" t="str">
        <f>_xlfn.XLOOKUP(engagement[[#This Row],[SessionID]],session_data[SessionID],session_data[Traffic Source])</f>
        <v>Social Media</v>
      </c>
    </row>
    <row r="429" spans="1:7" x14ac:dyDescent="0.25">
      <c r="A429" s="1" t="s">
        <v>667</v>
      </c>
      <c r="B429" s="1">
        <v>106</v>
      </c>
      <c r="C429" s="1">
        <v>4</v>
      </c>
      <c r="D429" s="1">
        <v>4</v>
      </c>
      <c r="E429" s="1">
        <v>0</v>
      </c>
      <c r="F429" t="s">
        <v>1626</v>
      </c>
      <c r="G429" s="1" t="str">
        <f>_xlfn.XLOOKUP(engagement[[#This Row],[SessionID]],session_data[SessionID],session_data[Traffic Source])</f>
        <v>Direct</v>
      </c>
    </row>
    <row r="430" spans="1:7" x14ac:dyDescent="0.25">
      <c r="A430" s="1" t="s">
        <v>669</v>
      </c>
      <c r="B430" s="1">
        <v>310</v>
      </c>
      <c r="C430" s="1">
        <v>12</v>
      </c>
      <c r="D430" s="1">
        <v>4</v>
      </c>
      <c r="E430" s="1">
        <v>1</v>
      </c>
      <c r="F430" t="s">
        <v>1623</v>
      </c>
      <c r="G430" s="1" t="str">
        <f>_xlfn.XLOOKUP(engagement[[#This Row],[SessionID]],session_data[SessionID],session_data[Traffic Source])</f>
        <v>Direct</v>
      </c>
    </row>
    <row r="431" spans="1:7" x14ac:dyDescent="0.25">
      <c r="A431" s="1" t="s">
        <v>670</v>
      </c>
      <c r="B431" s="1">
        <v>187</v>
      </c>
      <c r="C431" s="1">
        <v>8</v>
      </c>
      <c r="D431" s="1">
        <v>4</v>
      </c>
      <c r="E431" s="1">
        <v>0</v>
      </c>
      <c r="F431" t="s">
        <v>1622</v>
      </c>
      <c r="G431" s="1" t="str">
        <f>_xlfn.XLOOKUP(engagement[[#This Row],[SessionID]],session_data[SessionID],session_data[Traffic Source])</f>
        <v>Direct</v>
      </c>
    </row>
    <row r="432" spans="1:7" x14ac:dyDescent="0.25">
      <c r="A432" s="1" t="s">
        <v>671</v>
      </c>
      <c r="B432" s="1">
        <v>197</v>
      </c>
      <c r="C432" s="1">
        <v>8</v>
      </c>
      <c r="D432" s="1">
        <v>5</v>
      </c>
      <c r="E432" s="1">
        <v>1</v>
      </c>
      <c r="F432" t="s">
        <v>1623</v>
      </c>
      <c r="G432" s="1" t="str">
        <f>_xlfn.XLOOKUP(engagement[[#This Row],[SessionID]],session_data[SessionID],session_data[Traffic Source])</f>
        <v>Direct</v>
      </c>
    </row>
    <row r="433" spans="1:7" x14ac:dyDescent="0.25">
      <c r="A433" s="1" t="s">
        <v>673</v>
      </c>
      <c r="B433" s="1">
        <v>192</v>
      </c>
      <c r="C433" s="1">
        <v>7</v>
      </c>
      <c r="D433" s="1">
        <v>4</v>
      </c>
      <c r="E433" s="1">
        <v>0</v>
      </c>
      <c r="F433" t="s">
        <v>1625</v>
      </c>
      <c r="G433" s="1" t="str">
        <f>_xlfn.XLOOKUP(engagement[[#This Row],[SessionID]],session_data[SessionID],session_data[Traffic Source])</f>
        <v>Organic Search</v>
      </c>
    </row>
    <row r="434" spans="1:7" x14ac:dyDescent="0.25">
      <c r="A434" s="1" t="s">
        <v>675</v>
      </c>
      <c r="B434" s="1">
        <v>81</v>
      </c>
      <c r="C434" s="1">
        <v>4</v>
      </c>
      <c r="D434" s="1">
        <v>4</v>
      </c>
      <c r="E434" s="1">
        <v>0</v>
      </c>
      <c r="F434" t="s">
        <v>1625</v>
      </c>
      <c r="G434" s="1" t="str">
        <f>_xlfn.XLOOKUP(engagement[[#This Row],[SessionID]],session_data[SessionID],session_data[Traffic Source])</f>
        <v>Direct</v>
      </c>
    </row>
    <row r="435" spans="1:7" x14ac:dyDescent="0.25">
      <c r="A435" s="1" t="s">
        <v>677</v>
      </c>
      <c r="B435" s="1">
        <v>249</v>
      </c>
      <c r="C435" s="1">
        <v>10</v>
      </c>
      <c r="D435" s="1">
        <v>3</v>
      </c>
      <c r="E435" s="1">
        <v>0</v>
      </c>
      <c r="F435" t="s">
        <v>1626</v>
      </c>
      <c r="G435" s="1" t="str">
        <f>_xlfn.XLOOKUP(engagement[[#This Row],[SessionID]],session_data[SessionID],session_data[Traffic Source])</f>
        <v>Direct</v>
      </c>
    </row>
    <row r="436" spans="1:7" x14ac:dyDescent="0.25">
      <c r="A436" s="1" t="s">
        <v>678</v>
      </c>
      <c r="B436" s="1">
        <v>266</v>
      </c>
      <c r="C436" s="1">
        <v>11</v>
      </c>
      <c r="D436" s="1">
        <v>3</v>
      </c>
      <c r="E436" s="1">
        <v>1</v>
      </c>
      <c r="F436" t="s">
        <v>1623</v>
      </c>
      <c r="G436" s="1" t="str">
        <f>_xlfn.XLOOKUP(engagement[[#This Row],[SessionID]],session_data[SessionID],session_data[Traffic Source])</f>
        <v>Direct</v>
      </c>
    </row>
    <row r="437" spans="1:7" x14ac:dyDescent="0.25">
      <c r="A437" s="1" t="s">
        <v>680</v>
      </c>
      <c r="B437" s="1">
        <v>52</v>
      </c>
      <c r="C437" s="1">
        <v>3</v>
      </c>
      <c r="D437" s="1">
        <v>3</v>
      </c>
      <c r="E437" s="1">
        <v>0</v>
      </c>
      <c r="F437" t="s">
        <v>1622</v>
      </c>
      <c r="G437" s="1" t="str">
        <f>_xlfn.XLOOKUP(engagement[[#This Row],[SessionID]],session_data[SessionID],session_data[Traffic Source])</f>
        <v>Direct</v>
      </c>
    </row>
    <row r="438" spans="1:7" x14ac:dyDescent="0.25">
      <c r="A438" s="1" t="s">
        <v>681</v>
      </c>
      <c r="B438" s="1">
        <v>255</v>
      </c>
      <c r="C438" s="1">
        <v>10</v>
      </c>
      <c r="D438" s="1">
        <v>3</v>
      </c>
      <c r="E438" s="1">
        <v>0</v>
      </c>
      <c r="F438" t="s">
        <v>1626</v>
      </c>
      <c r="G438" s="1" t="str">
        <f>_xlfn.XLOOKUP(engagement[[#This Row],[SessionID]],session_data[SessionID],session_data[Traffic Source])</f>
        <v>Direct</v>
      </c>
    </row>
    <row r="439" spans="1:7" x14ac:dyDescent="0.25">
      <c r="A439" s="1" t="s">
        <v>682</v>
      </c>
      <c r="B439" s="1">
        <v>254</v>
      </c>
      <c r="C439" s="1">
        <v>10</v>
      </c>
      <c r="D439" s="1">
        <v>4</v>
      </c>
      <c r="E439" s="1">
        <v>0</v>
      </c>
      <c r="F439" t="s">
        <v>1625</v>
      </c>
      <c r="G439" s="1" t="str">
        <f>_xlfn.XLOOKUP(engagement[[#This Row],[SessionID]],session_data[SessionID],session_data[Traffic Source])</f>
        <v>Organic Search</v>
      </c>
    </row>
    <row r="440" spans="1:7" x14ac:dyDescent="0.25">
      <c r="A440" s="1" t="s">
        <v>684</v>
      </c>
      <c r="B440" s="1">
        <v>305</v>
      </c>
      <c r="C440" s="1">
        <v>12</v>
      </c>
      <c r="D440" s="1">
        <v>4</v>
      </c>
      <c r="E440" s="1">
        <v>0</v>
      </c>
      <c r="F440" t="s">
        <v>1625</v>
      </c>
      <c r="G440" s="1" t="str">
        <f>_xlfn.XLOOKUP(engagement[[#This Row],[SessionID]],session_data[SessionID],session_data[Traffic Source])</f>
        <v>Organic Search</v>
      </c>
    </row>
    <row r="441" spans="1:7" x14ac:dyDescent="0.25">
      <c r="A441" s="1" t="s">
        <v>685</v>
      </c>
      <c r="B441" s="1">
        <v>54</v>
      </c>
      <c r="C441" s="1">
        <v>2</v>
      </c>
      <c r="D441" s="1">
        <v>2</v>
      </c>
      <c r="E441" s="1">
        <v>0</v>
      </c>
      <c r="F441" t="s">
        <v>1622</v>
      </c>
      <c r="G441" s="1" t="str">
        <f>_xlfn.XLOOKUP(engagement[[#This Row],[SessionID]],session_data[SessionID],session_data[Traffic Source])</f>
        <v>Organic Search</v>
      </c>
    </row>
    <row r="442" spans="1:7" x14ac:dyDescent="0.25">
      <c r="A442" s="1" t="s">
        <v>686</v>
      </c>
      <c r="B442" s="1">
        <v>152</v>
      </c>
      <c r="C442" s="1">
        <v>6</v>
      </c>
      <c r="D442" s="1">
        <v>4</v>
      </c>
      <c r="E442" s="1">
        <v>1</v>
      </c>
      <c r="F442" t="s">
        <v>1623</v>
      </c>
      <c r="G442" s="1" t="str">
        <f>_xlfn.XLOOKUP(engagement[[#This Row],[SessionID]],session_data[SessionID],session_data[Traffic Source])</f>
        <v>Direct</v>
      </c>
    </row>
    <row r="443" spans="1:7" x14ac:dyDescent="0.25">
      <c r="A443" s="1" t="s">
        <v>688</v>
      </c>
      <c r="B443" s="1">
        <v>18</v>
      </c>
      <c r="C443" s="1">
        <v>2</v>
      </c>
      <c r="D443" s="1">
        <v>2</v>
      </c>
      <c r="E443" s="1">
        <v>0</v>
      </c>
      <c r="F443" t="s">
        <v>1622</v>
      </c>
      <c r="G443" s="1" t="str">
        <f>_xlfn.XLOOKUP(engagement[[#This Row],[SessionID]],session_data[SessionID],session_data[Traffic Source])</f>
        <v>Direct</v>
      </c>
    </row>
    <row r="444" spans="1:7" x14ac:dyDescent="0.25">
      <c r="A444" s="1" t="s">
        <v>690</v>
      </c>
      <c r="B444" s="1">
        <v>46</v>
      </c>
      <c r="C444" s="1">
        <v>3</v>
      </c>
      <c r="D444" s="1">
        <v>2</v>
      </c>
      <c r="E444" s="1">
        <v>0</v>
      </c>
      <c r="F444" t="s">
        <v>1622</v>
      </c>
      <c r="G444" s="1" t="str">
        <f>_xlfn.XLOOKUP(engagement[[#This Row],[SessionID]],session_data[SessionID],session_data[Traffic Source])</f>
        <v>Direct</v>
      </c>
    </row>
    <row r="445" spans="1:7" x14ac:dyDescent="0.25">
      <c r="A445" s="1" t="s">
        <v>691</v>
      </c>
      <c r="B445" s="1">
        <v>320</v>
      </c>
      <c r="C445" s="1">
        <v>13</v>
      </c>
      <c r="D445" s="1">
        <v>2</v>
      </c>
      <c r="E445" s="1">
        <v>0</v>
      </c>
      <c r="F445" t="s">
        <v>1622</v>
      </c>
      <c r="G445" s="1" t="str">
        <f>_xlfn.XLOOKUP(engagement[[#This Row],[SessionID]],session_data[SessionID],session_data[Traffic Source])</f>
        <v>Direct</v>
      </c>
    </row>
    <row r="446" spans="1:7" x14ac:dyDescent="0.25">
      <c r="A446" s="1" t="s">
        <v>692</v>
      </c>
      <c r="B446" s="1">
        <v>110</v>
      </c>
      <c r="C446" s="1">
        <v>5</v>
      </c>
      <c r="D446" s="1">
        <v>4</v>
      </c>
      <c r="E446" s="1">
        <v>0</v>
      </c>
      <c r="F446" t="s">
        <v>1625</v>
      </c>
      <c r="G446" s="1" t="str">
        <f>_xlfn.XLOOKUP(engagement[[#This Row],[SessionID]],session_data[SessionID],session_data[Traffic Source])</f>
        <v>Direct</v>
      </c>
    </row>
    <row r="447" spans="1:7" x14ac:dyDescent="0.25">
      <c r="A447" s="1" t="s">
        <v>694</v>
      </c>
      <c r="B447" s="1">
        <v>176</v>
      </c>
      <c r="C447" s="1">
        <v>7</v>
      </c>
      <c r="D447" s="1">
        <v>3</v>
      </c>
      <c r="E447" s="1">
        <v>0</v>
      </c>
      <c r="F447" t="s">
        <v>1622</v>
      </c>
      <c r="G447" s="1" t="str">
        <f>_xlfn.XLOOKUP(engagement[[#This Row],[SessionID]],session_data[SessionID],session_data[Traffic Source])</f>
        <v>Referral</v>
      </c>
    </row>
    <row r="448" spans="1:7" x14ac:dyDescent="0.25">
      <c r="A448" s="1" t="s">
        <v>696</v>
      </c>
      <c r="B448" s="1">
        <v>172</v>
      </c>
      <c r="C448" s="1">
        <v>7</v>
      </c>
      <c r="D448" s="1">
        <v>4</v>
      </c>
      <c r="E448" s="1">
        <v>0</v>
      </c>
      <c r="F448" t="s">
        <v>1626</v>
      </c>
      <c r="G448" s="1" t="str">
        <f>_xlfn.XLOOKUP(engagement[[#This Row],[SessionID]],session_data[SessionID],session_data[Traffic Source])</f>
        <v>Organic Search</v>
      </c>
    </row>
    <row r="449" spans="1:7" x14ac:dyDescent="0.25">
      <c r="A449" s="1" t="s">
        <v>698</v>
      </c>
      <c r="B449" s="1">
        <v>142</v>
      </c>
      <c r="C449" s="1">
        <v>6</v>
      </c>
      <c r="D449" s="1">
        <v>4</v>
      </c>
      <c r="E449" s="1">
        <v>0</v>
      </c>
      <c r="F449" t="s">
        <v>1625</v>
      </c>
      <c r="G449" s="1" t="str">
        <f>_xlfn.XLOOKUP(engagement[[#This Row],[SessionID]],session_data[SessionID],session_data[Traffic Source])</f>
        <v>Organic Search</v>
      </c>
    </row>
    <row r="450" spans="1:7" x14ac:dyDescent="0.25">
      <c r="A450" s="1" t="s">
        <v>699</v>
      </c>
      <c r="B450" s="1">
        <v>352</v>
      </c>
      <c r="C450" s="1">
        <v>14</v>
      </c>
      <c r="D450" s="1">
        <v>4</v>
      </c>
      <c r="E450" s="1">
        <v>0</v>
      </c>
      <c r="F450" t="s">
        <v>1626</v>
      </c>
      <c r="G450" s="1" t="str">
        <f>_xlfn.XLOOKUP(engagement[[#This Row],[SessionID]],session_data[SessionID],session_data[Traffic Source])</f>
        <v>Organic Search</v>
      </c>
    </row>
    <row r="451" spans="1:7" x14ac:dyDescent="0.25">
      <c r="A451" s="1" t="s">
        <v>700</v>
      </c>
      <c r="B451" s="1">
        <v>72</v>
      </c>
      <c r="C451" s="1">
        <v>4</v>
      </c>
      <c r="D451" s="1">
        <v>4</v>
      </c>
      <c r="E451" s="1">
        <v>0</v>
      </c>
      <c r="F451" t="s">
        <v>1625</v>
      </c>
      <c r="G451" s="1" t="str">
        <f>_xlfn.XLOOKUP(engagement[[#This Row],[SessionID]],session_data[SessionID],session_data[Traffic Source])</f>
        <v>Direct</v>
      </c>
    </row>
    <row r="452" spans="1:7" x14ac:dyDescent="0.25">
      <c r="A452" s="1" t="s">
        <v>702</v>
      </c>
      <c r="B452" s="1">
        <v>47</v>
      </c>
      <c r="C452" s="1">
        <v>4</v>
      </c>
      <c r="D452" s="1">
        <v>4</v>
      </c>
      <c r="E452" s="1">
        <v>0</v>
      </c>
      <c r="F452" t="s">
        <v>1626</v>
      </c>
      <c r="G452" s="1" t="str">
        <f>_xlfn.XLOOKUP(engagement[[#This Row],[SessionID]],session_data[SessionID],session_data[Traffic Source])</f>
        <v>Direct</v>
      </c>
    </row>
    <row r="453" spans="1:7" x14ac:dyDescent="0.25">
      <c r="A453" s="1" t="s">
        <v>703</v>
      </c>
      <c r="B453" s="1">
        <v>123</v>
      </c>
      <c r="C453" s="1">
        <v>5</v>
      </c>
      <c r="D453" s="1">
        <v>4</v>
      </c>
      <c r="E453" s="1">
        <v>0</v>
      </c>
      <c r="F453" t="s">
        <v>1625</v>
      </c>
      <c r="G453" s="1" t="str">
        <f>_xlfn.XLOOKUP(engagement[[#This Row],[SessionID]],session_data[SessionID],session_data[Traffic Source])</f>
        <v>Social Media</v>
      </c>
    </row>
    <row r="454" spans="1:7" x14ac:dyDescent="0.25">
      <c r="A454" s="1" t="s">
        <v>705</v>
      </c>
      <c r="B454" s="1">
        <v>336</v>
      </c>
      <c r="C454" s="1">
        <v>13</v>
      </c>
      <c r="D454" s="1">
        <v>4</v>
      </c>
      <c r="E454" s="1">
        <v>0</v>
      </c>
      <c r="F454" t="s">
        <v>1622</v>
      </c>
      <c r="G454" s="1" t="str">
        <f>_xlfn.XLOOKUP(engagement[[#This Row],[SessionID]],session_data[SessionID],session_data[Traffic Source])</f>
        <v>Social Media</v>
      </c>
    </row>
    <row r="455" spans="1:7" x14ac:dyDescent="0.25">
      <c r="A455" s="1" t="s">
        <v>706</v>
      </c>
      <c r="B455" s="1">
        <v>200</v>
      </c>
      <c r="C455" s="1">
        <v>8</v>
      </c>
      <c r="D455" s="1">
        <v>5</v>
      </c>
      <c r="E455" s="1">
        <v>1</v>
      </c>
      <c r="F455" t="s">
        <v>1623</v>
      </c>
      <c r="G455" s="1" t="str">
        <f>_xlfn.XLOOKUP(engagement[[#This Row],[SessionID]],session_data[SessionID],session_data[Traffic Source])</f>
        <v>Social Media</v>
      </c>
    </row>
    <row r="456" spans="1:7" x14ac:dyDescent="0.25">
      <c r="A456" s="1" t="s">
        <v>707</v>
      </c>
      <c r="B456" s="1">
        <v>236</v>
      </c>
      <c r="C456" s="1">
        <v>9</v>
      </c>
      <c r="D456" s="1">
        <v>5</v>
      </c>
      <c r="E456" s="1">
        <v>1</v>
      </c>
      <c r="F456" t="s">
        <v>1623</v>
      </c>
      <c r="G456" s="1" t="str">
        <f>_xlfn.XLOOKUP(engagement[[#This Row],[SessionID]],session_data[SessionID],session_data[Traffic Source])</f>
        <v>Organic Search</v>
      </c>
    </row>
    <row r="457" spans="1:7" x14ac:dyDescent="0.25">
      <c r="A457" s="1" t="s">
        <v>709</v>
      </c>
      <c r="B457" s="1">
        <v>63</v>
      </c>
      <c r="C457" s="1">
        <v>5</v>
      </c>
      <c r="D457" s="1">
        <v>4</v>
      </c>
      <c r="E457" s="1">
        <v>0</v>
      </c>
      <c r="F457" t="s">
        <v>1625</v>
      </c>
      <c r="G457" s="1" t="str">
        <f>_xlfn.XLOOKUP(engagement[[#This Row],[SessionID]],session_data[SessionID],session_data[Traffic Source])</f>
        <v>Organic Search</v>
      </c>
    </row>
    <row r="458" spans="1:7" x14ac:dyDescent="0.25">
      <c r="A458" s="1" t="s">
        <v>710</v>
      </c>
      <c r="B458" s="1">
        <v>265</v>
      </c>
      <c r="C458" s="1">
        <v>11</v>
      </c>
      <c r="D458" s="1">
        <v>5</v>
      </c>
      <c r="E458" s="1">
        <v>1</v>
      </c>
      <c r="F458" t="s">
        <v>1623</v>
      </c>
      <c r="G458" s="1" t="str">
        <f>_xlfn.XLOOKUP(engagement[[#This Row],[SessionID]],session_data[SessionID],session_data[Traffic Source])</f>
        <v>Organic Search</v>
      </c>
    </row>
    <row r="459" spans="1:7" x14ac:dyDescent="0.25">
      <c r="A459" s="1" t="s">
        <v>711</v>
      </c>
      <c r="B459" s="1">
        <v>105</v>
      </c>
      <c r="C459" s="1">
        <v>5</v>
      </c>
      <c r="D459" s="1">
        <v>4</v>
      </c>
      <c r="E459" s="1">
        <v>0</v>
      </c>
      <c r="F459" t="s">
        <v>1625</v>
      </c>
      <c r="G459" s="1" t="str">
        <f>_xlfn.XLOOKUP(engagement[[#This Row],[SessionID]],session_data[SessionID],session_data[Traffic Source])</f>
        <v>Referral</v>
      </c>
    </row>
    <row r="460" spans="1:7" x14ac:dyDescent="0.25">
      <c r="A460" s="1" t="s">
        <v>713</v>
      </c>
      <c r="B460" s="1">
        <v>221</v>
      </c>
      <c r="C460" s="1">
        <v>9</v>
      </c>
      <c r="D460" s="1">
        <v>5</v>
      </c>
      <c r="E460" s="1">
        <v>1</v>
      </c>
      <c r="F460" t="s">
        <v>1623</v>
      </c>
      <c r="G460" s="1" t="str">
        <f>_xlfn.XLOOKUP(engagement[[#This Row],[SessionID]],session_data[SessionID],session_data[Traffic Source])</f>
        <v>Referral</v>
      </c>
    </row>
    <row r="461" spans="1:7" x14ac:dyDescent="0.25">
      <c r="A461" s="1" t="s">
        <v>714</v>
      </c>
      <c r="B461" s="1">
        <v>294</v>
      </c>
      <c r="C461" s="1">
        <v>12</v>
      </c>
      <c r="D461" s="1">
        <v>3</v>
      </c>
      <c r="E461" s="1">
        <v>0</v>
      </c>
      <c r="F461" t="s">
        <v>1626</v>
      </c>
      <c r="G461" s="1" t="str">
        <f>_xlfn.XLOOKUP(engagement[[#This Row],[SessionID]],session_data[SessionID],session_data[Traffic Source])</f>
        <v>Paid Ads</v>
      </c>
    </row>
    <row r="462" spans="1:7" x14ac:dyDescent="0.25">
      <c r="A462" s="1" t="s">
        <v>716</v>
      </c>
      <c r="B462" s="1">
        <v>260</v>
      </c>
      <c r="C462" s="1">
        <v>10</v>
      </c>
      <c r="D462" s="1">
        <v>4</v>
      </c>
      <c r="E462" s="1">
        <v>1</v>
      </c>
      <c r="F462" t="s">
        <v>1623</v>
      </c>
      <c r="G462" s="1" t="str">
        <f>_xlfn.XLOOKUP(engagement[[#This Row],[SessionID]],session_data[SessionID],session_data[Traffic Source])</f>
        <v>Referral</v>
      </c>
    </row>
    <row r="463" spans="1:7" x14ac:dyDescent="0.25">
      <c r="A463" s="1" t="s">
        <v>718</v>
      </c>
      <c r="B463" s="1">
        <v>353</v>
      </c>
      <c r="C463" s="1">
        <v>14</v>
      </c>
      <c r="D463" s="1">
        <v>4</v>
      </c>
      <c r="E463" s="1">
        <v>0</v>
      </c>
      <c r="F463" t="s">
        <v>1626</v>
      </c>
      <c r="G463" s="1" t="str">
        <f>_xlfn.XLOOKUP(engagement[[#This Row],[SessionID]],session_data[SessionID],session_data[Traffic Source])</f>
        <v>Organic Search</v>
      </c>
    </row>
    <row r="464" spans="1:7" x14ac:dyDescent="0.25">
      <c r="A464" s="1" t="s">
        <v>720</v>
      </c>
      <c r="B464" s="1">
        <v>116</v>
      </c>
      <c r="C464" s="1">
        <v>5</v>
      </c>
      <c r="D464" s="1">
        <v>4</v>
      </c>
      <c r="E464" s="1">
        <v>0</v>
      </c>
      <c r="F464" t="s">
        <v>1625</v>
      </c>
      <c r="G464" s="1" t="str">
        <f>_xlfn.XLOOKUP(engagement[[#This Row],[SessionID]],session_data[SessionID],session_data[Traffic Source])</f>
        <v>Organic Search</v>
      </c>
    </row>
    <row r="465" spans="1:7" x14ac:dyDescent="0.25">
      <c r="A465" s="1" t="s">
        <v>722</v>
      </c>
      <c r="B465" s="1">
        <v>367</v>
      </c>
      <c r="C465" s="1">
        <v>14</v>
      </c>
      <c r="D465" s="1">
        <v>4</v>
      </c>
      <c r="E465" s="1">
        <v>0</v>
      </c>
      <c r="F465" t="s">
        <v>1626</v>
      </c>
      <c r="G465" s="1" t="str">
        <f>_xlfn.XLOOKUP(engagement[[#This Row],[SessionID]],session_data[SessionID],session_data[Traffic Source])</f>
        <v>Direct</v>
      </c>
    </row>
    <row r="466" spans="1:7" x14ac:dyDescent="0.25">
      <c r="A466" s="1" t="s">
        <v>724</v>
      </c>
      <c r="B466" s="1">
        <v>263</v>
      </c>
      <c r="C466" s="1">
        <v>11</v>
      </c>
      <c r="D466" s="1">
        <v>4</v>
      </c>
      <c r="E466" s="1">
        <v>0</v>
      </c>
      <c r="F466" t="s">
        <v>1626</v>
      </c>
      <c r="G466" s="1" t="str">
        <f>_xlfn.XLOOKUP(engagement[[#This Row],[SessionID]],session_data[SessionID],session_data[Traffic Source])</f>
        <v>Direct</v>
      </c>
    </row>
    <row r="467" spans="1:7" x14ac:dyDescent="0.25">
      <c r="A467" s="1" t="s">
        <v>725</v>
      </c>
      <c r="B467" s="1">
        <v>98</v>
      </c>
      <c r="C467" s="1">
        <v>5</v>
      </c>
      <c r="D467" s="1">
        <v>4</v>
      </c>
      <c r="E467" s="1">
        <v>0</v>
      </c>
      <c r="F467" t="s">
        <v>1622</v>
      </c>
      <c r="G467" s="1" t="str">
        <f>_xlfn.XLOOKUP(engagement[[#This Row],[SessionID]],session_data[SessionID],session_data[Traffic Source])</f>
        <v>Direct</v>
      </c>
    </row>
    <row r="468" spans="1:7" x14ac:dyDescent="0.25">
      <c r="A468" s="1" t="s">
        <v>726</v>
      </c>
      <c r="B468" s="1">
        <v>141</v>
      </c>
      <c r="C468" s="1">
        <v>6</v>
      </c>
      <c r="D468" s="1">
        <v>5</v>
      </c>
      <c r="E468" s="1">
        <v>1</v>
      </c>
      <c r="F468" t="s">
        <v>1623</v>
      </c>
      <c r="G468" s="1" t="str">
        <f>_xlfn.XLOOKUP(engagement[[#This Row],[SessionID]],session_data[SessionID],session_data[Traffic Source])</f>
        <v>Direct</v>
      </c>
    </row>
    <row r="469" spans="1:7" x14ac:dyDescent="0.25">
      <c r="A469" s="1" t="s">
        <v>727</v>
      </c>
      <c r="B469" s="1">
        <v>344</v>
      </c>
      <c r="C469" s="1">
        <v>14</v>
      </c>
      <c r="D469" s="1">
        <v>4</v>
      </c>
      <c r="E469" s="1">
        <v>0</v>
      </c>
      <c r="F469" t="s">
        <v>1625</v>
      </c>
      <c r="G469" s="1" t="str">
        <f>_xlfn.XLOOKUP(engagement[[#This Row],[SessionID]],session_data[SessionID],session_data[Traffic Source])</f>
        <v>Direct</v>
      </c>
    </row>
    <row r="470" spans="1:7" x14ac:dyDescent="0.25">
      <c r="A470" s="1" t="s">
        <v>728</v>
      </c>
      <c r="B470" s="1">
        <v>38</v>
      </c>
      <c r="C470" s="1">
        <v>4</v>
      </c>
      <c r="D470" s="1">
        <v>4</v>
      </c>
      <c r="E470" s="1">
        <v>0</v>
      </c>
      <c r="F470" t="s">
        <v>1622</v>
      </c>
      <c r="G470" s="1" t="str">
        <f>_xlfn.XLOOKUP(engagement[[#This Row],[SessionID]],session_data[SessionID],session_data[Traffic Source])</f>
        <v>Paid Ads</v>
      </c>
    </row>
    <row r="471" spans="1:7" x14ac:dyDescent="0.25">
      <c r="A471" s="1" t="s">
        <v>730</v>
      </c>
      <c r="B471" s="1">
        <v>95</v>
      </c>
      <c r="C471" s="1">
        <v>4</v>
      </c>
      <c r="D471" s="1">
        <v>4</v>
      </c>
      <c r="E471" s="1">
        <v>1</v>
      </c>
      <c r="F471" t="s">
        <v>1623</v>
      </c>
      <c r="G471" s="1" t="str">
        <f>_xlfn.XLOOKUP(engagement[[#This Row],[SessionID]],session_data[SessionID],session_data[Traffic Source])</f>
        <v>Direct</v>
      </c>
    </row>
    <row r="472" spans="1:7" x14ac:dyDescent="0.25">
      <c r="A472" s="1" t="s">
        <v>732</v>
      </c>
      <c r="B472" s="1">
        <v>214</v>
      </c>
      <c r="C472" s="1">
        <v>9</v>
      </c>
      <c r="D472" s="1">
        <v>4</v>
      </c>
      <c r="E472" s="1">
        <v>1</v>
      </c>
      <c r="F472" t="s">
        <v>1623</v>
      </c>
      <c r="G472" s="1" t="str">
        <f>_xlfn.XLOOKUP(engagement[[#This Row],[SessionID]],session_data[SessionID],session_data[Traffic Source])</f>
        <v>Direct</v>
      </c>
    </row>
    <row r="473" spans="1:7" x14ac:dyDescent="0.25">
      <c r="A473" s="1" t="s">
        <v>733</v>
      </c>
      <c r="B473" s="1">
        <v>57</v>
      </c>
      <c r="C473" s="1">
        <v>4</v>
      </c>
      <c r="D473" s="1">
        <v>4</v>
      </c>
      <c r="E473" s="1">
        <v>0</v>
      </c>
      <c r="F473" t="s">
        <v>1626</v>
      </c>
      <c r="G473" s="1" t="str">
        <f>_xlfn.XLOOKUP(engagement[[#This Row],[SessionID]],session_data[SessionID],session_data[Traffic Source])</f>
        <v>Direct</v>
      </c>
    </row>
    <row r="474" spans="1:7" x14ac:dyDescent="0.25">
      <c r="A474" s="1" t="s">
        <v>734</v>
      </c>
      <c r="B474" s="1">
        <v>331</v>
      </c>
      <c r="C474" s="1">
        <v>14</v>
      </c>
      <c r="D474" s="1">
        <v>4</v>
      </c>
      <c r="E474" s="1">
        <v>0</v>
      </c>
      <c r="F474" t="s">
        <v>1622</v>
      </c>
      <c r="G474" s="1" t="str">
        <f>_xlfn.XLOOKUP(engagement[[#This Row],[SessionID]],session_data[SessionID],session_data[Traffic Source])</f>
        <v>Direct</v>
      </c>
    </row>
    <row r="475" spans="1:7" x14ac:dyDescent="0.25">
      <c r="A475" s="1" t="s">
        <v>735</v>
      </c>
      <c r="B475" s="1">
        <v>168</v>
      </c>
      <c r="C475" s="1">
        <v>7</v>
      </c>
      <c r="D475" s="1">
        <v>4</v>
      </c>
      <c r="E475" s="1">
        <v>0</v>
      </c>
      <c r="F475" t="s">
        <v>1622</v>
      </c>
      <c r="G475" s="1" t="str">
        <f>_xlfn.XLOOKUP(engagement[[#This Row],[SessionID]],session_data[SessionID],session_data[Traffic Source])</f>
        <v>Organic Search</v>
      </c>
    </row>
    <row r="476" spans="1:7" x14ac:dyDescent="0.25">
      <c r="A476" s="1" t="s">
        <v>737</v>
      </c>
      <c r="B476" s="1">
        <v>274</v>
      </c>
      <c r="C476" s="1">
        <v>10</v>
      </c>
      <c r="D476" s="1">
        <v>5</v>
      </c>
      <c r="E476" s="1">
        <v>1</v>
      </c>
      <c r="F476" t="s">
        <v>1623</v>
      </c>
      <c r="G476" s="1" t="str">
        <f>_xlfn.XLOOKUP(engagement[[#This Row],[SessionID]],session_data[SessionID],session_data[Traffic Source])</f>
        <v>Organic Search</v>
      </c>
    </row>
    <row r="477" spans="1:7" x14ac:dyDescent="0.25">
      <c r="A477" s="1" t="s">
        <v>738</v>
      </c>
      <c r="B477" s="1">
        <v>324</v>
      </c>
      <c r="C477" s="1">
        <v>13</v>
      </c>
      <c r="D477" s="1">
        <v>4</v>
      </c>
      <c r="E477" s="1">
        <v>0</v>
      </c>
      <c r="F477" t="s">
        <v>1626</v>
      </c>
      <c r="G477" s="1" t="str">
        <f>_xlfn.XLOOKUP(engagement[[#This Row],[SessionID]],session_data[SessionID],session_data[Traffic Source])</f>
        <v>Direct</v>
      </c>
    </row>
    <row r="478" spans="1:7" x14ac:dyDescent="0.25">
      <c r="A478" s="1" t="s">
        <v>740</v>
      </c>
      <c r="B478" s="1">
        <v>137</v>
      </c>
      <c r="C478" s="1">
        <v>6</v>
      </c>
      <c r="D478" s="1">
        <v>5</v>
      </c>
      <c r="E478" s="1">
        <v>1</v>
      </c>
      <c r="F478" t="s">
        <v>1623</v>
      </c>
      <c r="G478" s="1" t="str">
        <f>_xlfn.XLOOKUP(engagement[[#This Row],[SessionID]],session_data[SessionID],session_data[Traffic Source])</f>
        <v>Direct</v>
      </c>
    </row>
    <row r="479" spans="1:7" x14ac:dyDescent="0.25">
      <c r="A479" s="1" t="s">
        <v>741</v>
      </c>
      <c r="B479" s="1">
        <v>312</v>
      </c>
      <c r="C479" s="1">
        <v>12</v>
      </c>
      <c r="D479" s="1">
        <v>4</v>
      </c>
      <c r="E479" s="1">
        <v>0</v>
      </c>
      <c r="F479" t="s">
        <v>1622</v>
      </c>
      <c r="G479" s="1" t="str">
        <f>_xlfn.XLOOKUP(engagement[[#This Row],[SessionID]],session_data[SessionID],session_data[Traffic Source])</f>
        <v>Direct</v>
      </c>
    </row>
    <row r="480" spans="1:7" x14ac:dyDescent="0.25">
      <c r="A480" s="1" t="s">
        <v>742</v>
      </c>
      <c r="B480" s="1">
        <v>37</v>
      </c>
      <c r="C480" s="1">
        <v>3</v>
      </c>
      <c r="D480" s="1">
        <v>3</v>
      </c>
      <c r="E480" s="1">
        <v>0</v>
      </c>
      <c r="F480" t="s">
        <v>1626</v>
      </c>
      <c r="G480" s="1" t="str">
        <f>_xlfn.XLOOKUP(engagement[[#This Row],[SessionID]],session_data[SessionID],session_data[Traffic Source])</f>
        <v>Organic Search</v>
      </c>
    </row>
    <row r="481" spans="1:7" x14ac:dyDescent="0.25">
      <c r="A481" s="1" t="s">
        <v>744</v>
      </c>
      <c r="B481" s="1">
        <v>226</v>
      </c>
      <c r="C481" s="1">
        <v>9</v>
      </c>
      <c r="D481" s="1">
        <v>3</v>
      </c>
      <c r="E481" s="1">
        <v>1</v>
      </c>
      <c r="F481" t="s">
        <v>1623</v>
      </c>
      <c r="G481" s="1" t="str">
        <f>_xlfn.XLOOKUP(engagement[[#This Row],[SessionID]],session_data[SessionID],session_data[Traffic Source])</f>
        <v>Organic Search</v>
      </c>
    </row>
    <row r="482" spans="1:7" x14ac:dyDescent="0.25">
      <c r="A482" s="1" t="s">
        <v>745</v>
      </c>
      <c r="B482" s="1">
        <v>207</v>
      </c>
      <c r="C482" s="1">
        <v>8</v>
      </c>
      <c r="D482" s="1">
        <v>4</v>
      </c>
      <c r="E482" s="1">
        <v>0</v>
      </c>
      <c r="F482" t="s">
        <v>1625</v>
      </c>
      <c r="G482" s="1" t="str">
        <f>_xlfn.XLOOKUP(engagement[[#This Row],[SessionID]],session_data[SessionID],session_data[Traffic Source])</f>
        <v>Paid Ads</v>
      </c>
    </row>
    <row r="483" spans="1:7" x14ac:dyDescent="0.25">
      <c r="A483" s="1" t="s">
        <v>747</v>
      </c>
      <c r="B483" s="1">
        <v>86</v>
      </c>
      <c r="C483" s="1">
        <v>4</v>
      </c>
      <c r="D483" s="1">
        <v>4</v>
      </c>
      <c r="E483" s="1">
        <v>0</v>
      </c>
      <c r="F483" t="s">
        <v>1622</v>
      </c>
      <c r="G483" s="1" t="str">
        <f>_xlfn.XLOOKUP(engagement[[#This Row],[SessionID]],session_data[SessionID],session_data[Traffic Source])</f>
        <v>Paid Ads</v>
      </c>
    </row>
    <row r="484" spans="1:7" x14ac:dyDescent="0.25">
      <c r="A484" s="1" t="s">
        <v>748</v>
      </c>
      <c r="B484" s="1">
        <v>222</v>
      </c>
      <c r="C484" s="1">
        <v>9</v>
      </c>
      <c r="D484" s="1">
        <v>4</v>
      </c>
      <c r="E484" s="1">
        <v>1</v>
      </c>
      <c r="F484" t="s">
        <v>1623</v>
      </c>
      <c r="G484" s="1" t="str">
        <f>_xlfn.XLOOKUP(engagement[[#This Row],[SessionID]],session_data[SessionID],session_data[Traffic Source])</f>
        <v>Organic Search</v>
      </c>
    </row>
    <row r="485" spans="1:7" x14ac:dyDescent="0.25">
      <c r="A485" s="1" t="s">
        <v>750</v>
      </c>
      <c r="B485" s="1">
        <v>281</v>
      </c>
      <c r="C485" s="1">
        <v>11</v>
      </c>
      <c r="D485" s="1">
        <v>4</v>
      </c>
      <c r="E485" s="1">
        <v>0</v>
      </c>
      <c r="F485" t="s">
        <v>1625</v>
      </c>
      <c r="G485" s="1" t="str">
        <f>_xlfn.XLOOKUP(engagement[[#This Row],[SessionID]],session_data[SessionID],session_data[Traffic Source])</f>
        <v>Organic Search</v>
      </c>
    </row>
    <row r="486" spans="1:7" x14ac:dyDescent="0.25">
      <c r="A486" s="1" t="s">
        <v>751</v>
      </c>
      <c r="B486" s="1">
        <v>59</v>
      </c>
      <c r="C486" s="1">
        <v>4</v>
      </c>
      <c r="D486" s="1">
        <v>4</v>
      </c>
      <c r="E486" s="1">
        <v>0</v>
      </c>
      <c r="F486" t="s">
        <v>1625</v>
      </c>
      <c r="G486" s="1" t="str">
        <f>_xlfn.XLOOKUP(engagement[[#This Row],[SessionID]],session_data[SessionID],session_data[Traffic Source])</f>
        <v>Direct</v>
      </c>
    </row>
    <row r="487" spans="1:7" x14ac:dyDescent="0.25">
      <c r="A487" s="1" t="s">
        <v>753</v>
      </c>
      <c r="B487" s="1">
        <v>50</v>
      </c>
      <c r="C487" s="1">
        <v>3</v>
      </c>
      <c r="D487" s="1">
        <v>1</v>
      </c>
      <c r="E487" s="1">
        <v>0</v>
      </c>
      <c r="F487" t="s">
        <v>1622</v>
      </c>
      <c r="G487" s="1" t="str">
        <f>_xlfn.XLOOKUP(engagement[[#This Row],[SessionID]],session_data[SessionID],session_data[Traffic Source])</f>
        <v>Direct</v>
      </c>
    </row>
    <row r="488" spans="1:7" x14ac:dyDescent="0.25">
      <c r="A488" s="1" t="s">
        <v>755</v>
      </c>
      <c r="B488" s="1">
        <v>28</v>
      </c>
      <c r="C488" s="1">
        <v>1</v>
      </c>
      <c r="D488" s="1">
        <v>1</v>
      </c>
      <c r="E488" s="1">
        <v>1</v>
      </c>
      <c r="F488" t="s">
        <v>1623</v>
      </c>
      <c r="G488" s="1" t="str">
        <f>_xlfn.XLOOKUP(engagement[[#This Row],[SessionID]],session_data[SessionID],session_data[Traffic Source])</f>
        <v>Direct</v>
      </c>
    </row>
    <row r="489" spans="1:7" x14ac:dyDescent="0.25">
      <c r="A489" s="1" t="s">
        <v>756</v>
      </c>
      <c r="B489" s="1">
        <v>324</v>
      </c>
      <c r="C489" s="1">
        <v>13</v>
      </c>
      <c r="D489" s="1">
        <v>1</v>
      </c>
      <c r="E489" s="1">
        <v>1</v>
      </c>
      <c r="F489" t="s">
        <v>1623</v>
      </c>
      <c r="G489" s="1" t="str">
        <f>_xlfn.XLOOKUP(engagement[[#This Row],[SessionID]],session_data[SessionID],session_data[Traffic Source])</f>
        <v>Direct</v>
      </c>
    </row>
    <row r="490" spans="1:7" x14ac:dyDescent="0.25">
      <c r="A490" s="1" t="s">
        <v>757</v>
      </c>
      <c r="B490" s="1">
        <v>339</v>
      </c>
      <c r="C490" s="1">
        <v>13</v>
      </c>
      <c r="D490" s="1">
        <v>4</v>
      </c>
      <c r="E490" s="1">
        <v>0</v>
      </c>
      <c r="F490" t="s">
        <v>1626</v>
      </c>
      <c r="G490" s="1" t="str">
        <f>_xlfn.XLOOKUP(engagement[[#This Row],[SessionID]],session_data[SessionID],session_data[Traffic Source])</f>
        <v>Paid Ads</v>
      </c>
    </row>
    <row r="491" spans="1:7" x14ac:dyDescent="0.25">
      <c r="A491" s="1" t="s">
        <v>759</v>
      </c>
      <c r="B491" s="1">
        <v>204</v>
      </c>
      <c r="C491" s="1">
        <v>8</v>
      </c>
      <c r="D491" s="1">
        <v>4</v>
      </c>
      <c r="E491" s="1">
        <v>0</v>
      </c>
      <c r="F491" t="s">
        <v>1626</v>
      </c>
      <c r="G491" s="1" t="str">
        <f>_xlfn.XLOOKUP(engagement[[#This Row],[SessionID]],session_data[SessionID],session_data[Traffic Source])</f>
        <v>Organic Search</v>
      </c>
    </row>
    <row r="492" spans="1:7" x14ac:dyDescent="0.25">
      <c r="A492" s="1" t="s">
        <v>761</v>
      </c>
      <c r="B492" s="1">
        <v>137</v>
      </c>
      <c r="C492" s="1">
        <v>6</v>
      </c>
      <c r="D492" s="1">
        <v>4</v>
      </c>
      <c r="E492" s="1">
        <v>1</v>
      </c>
      <c r="F492" t="s">
        <v>1623</v>
      </c>
      <c r="G492" s="1" t="str">
        <f>_xlfn.XLOOKUP(engagement[[#This Row],[SessionID]],session_data[SessionID],session_data[Traffic Source])</f>
        <v>Direct</v>
      </c>
    </row>
    <row r="493" spans="1:7" x14ac:dyDescent="0.25">
      <c r="A493" s="1" t="s">
        <v>763</v>
      </c>
      <c r="B493" s="1">
        <v>33</v>
      </c>
      <c r="C493" s="1">
        <v>4</v>
      </c>
      <c r="D493" s="1">
        <v>4</v>
      </c>
      <c r="E493" s="1">
        <v>0</v>
      </c>
      <c r="F493" t="s">
        <v>1626</v>
      </c>
      <c r="G493" s="1" t="str">
        <f>_xlfn.XLOOKUP(engagement[[#This Row],[SessionID]],session_data[SessionID],session_data[Traffic Source])</f>
        <v>Direct</v>
      </c>
    </row>
    <row r="494" spans="1:7" x14ac:dyDescent="0.25">
      <c r="A494" s="1" t="s">
        <v>764</v>
      </c>
      <c r="B494" s="1">
        <v>92</v>
      </c>
      <c r="C494" s="1">
        <v>4</v>
      </c>
      <c r="D494" s="1">
        <v>4</v>
      </c>
      <c r="E494" s="1">
        <v>0</v>
      </c>
      <c r="F494" t="s">
        <v>1625</v>
      </c>
      <c r="G494" s="1" t="str">
        <f>_xlfn.XLOOKUP(engagement[[#This Row],[SessionID]],session_data[SessionID],session_data[Traffic Source])</f>
        <v>Organic Search</v>
      </c>
    </row>
    <row r="495" spans="1:7" x14ac:dyDescent="0.25">
      <c r="A495" s="1" t="s">
        <v>766</v>
      </c>
      <c r="B495" s="1">
        <v>244</v>
      </c>
      <c r="C495" s="1">
        <v>10</v>
      </c>
      <c r="D495" s="1">
        <v>3</v>
      </c>
      <c r="E495" s="1">
        <v>0</v>
      </c>
      <c r="F495" t="s">
        <v>1622</v>
      </c>
      <c r="G495" s="1" t="str">
        <f>_xlfn.XLOOKUP(engagement[[#This Row],[SessionID]],session_data[SessionID],session_data[Traffic Source])</f>
        <v>Social Media</v>
      </c>
    </row>
    <row r="496" spans="1:7" x14ac:dyDescent="0.25">
      <c r="A496" s="1" t="s">
        <v>768</v>
      </c>
      <c r="B496" s="1">
        <v>153</v>
      </c>
      <c r="C496" s="1">
        <v>7</v>
      </c>
      <c r="D496" s="1">
        <v>3</v>
      </c>
      <c r="E496" s="1">
        <v>0</v>
      </c>
      <c r="F496" t="s">
        <v>1622</v>
      </c>
      <c r="G496" s="1" t="str">
        <f>_xlfn.XLOOKUP(engagement[[#This Row],[SessionID]],session_data[SessionID],session_data[Traffic Source])</f>
        <v>Social Media</v>
      </c>
    </row>
    <row r="497" spans="1:7" x14ac:dyDescent="0.25">
      <c r="A497" s="1" t="s">
        <v>769</v>
      </c>
      <c r="B497" s="1">
        <v>334</v>
      </c>
      <c r="C497" s="1">
        <v>13</v>
      </c>
      <c r="D497" s="1">
        <v>3</v>
      </c>
      <c r="E497" s="1">
        <v>1</v>
      </c>
      <c r="F497" t="s">
        <v>1623</v>
      </c>
      <c r="G497" s="1" t="str">
        <f>_xlfn.XLOOKUP(engagement[[#This Row],[SessionID]],session_data[SessionID],session_data[Traffic Source])</f>
        <v>Social Media</v>
      </c>
    </row>
    <row r="498" spans="1:7" x14ac:dyDescent="0.25">
      <c r="A498" s="1" t="s">
        <v>770</v>
      </c>
      <c r="B498" s="1">
        <v>342</v>
      </c>
      <c r="C498" s="1">
        <v>14</v>
      </c>
      <c r="D498" s="1">
        <v>4</v>
      </c>
      <c r="E498" s="1">
        <v>0</v>
      </c>
      <c r="F498" t="s">
        <v>1625</v>
      </c>
      <c r="G498" s="1" t="str">
        <f>_xlfn.XLOOKUP(engagement[[#This Row],[SessionID]],session_data[SessionID],session_data[Traffic Source])</f>
        <v>Social Media</v>
      </c>
    </row>
    <row r="499" spans="1:7" x14ac:dyDescent="0.25">
      <c r="A499" s="1" t="s">
        <v>771</v>
      </c>
      <c r="B499" s="1">
        <v>251</v>
      </c>
      <c r="C499" s="1">
        <v>10</v>
      </c>
      <c r="D499" s="1">
        <v>4</v>
      </c>
      <c r="E499" s="1">
        <v>0</v>
      </c>
      <c r="F499" t="s">
        <v>1622</v>
      </c>
      <c r="G499" s="1" t="str">
        <f>_xlfn.XLOOKUP(engagement[[#This Row],[SessionID]],session_data[SessionID],session_data[Traffic Source])</f>
        <v>Direct</v>
      </c>
    </row>
    <row r="500" spans="1:7" x14ac:dyDescent="0.25">
      <c r="A500" s="1" t="s">
        <v>773</v>
      </c>
      <c r="B500" s="1">
        <v>132</v>
      </c>
      <c r="C500" s="1">
        <v>6</v>
      </c>
      <c r="D500" s="1">
        <v>4</v>
      </c>
      <c r="E500" s="1">
        <v>0</v>
      </c>
      <c r="F500" t="s">
        <v>1625</v>
      </c>
      <c r="G500" s="1" t="str">
        <f>_xlfn.XLOOKUP(engagement[[#This Row],[SessionID]],session_data[SessionID],session_data[Traffic Source])</f>
        <v>Direct</v>
      </c>
    </row>
    <row r="501" spans="1:7" x14ac:dyDescent="0.25">
      <c r="A501" s="1" t="s">
        <v>774</v>
      </c>
      <c r="B501" s="1">
        <v>90</v>
      </c>
      <c r="C501" s="1">
        <v>5</v>
      </c>
      <c r="D501" s="1">
        <v>5</v>
      </c>
      <c r="E501" s="1">
        <v>1</v>
      </c>
      <c r="F501" t="s">
        <v>1623</v>
      </c>
      <c r="G501" s="1" t="str">
        <f>_xlfn.XLOOKUP(engagement[[#This Row],[SessionID]],session_data[SessionID],session_data[Traffic Source])</f>
        <v>Direct</v>
      </c>
    </row>
    <row r="502" spans="1:7" x14ac:dyDescent="0.25">
      <c r="A502" s="1" t="s">
        <v>775</v>
      </c>
      <c r="B502" s="1">
        <v>34</v>
      </c>
      <c r="C502" s="1">
        <v>5</v>
      </c>
      <c r="D502" s="1">
        <v>5</v>
      </c>
      <c r="E502" s="1">
        <v>1</v>
      </c>
      <c r="F502" t="s">
        <v>1623</v>
      </c>
      <c r="G502" s="1" t="str">
        <f>_xlfn.XLOOKUP(engagement[[#This Row],[SessionID]],session_data[SessionID],session_data[Traffic Source])</f>
        <v>Direct</v>
      </c>
    </row>
    <row r="503" spans="1:7" x14ac:dyDescent="0.25">
      <c r="A503" s="1" t="s">
        <v>776</v>
      </c>
      <c r="B503" s="1">
        <v>202</v>
      </c>
      <c r="C503" s="1">
        <v>8</v>
      </c>
      <c r="D503" s="1">
        <v>5</v>
      </c>
      <c r="E503" s="1">
        <v>1</v>
      </c>
      <c r="F503" t="s">
        <v>1623</v>
      </c>
      <c r="G503" s="1" t="str">
        <f>_xlfn.XLOOKUP(engagement[[#This Row],[SessionID]],session_data[SessionID],session_data[Traffic Source])</f>
        <v>Direct</v>
      </c>
    </row>
    <row r="504" spans="1:7" x14ac:dyDescent="0.25">
      <c r="A504" s="1" t="s">
        <v>777</v>
      </c>
      <c r="B504" s="1">
        <v>301</v>
      </c>
      <c r="C504" s="1">
        <v>12</v>
      </c>
      <c r="D504" s="1">
        <v>4</v>
      </c>
      <c r="E504" s="1">
        <v>0</v>
      </c>
      <c r="F504" t="s">
        <v>1625</v>
      </c>
      <c r="G504" s="1" t="str">
        <f>_xlfn.XLOOKUP(engagement[[#This Row],[SessionID]],session_data[SessionID],session_data[Traffic Source])</f>
        <v>Direct</v>
      </c>
    </row>
    <row r="505" spans="1:7" x14ac:dyDescent="0.25">
      <c r="A505" s="1" t="s">
        <v>779</v>
      </c>
      <c r="B505" s="1">
        <v>124</v>
      </c>
      <c r="C505" s="1">
        <v>5</v>
      </c>
      <c r="D505" s="1">
        <v>3</v>
      </c>
      <c r="E505" s="1">
        <v>0</v>
      </c>
      <c r="F505" t="s">
        <v>1622</v>
      </c>
      <c r="G505" s="1" t="str">
        <f>_xlfn.XLOOKUP(engagement[[#This Row],[SessionID]],session_data[SessionID],session_data[Traffic Source])</f>
        <v>Direct</v>
      </c>
    </row>
    <row r="506" spans="1:7" x14ac:dyDescent="0.25">
      <c r="A506" s="1" t="s">
        <v>780</v>
      </c>
      <c r="B506" s="1">
        <v>177</v>
      </c>
      <c r="C506" s="1">
        <v>7</v>
      </c>
      <c r="D506" s="1">
        <v>3</v>
      </c>
      <c r="E506" s="1">
        <v>0</v>
      </c>
      <c r="F506" t="s">
        <v>1622</v>
      </c>
      <c r="G506" s="1" t="str">
        <f>_xlfn.XLOOKUP(engagement[[#This Row],[SessionID]],session_data[SessionID],session_data[Traffic Source])</f>
        <v>Direct</v>
      </c>
    </row>
    <row r="507" spans="1:7" x14ac:dyDescent="0.25">
      <c r="A507" s="1" t="s">
        <v>781</v>
      </c>
      <c r="B507" s="1">
        <v>289</v>
      </c>
      <c r="C507" s="1">
        <v>12</v>
      </c>
      <c r="D507" s="1">
        <v>3</v>
      </c>
      <c r="E507" s="1">
        <v>0</v>
      </c>
      <c r="F507" t="s">
        <v>1622</v>
      </c>
      <c r="G507" s="1" t="str">
        <f>_xlfn.XLOOKUP(engagement[[#This Row],[SessionID]],session_data[SessionID],session_data[Traffic Source])</f>
        <v>Direct</v>
      </c>
    </row>
    <row r="508" spans="1:7" x14ac:dyDescent="0.25">
      <c r="A508" s="1" t="s">
        <v>782</v>
      </c>
      <c r="B508" s="1">
        <v>324</v>
      </c>
      <c r="C508" s="1">
        <v>14</v>
      </c>
      <c r="D508" s="1">
        <v>4</v>
      </c>
      <c r="E508" s="1">
        <v>0</v>
      </c>
      <c r="F508" t="s">
        <v>1626</v>
      </c>
      <c r="G508" s="1" t="str">
        <f>_xlfn.XLOOKUP(engagement[[#This Row],[SessionID]],session_data[SessionID],session_data[Traffic Source])</f>
        <v>Direct</v>
      </c>
    </row>
    <row r="509" spans="1:7" x14ac:dyDescent="0.25">
      <c r="A509" s="1" t="s">
        <v>784</v>
      </c>
      <c r="B509" s="1">
        <v>45</v>
      </c>
      <c r="C509" s="1">
        <v>2</v>
      </c>
      <c r="D509" s="1">
        <v>1</v>
      </c>
      <c r="E509" s="1">
        <v>0</v>
      </c>
      <c r="F509" t="s">
        <v>1626</v>
      </c>
      <c r="G509" s="1" t="str">
        <f>_xlfn.XLOOKUP(engagement[[#This Row],[SessionID]],session_data[SessionID],session_data[Traffic Source])</f>
        <v>Direct</v>
      </c>
    </row>
    <row r="510" spans="1:7" x14ac:dyDescent="0.25">
      <c r="A510" s="1" t="s">
        <v>786</v>
      </c>
      <c r="B510" s="1">
        <v>294</v>
      </c>
      <c r="C510" s="1">
        <v>12</v>
      </c>
      <c r="D510" s="1">
        <v>4</v>
      </c>
      <c r="E510" s="1">
        <v>0</v>
      </c>
      <c r="F510" t="s">
        <v>1625</v>
      </c>
      <c r="G510" s="1" t="str">
        <f>_xlfn.XLOOKUP(engagement[[#This Row],[SessionID]],session_data[SessionID],session_data[Traffic Source])</f>
        <v>Organic Search</v>
      </c>
    </row>
    <row r="511" spans="1:7" x14ac:dyDescent="0.25">
      <c r="A511" s="1" t="s">
        <v>788</v>
      </c>
      <c r="B511" s="1">
        <v>86</v>
      </c>
      <c r="C511" s="1">
        <v>4</v>
      </c>
      <c r="D511" s="1">
        <v>2</v>
      </c>
      <c r="E511" s="1">
        <v>1</v>
      </c>
      <c r="F511" t="s">
        <v>1623</v>
      </c>
      <c r="G511" s="1" t="str">
        <f>_xlfn.XLOOKUP(engagement[[#This Row],[SessionID]],session_data[SessionID],session_data[Traffic Source])</f>
        <v>Organic Search</v>
      </c>
    </row>
    <row r="512" spans="1:7" x14ac:dyDescent="0.25">
      <c r="A512" s="1" t="s">
        <v>789</v>
      </c>
      <c r="B512" s="1">
        <v>252</v>
      </c>
      <c r="C512" s="1">
        <v>10</v>
      </c>
      <c r="D512" s="1">
        <v>2</v>
      </c>
      <c r="E512" s="1">
        <v>1</v>
      </c>
      <c r="F512" t="s">
        <v>1623</v>
      </c>
      <c r="G512" s="1" t="str">
        <f>_xlfn.XLOOKUP(engagement[[#This Row],[SessionID]],session_data[SessionID],session_data[Traffic Source])</f>
        <v>Organic Search</v>
      </c>
    </row>
    <row r="513" spans="1:7" x14ac:dyDescent="0.25">
      <c r="A513" s="1" t="s">
        <v>790</v>
      </c>
      <c r="B513" s="1">
        <v>349</v>
      </c>
      <c r="C513" s="1">
        <v>14</v>
      </c>
      <c r="D513" s="1">
        <v>2</v>
      </c>
      <c r="E513" s="1">
        <v>0</v>
      </c>
      <c r="F513" t="s">
        <v>1622</v>
      </c>
      <c r="G513" s="1" t="str">
        <f>_xlfn.XLOOKUP(engagement[[#This Row],[SessionID]],session_data[SessionID],session_data[Traffic Source])</f>
        <v>Organic Search</v>
      </c>
    </row>
    <row r="514" spans="1:7" x14ac:dyDescent="0.25">
      <c r="A514" s="1" t="s">
        <v>791</v>
      </c>
      <c r="B514" s="1">
        <v>244</v>
      </c>
      <c r="C514" s="1">
        <v>10</v>
      </c>
      <c r="D514" s="1">
        <v>4</v>
      </c>
      <c r="E514" s="1">
        <v>1</v>
      </c>
      <c r="F514" t="s">
        <v>1623</v>
      </c>
      <c r="G514" s="1" t="str">
        <f>_xlfn.XLOOKUP(engagement[[#This Row],[SessionID]],session_data[SessionID],session_data[Traffic Source])</f>
        <v>Direct</v>
      </c>
    </row>
    <row r="515" spans="1:7" x14ac:dyDescent="0.25">
      <c r="A515" s="1" t="s">
        <v>793</v>
      </c>
      <c r="B515" s="1">
        <v>68</v>
      </c>
      <c r="C515" s="1">
        <v>4</v>
      </c>
      <c r="D515" s="1">
        <v>4</v>
      </c>
      <c r="E515" s="1">
        <v>0</v>
      </c>
      <c r="F515" t="s">
        <v>1622</v>
      </c>
      <c r="G515" s="1" t="str">
        <f>_xlfn.XLOOKUP(engagement[[#This Row],[SessionID]],session_data[SessionID],session_data[Traffic Source])</f>
        <v>Direct</v>
      </c>
    </row>
    <row r="516" spans="1:7" x14ac:dyDescent="0.25">
      <c r="A516" s="1" t="s">
        <v>794</v>
      </c>
      <c r="B516" s="1">
        <v>63</v>
      </c>
      <c r="C516" s="1">
        <v>3</v>
      </c>
      <c r="D516" s="1">
        <v>3</v>
      </c>
      <c r="E516" s="1">
        <v>1</v>
      </c>
      <c r="F516" t="s">
        <v>1623</v>
      </c>
      <c r="G516" s="1" t="str">
        <f>_xlfn.XLOOKUP(engagement[[#This Row],[SessionID]],session_data[SessionID],session_data[Traffic Source])</f>
        <v>Organic Search</v>
      </c>
    </row>
    <row r="517" spans="1:7" x14ac:dyDescent="0.25">
      <c r="A517" s="1" t="s">
        <v>796</v>
      </c>
      <c r="B517" s="1">
        <v>252</v>
      </c>
      <c r="C517" s="1">
        <v>9</v>
      </c>
      <c r="D517" s="1">
        <v>3</v>
      </c>
      <c r="E517" s="1">
        <v>0</v>
      </c>
      <c r="F517" t="s">
        <v>1626</v>
      </c>
      <c r="G517" s="1" t="str">
        <f>_xlfn.XLOOKUP(engagement[[#This Row],[SessionID]],session_data[SessionID],session_data[Traffic Source])</f>
        <v>Organic Search</v>
      </c>
    </row>
    <row r="518" spans="1:7" x14ac:dyDescent="0.25">
      <c r="A518" s="1" t="s">
        <v>797</v>
      </c>
      <c r="B518" s="1">
        <v>171</v>
      </c>
      <c r="C518" s="1">
        <v>7</v>
      </c>
      <c r="D518" s="1">
        <v>3</v>
      </c>
      <c r="E518" s="1">
        <v>1</v>
      </c>
      <c r="F518" t="s">
        <v>1623</v>
      </c>
      <c r="G518" s="1" t="str">
        <f>_xlfn.XLOOKUP(engagement[[#This Row],[SessionID]],session_data[SessionID],session_data[Traffic Source])</f>
        <v>Organic Search</v>
      </c>
    </row>
    <row r="519" spans="1:7" x14ac:dyDescent="0.25">
      <c r="A519" s="1" t="s">
        <v>798</v>
      </c>
      <c r="B519" s="1">
        <v>255</v>
      </c>
      <c r="C519" s="1">
        <v>10</v>
      </c>
      <c r="D519" s="1">
        <v>3</v>
      </c>
      <c r="E519" s="1">
        <v>1</v>
      </c>
      <c r="F519" t="s">
        <v>1623</v>
      </c>
      <c r="G519" s="1" t="str">
        <f>_xlfn.XLOOKUP(engagement[[#This Row],[SessionID]],session_data[SessionID],session_data[Traffic Source])</f>
        <v>Organic Search</v>
      </c>
    </row>
    <row r="520" spans="1:7" x14ac:dyDescent="0.25">
      <c r="A520" s="1" t="s">
        <v>799</v>
      </c>
      <c r="B520" s="1">
        <v>308</v>
      </c>
      <c r="C520" s="1">
        <v>12</v>
      </c>
      <c r="D520" s="1">
        <v>4</v>
      </c>
      <c r="E520" s="1">
        <v>0</v>
      </c>
      <c r="F520" t="s">
        <v>1625</v>
      </c>
      <c r="G520" s="1" t="str">
        <f>_xlfn.XLOOKUP(engagement[[#This Row],[SessionID]],session_data[SessionID],session_data[Traffic Source])</f>
        <v>Organic Search</v>
      </c>
    </row>
    <row r="521" spans="1:7" x14ac:dyDescent="0.25">
      <c r="A521" s="1" t="s">
        <v>800</v>
      </c>
      <c r="B521" s="1">
        <v>187</v>
      </c>
      <c r="C521" s="1">
        <v>8</v>
      </c>
      <c r="D521" s="1">
        <v>1</v>
      </c>
      <c r="E521" s="1">
        <v>0</v>
      </c>
      <c r="F521" t="s">
        <v>1622</v>
      </c>
      <c r="G521" s="1" t="str">
        <f>_xlfn.XLOOKUP(engagement[[#This Row],[SessionID]],session_data[SessionID],session_data[Traffic Source])</f>
        <v>Paid Ads</v>
      </c>
    </row>
    <row r="522" spans="1:7" x14ac:dyDescent="0.25">
      <c r="A522" s="1" t="s">
        <v>802</v>
      </c>
      <c r="B522" s="1">
        <v>314</v>
      </c>
      <c r="C522" s="1">
        <v>12</v>
      </c>
      <c r="D522" s="1">
        <v>1</v>
      </c>
      <c r="E522" s="1">
        <v>1</v>
      </c>
      <c r="F522" t="s">
        <v>1623</v>
      </c>
      <c r="G522" s="1" t="str">
        <f>_xlfn.XLOOKUP(engagement[[#This Row],[SessionID]],session_data[SessionID],session_data[Traffic Source])</f>
        <v>Paid Ads</v>
      </c>
    </row>
    <row r="523" spans="1:7" x14ac:dyDescent="0.25">
      <c r="A523" s="1" t="s">
        <v>803</v>
      </c>
      <c r="B523" s="1">
        <v>179</v>
      </c>
      <c r="C523" s="1">
        <v>7</v>
      </c>
      <c r="D523" s="1">
        <v>4</v>
      </c>
      <c r="E523" s="1">
        <v>0</v>
      </c>
      <c r="F523" t="s">
        <v>1625</v>
      </c>
      <c r="G523" s="1" t="str">
        <f>_xlfn.XLOOKUP(engagement[[#This Row],[SessionID]],session_data[SessionID],session_data[Traffic Source])</f>
        <v>Paid Ads</v>
      </c>
    </row>
    <row r="524" spans="1:7" x14ac:dyDescent="0.25">
      <c r="A524" s="1" t="s">
        <v>804</v>
      </c>
      <c r="B524" s="1">
        <v>180</v>
      </c>
      <c r="C524" s="1">
        <v>7</v>
      </c>
      <c r="D524" s="1">
        <v>4</v>
      </c>
      <c r="E524" s="1">
        <v>0</v>
      </c>
      <c r="F524" t="s">
        <v>1625</v>
      </c>
      <c r="G524" s="1" t="str">
        <f>_xlfn.XLOOKUP(engagement[[#This Row],[SessionID]],session_data[SessionID],session_data[Traffic Source])</f>
        <v>Paid Ads</v>
      </c>
    </row>
    <row r="525" spans="1:7" x14ac:dyDescent="0.25">
      <c r="A525" s="1" t="s">
        <v>805</v>
      </c>
      <c r="B525" s="1">
        <v>324</v>
      </c>
      <c r="C525" s="1">
        <v>13</v>
      </c>
      <c r="D525" s="1">
        <v>1</v>
      </c>
      <c r="E525" s="1">
        <v>1</v>
      </c>
      <c r="F525" t="s">
        <v>1623</v>
      </c>
      <c r="G525" s="1" t="str">
        <f>_xlfn.XLOOKUP(engagement[[#This Row],[SessionID]],session_data[SessionID],session_data[Traffic Source])</f>
        <v>Paid Ads</v>
      </c>
    </row>
    <row r="526" spans="1:7" x14ac:dyDescent="0.25">
      <c r="A526" s="1" t="s">
        <v>806</v>
      </c>
      <c r="B526" s="1">
        <v>30</v>
      </c>
      <c r="C526" s="1">
        <v>5</v>
      </c>
      <c r="D526" s="1">
        <v>4</v>
      </c>
      <c r="E526" s="1">
        <v>0</v>
      </c>
      <c r="F526" t="s">
        <v>1626</v>
      </c>
      <c r="G526" s="1" t="str">
        <f>_xlfn.XLOOKUP(engagement[[#This Row],[SessionID]],session_data[SessionID],session_data[Traffic Source])</f>
        <v>Referral</v>
      </c>
    </row>
    <row r="527" spans="1:7" x14ac:dyDescent="0.25">
      <c r="A527" s="1" t="s">
        <v>808</v>
      </c>
      <c r="B527" s="1">
        <v>89</v>
      </c>
      <c r="C527" s="1">
        <v>5</v>
      </c>
      <c r="D527" s="1">
        <v>5</v>
      </c>
      <c r="E527" s="1">
        <v>1</v>
      </c>
      <c r="F527" t="s">
        <v>1623</v>
      </c>
      <c r="G527" s="1" t="str">
        <f>_xlfn.XLOOKUP(engagement[[#This Row],[SessionID]],session_data[SessionID],session_data[Traffic Source])</f>
        <v>Referral</v>
      </c>
    </row>
    <row r="528" spans="1:7" x14ac:dyDescent="0.25">
      <c r="A528" s="1" t="s">
        <v>809</v>
      </c>
      <c r="B528" s="1">
        <v>83</v>
      </c>
      <c r="C528" s="1">
        <v>5</v>
      </c>
      <c r="D528" s="1">
        <v>4</v>
      </c>
      <c r="E528" s="1">
        <v>0</v>
      </c>
      <c r="F528" t="s">
        <v>1622</v>
      </c>
      <c r="G528" s="1" t="str">
        <f>_xlfn.XLOOKUP(engagement[[#This Row],[SessionID]],session_data[SessionID],session_data[Traffic Source])</f>
        <v>Referral</v>
      </c>
    </row>
    <row r="529" spans="1:7" x14ac:dyDescent="0.25">
      <c r="A529" s="1" t="s">
        <v>810</v>
      </c>
      <c r="B529" s="1">
        <v>127</v>
      </c>
      <c r="C529" s="1">
        <v>5</v>
      </c>
      <c r="D529" s="1">
        <v>4</v>
      </c>
      <c r="E529" s="1">
        <v>0</v>
      </c>
      <c r="F529" t="s">
        <v>1622</v>
      </c>
      <c r="G529" s="1" t="str">
        <f>_xlfn.XLOOKUP(engagement[[#This Row],[SessionID]],session_data[SessionID],session_data[Traffic Source])</f>
        <v>Referral</v>
      </c>
    </row>
    <row r="530" spans="1:7" x14ac:dyDescent="0.25">
      <c r="A530" s="1" t="s">
        <v>811</v>
      </c>
      <c r="B530" s="1">
        <v>263</v>
      </c>
      <c r="C530" s="1">
        <v>11</v>
      </c>
      <c r="D530" s="1">
        <v>4</v>
      </c>
      <c r="E530" s="1">
        <v>0</v>
      </c>
      <c r="F530" t="s">
        <v>1622</v>
      </c>
      <c r="G530" s="1" t="str">
        <f>_xlfn.XLOOKUP(engagement[[#This Row],[SessionID]],session_data[SessionID],session_data[Traffic Source])</f>
        <v>Paid Ads</v>
      </c>
    </row>
    <row r="531" spans="1:7" x14ac:dyDescent="0.25">
      <c r="A531" s="1" t="s">
        <v>813</v>
      </c>
      <c r="B531" s="1">
        <v>268</v>
      </c>
      <c r="C531" s="1">
        <v>11</v>
      </c>
      <c r="D531" s="1">
        <v>4</v>
      </c>
      <c r="E531" s="1">
        <v>0</v>
      </c>
      <c r="F531" t="s">
        <v>1622</v>
      </c>
      <c r="G531" s="1" t="str">
        <f>_xlfn.XLOOKUP(engagement[[#This Row],[SessionID]],session_data[SessionID],session_data[Traffic Source])</f>
        <v>Referral</v>
      </c>
    </row>
    <row r="532" spans="1:7" x14ac:dyDescent="0.25">
      <c r="A532" s="1" t="s">
        <v>815</v>
      </c>
      <c r="B532" s="1">
        <v>39</v>
      </c>
      <c r="C532" s="1">
        <v>5</v>
      </c>
      <c r="D532" s="1">
        <v>4</v>
      </c>
      <c r="E532" s="1">
        <v>0</v>
      </c>
      <c r="F532" t="s">
        <v>1625</v>
      </c>
      <c r="G532" s="1" t="str">
        <f>_xlfn.XLOOKUP(engagement[[#This Row],[SessionID]],session_data[SessionID],session_data[Traffic Source])</f>
        <v>Organic Search</v>
      </c>
    </row>
    <row r="533" spans="1:7" x14ac:dyDescent="0.25">
      <c r="A533" s="1" t="s">
        <v>817</v>
      </c>
      <c r="B533" s="1">
        <v>230</v>
      </c>
      <c r="C533" s="1">
        <v>9</v>
      </c>
      <c r="D533" s="1">
        <v>4</v>
      </c>
      <c r="E533" s="1">
        <v>0</v>
      </c>
      <c r="F533" t="s">
        <v>1625</v>
      </c>
      <c r="G533" s="1" t="str">
        <f>_xlfn.XLOOKUP(engagement[[#This Row],[SessionID]],session_data[SessionID],session_data[Traffic Source])</f>
        <v>Organic Search</v>
      </c>
    </row>
    <row r="534" spans="1:7" x14ac:dyDescent="0.25">
      <c r="A534" s="1" t="s">
        <v>818</v>
      </c>
      <c r="B534" s="1">
        <v>328</v>
      </c>
      <c r="C534" s="1">
        <v>13</v>
      </c>
      <c r="D534" s="1">
        <v>4</v>
      </c>
      <c r="E534" s="1">
        <v>0</v>
      </c>
      <c r="F534" t="s">
        <v>1625</v>
      </c>
      <c r="G534" s="1" t="str">
        <f>_xlfn.XLOOKUP(engagement[[#This Row],[SessionID]],session_data[SessionID],session_data[Traffic Source])</f>
        <v>Organic Search</v>
      </c>
    </row>
    <row r="535" spans="1:7" x14ac:dyDescent="0.25">
      <c r="A535" s="1" t="s">
        <v>819</v>
      </c>
      <c r="B535" s="1">
        <v>126</v>
      </c>
      <c r="C535" s="1">
        <v>5</v>
      </c>
      <c r="D535" s="1">
        <v>5</v>
      </c>
      <c r="E535" s="1">
        <v>1</v>
      </c>
      <c r="F535" t="s">
        <v>1623</v>
      </c>
      <c r="G535" s="1" t="str">
        <f>_xlfn.XLOOKUP(engagement[[#This Row],[SessionID]],session_data[SessionID],session_data[Traffic Source])</f>
        <v>Organic Search</v>
      </c>
    </row>
    <row r="536" spans="1:7" x14ac:dyDescent="0.25">
      <c r="A536" s="1" t="s">
        <v>820</v>
      </c>
      <c r="B536" s="1">
        <v>224</v>
      </c>
      <c r="C536" s="1">
        <v>9</v>
      </c>
      <c r="D536" s="1">
        <v>2</v>
      </c>
      <c r="E536" s="1">
        <v>0</v>
      </c>
      <c r="F536" t="s">
        <v>1622</v>
      </c>
      <c r="G536" s="1" t="str">
        <f>_xlfn.XLOOKUP(engagement[[#This Row],[SessionID]],session_data[SessionID],session_data[Traffic Source])</f>
        <v>Direct</v>
      </c>
    </row>
    <row r="537" spans="1:7" x14ac:dyDescent="0.25">
      <c r="A537" s="1" t="s">
        <v>822</v>
      </c>
      <c r="B537" s="1">
        <v>192</v>
      </c>
      <c r="C537" s="1">
        <v>8</v>
      </c>
      <c r="D537" s="1">
        <v>4</v>
      </c>
      <c r="E537" s="1">
        <v>0</v>
      </c>
      <c r="F537" t="s">
        <v>1626</v>
      </c>
      <c r="G537" s="1" t="str">
        <f>_xlfn.XLOOKUP(engagement[[#This Row],[SessionID]],session_data[SessionID],session_data[Traffic Source])</f>
        <v>Organic Search</v>
      </c>
    </row>
    <row r="538" spans="1:7" x14ac:dyDescent="0.25">
      <c r="A538" s="1" t="s">
        <v>824</v>
      </c>
      <c r="B538" s="1">
        <v>57</v>
      </c>
      <c r="C538" s="1">
        <v>2</v>
      </c>
      <c r="D538" s="1">
        <v>2</v>
      </c>
      <c r="E538" s="1">
        <v>0</v>
      </c>
      <c r="F538" t="s">
        <v>1626</v>
      </c>
      <c r="G538" s="1" t="str">
        <f>_xlfn.XLOOKUP(engagement[[#This Row],[SessionID]],session_data[SessionID],session_data[Traffic Source])</f>
        <v>Organic Search</v>
      </c>
    </row>
    <row r="539" spans="1:7" x14ac:dyDescent="0.25">
      <c r="A539" s="1" t="s">
        <v>826</v>
      </c>
      <c r="B539" s="1">
        <v>239</v>
      </c>
      <c r="C539" s="1">
        <v>9</v>
      </c>
      <c r="D539" s="1">
        <v>2</v>
      </c>
      <c r="E539" s="1">
        <v>0</v>
      </c>
      <c r="F539" t="s">
        <v>1622</v>
      </c>
      <c r="G539" s="1" t="str">
        <f>_xlfn.XLOOKUP(engagement[[#This Row],[SessionID]],session_data[SessionID],session_data[Traffic Source])</f>
        <v>Organic Search</v>
      </c>
    </row>
    <row r="540" spans="1:7" x14ac:dyDescent="0.25">
      <c r="A540" s="1" t="s">
        <v>827</v>
      </c>
      <c r="B540" s="1">
        <v>326</v>
      </c>
      <c r="C540" s="1">
        <v>13</v>
      </c>
      <c r="D540" s="1">
        <v>4</v>
      </c>
      <c r="E540" s="1">
        <v>0</v>
      </c>
      <c r="F540" t="s">
        <v>1625</v>
      </c>
      <c r="G540" s="1" t="str">
        <f>_xlfn.XLOOKUP(engagement[[#This Row],[SessionID]],session_data[SessionID],session_data[Traffic Source])</f>
        <v>Organic Search</v>
      </c>
    </row>
    <row r="541" spans="1:7" x14ac:dyDescent="0.25">
      <c r="A541" s="1" t="s">
        <v>829</v>
      </c>
      <c r="B541" s="1">
        <v>346</v>
      </c>
      <c r="C541" s="1">
        <v>14</v>
      </c>
      <c r="D541" s="1">
        <v>1</v>
      </c>
      <c r="E541" s="1">
        <v>0</v>
      </c>
      <c r="F541" t="s">
        <v>1622</v>
      </c>
      <c r="G541" s="1" t="str">
        <f>_xlfn.XLOOKUP(engagement[[#This Row],[SessionID]],session_data[SessionID],session_data[Traffic Source])</f>
        <v>Organic Search</v>
      </c>
    </row>
    <row r="542" spans="1:7" x14ac:dyDescent="0.25">
      <c r="A542" s="1" t="s">
        <v>830</v>
      </c>
      <c r="B542" s="1">
        <v>236</v>
      </c>
      <c r="C542" s="1">
        <v>10</v>
      </c>
      <c r="D542" s="1">
        <v>4</v>
      </c>
      <c r="E542" s="1">
        <v>0</v>
      </c>
      <c r="F542" t="s">
        <v>1625</v>
      </c>
      <c r="G542" s="1" t="str">
        <f>_xlfn.XLOOKUP(engagement[[#This Row],[SessionID]],session_data[SessionID],session_data[Traffic Source])</f>
        <v>Organic Search</v>
      </c>
    </row>
    <row r="543" spans="1:7" x14ac:dyDescent="0.25">
      <c r="A543" s="1" t="s">
        <v>831</v>
      </c>
      <c r="B543" s="1">
        <v>185</v>
      </c>
      <c r="C543" s="1">
        <v>7</v>
      </c>
      <c r="D543" s="1">
        <v>4</v>
      </c>
      <c r="E543" s="1">
        <v>0</v>
      </c>
      <c r="F543" t="s">
        <v>1625</v>
      </c>
      <c r="G543" s="1" t="str">
        <f>_xlfn.XLOOKUP(engagement[[#This Row],[SessionID]],session_data[SessionID],session_data[Traffic Source])</f>
        <v>Organic Search</v>
      </c>
    </row>
    <row r="544" spans="1:7" x14ac:dyDescent="0.25">
      <c r="A544" s="1" t="s">
        <v>832</v>
      </c>
      <c r="B544" s="1">
        <v>298</v>
      </c>
      <c r="C544" s="1">
        <v>12</v>
      </c>
      <c r="D544" s="1">
        <v>1</v>
      </c>
      <c r="E544" s="1">
        <v>0</v>
      </c>
      <c r="F544" t="s">
        <v>1626</v>
      </c>
      <c r="G544" s="1" t="str">
        <f>_xlfn.XLOOKUP(engagement[[#This Row],[SessionID]],session_data[SessionID],session_data[Traffic Source])</f>
        <v>Organic Search</v>
      </c>
    </row>
    <row r="545" spans="1:7" x14ac:dyDescent="0.25">
      <c r="A545" s="1" t="s">
        <v>834</v>
      </c>
      <c r="B545" s="1">
        <v>241</v>
      </c>
      <c r="C545" s="1">
        <v>10</v>
      </c>
      <c r="D545" s="1">
        <v>4</v>
      </c>
      <c r="E545" s="1">
        <v>0</v>
      </c>
      <c r="F545" t="s">
        <v>1625</v>
      </c>
      <c r="G545" s="1" t="str">
        <f>_xlfn.XLOOKUP(engagement[[#This Row],[SessionID]],session_data[SessionID],session_data[Traffic Source])</f>
        <v>Organic Search</v>
      </c>
    </row>
    <row r="546" spans="1:7" x14ac:dyDescent="0.25">
      <c r="A546" s="1" t="s">
        <v>835</v>
      </c>
      <c r="B546" s="1">
        <v>275</v>
      </c>
      <c r="C546" s="1">
        <v>11</v>
      </c>
      <c r="D546" s="1">
        <v>1</v>
      </c>
      <c r="E546" s="1">
        <v>1</v>
      </c>
      <c r="F546" t="s">
        <v>1623</v>
      </c>
      <c r="G546" s="1" t="str">
        <f>_xlfn.XLOOKUP(engagement[[#This Row],[SessionID]],session_data[SessionID],session_data[Traffic Source])</f>
        <v>Organic Search</v>
      </c>
    </row>
    <row r="547" spans="1:7" x14ac:dyDescent="0.25">
      <c r="A547" s="1" t="s">
        <v>836</v>
      </c>
      <c r="B547" s="1">
        <v>100</v>
      </c>
      <c r="C547" s="1">
        <v>5</v>
      </c>
      <c r="D547" s="1">
        <v>5</v>
      </c>
      <c r="E547" s="1">
        <v>1</v>
      </c>
      <c r="F547" t="s">
        <v>1623</v>
      </c>
      <c r="G547" s="1" t="str">
        <f>_xlfn.XLOOKUP(engagement[[#This Row],[SessionID]],session_data[SessionID],session_data[Traffic Source])</f>
        <v>Referral</v>
      </c>
    </row>
    <row r="548" spans="1:7" x14ac:dyDescent="0.25">
      <c r="A548" s="1" t="s">
        <v>838</v>
      </c>
      <c r="B548" s="1">
        <v>352</v>
      </c>
      <c r="C548" s="1">
        <v>14</v>
      </c>
      <c r="D548" s="1">
        <v>4</v>
      </c>
      <c r="E548" s="1">
        <v>0</v>
      </c>
      <c r="F548" t="s">
        <v>1626</v>
      </c>
      <c r="G548" s="1" t="str">
        <f>_xlfn.XLOOKUP(engagement[[#This Row],[SessionID]],session_data[SessionID],session_data[Traffic Source])</f>
        <v>Referral</v>
      </c>
    </row>
    <row r="549" spans="1:7" x14ac:dyDescent="0.25">
      <c r="A549" s="1" t="s">
        <v>839</v>
      </c>
      <c r="B549" s="1">
        <v>95</v>
      </c>
      <c r="C549" s="1">
        <v>5</v>
      </c>
      <c r="D549" s="1">
        <v>5</v>
      </c>
      <c r="E549" s="1">
        <v>1</v>
      </c>
      <c r="F549" t="s">
        <v>1623</v>
      </c>
      <c r="G549" s="1" t="str">
        <f>_xlfn.XLOOKUP(engagement[[#This Row],[SessionID]],session_data[SessionID],session_data[Traffic Source])</f>
        <v>Paid Ads</v>
      </c>
    </row>
    <row r="550" spans="1:7" x14ac:dyDescent="0.25">
      <c r="A550" s="1" t="s">
        <v>841</v>
      </c>
      <c r="B550" s="1">
        <v>198</v>
      </c>
      <c r="C550" s="1">
        <v>8</v>
      </c>
      <c r="D550" s="1">
        <v>3</v>
      </c>
      <c r="E550" s="1">
        <v>1</v>
      </c>
      <c r="F550" t="s">
        <v>1623</v>
      </c>
      <c r="G550" s="1" t="str">
        <f>_xlfn.XLOOKUP(engagement[[#This Row],[SessionID]],session_data[SessionID],session_data[Traffic Source])</f>
        <v>Social Media</v>
      </c>
    </row>
    <row r="551" spans="1:7" x14ac:dyDescent="0.25">
      <c r="A551" s="1" t="s">
        <v>843</v>
      </c>
      <c r="B551" s="1">
        <v>300</v>
      </c>
      <c r="C551" s="1">
        <v>12</v>
      </c>
      <c r="D551" s="1">
        <v>3</v>
      </c>
      <c r="E551" s="1">
        <v>0</v>
      </c>
      <c r="F551" t="s">
        <v>1622</v>
      </c>
      <c r="G551" s="1" t="str">
        <f>_xlfn.XLOOKUP(engagement[[#This Row],[SessionID]],session_data[SessionID],session_data[Traffic Source])</f>
        <v>Social Media</v>
      </c>
    </row>
    <row r="552" spans="1:7" x14ac:dyDescent="0.25">
      <c r="A552" s="1" t="s">
        <v>844</v>
      </c>
      <c r="B552" s="1">
        <v>217</v>
      </c>
      <c r="C552" s="1">
        <v>9</v>
      </c>
      <c r="D552" s="1">
        <v>4</v>
      </c>
      <c r="E552" s="1">
        <v>0</v>
      </c>
      <c r="F552" t="s">
        <v>1622</v>
      </c>
      <c r="G552" s="1" t="str">
        <f>_xlfn.XLOOKUP(engagement[[#This Row],[SessionID]],session_data[SessionID],session_data[Traffic Source])</f>
        <v>Social Media</v>
      </c>
    </row>
    <row r="553" spans="1:7" x14ac:dyDescent="0.25">
      <c r="A553" s="1" t="s">
        <v>846</v>
      </c>
      <c r="B553" s="1">
        <v>101</v>
      </c>
      <c r="C553" s="1">
        <v>4</v>
      </c>
      <c r="D553" s="1">
        <v>4</v>
      </c>
      <c r="E553" s="1">
        <v>0</v>
      </c>
      <c r="F553" t="s">
        <v>1622</v>
      </c>
      <c r="G553" s="1" t="str">
        <f>_xlfn.XLOOKUP(engagement[[#This Row],[SessionID]],session_data[SessionID],session_data[Traffic Source])</f>
        <v>Social Media</v>
      </c>
    </row>
    <row r="554" spans="1:7" x14ac:dyDescent="0.25">
      <c r="A554" s="1" t="s">
        <v>847</v>
      </c>
      <c r="B554" s="1">
        <v>175</v>
      </c>
      <c r="C554" s="1">
        <v>7</v>
      </c>
      <c r="D554" s="1">
        <v>4</v>
      </c>
      <c r="E554" s="1">
        <v>0</v>
      </c>
      <c r="F554" t="s">
        <v>1622</v>
      </c>
      <c r="G554" s="1" t="str">
        <f>_xlfn.XLOOKUP(engagement[[#This Row],[SessionID]],session_data[SessionID],session_data[Traffic Source])</f>
        <v>Social Media</v>
      </c>
    </row>
    <row r="555" spans="1:7" x14ac:dyDescent="0.25">
      <c r="A555" s="1" t="s">
        <v>848</v>
      </c>
      <c r="B555" s="1">
        <v>59</v>
      </c>
      <c r="C555" s="1">
        <v>4</v>
      </c>
      <c r="D555" s="1">
        <v>4</v>
      </c>
      <c r="E555" s="1">
        <v>0</v>
      </c>
      <c r="F555" t="s">
        <v>1626</v>
      </c>
      <c r="G555" s="1" t="str">
        <f>_xlfn.XLOOKUP(engagement[[#This Row],[SessionID]],session_data[SessionID],session_data[Traffic Source])</f>
        <v>Social Media</v>
      </c>
    </row>
    <row r="556" spans="1:7" x14ac:dyDescent="0.25">
      <c r="A556" s="1" t="s">
        <v>849</v>
      </c>
      <c r="B556" s="1">
        <v>93</v>
      </c>
      <c r="C556" s="1">
        <v>4</v>
      </c>
      <c r="D556" s="1">
        <v>4</v>
      </c>
      <c r="E556" s="1">
        <v>0</v>
      </c>
      <c r="F556" t="s">
        <v>1626</v>
      </c>
      <c r="G556" s="1" t="str">
        <f>_xlfn.XLOOKUP(engagement[[#This Row],[SessionID]],session_data[SessionID],session_data[Traffic Source])</f>
        <v>Social Media</v>
      </c>
    </row>
    <row r="557" spans="1:7" x14ac:dyDescent="0.25">
      <c r="A557" s="1" t="s">
        <v>850</v>
      </c>
      <c r="B557" s="1">
        <v>314</v>
      </c>
      <c r="C557" s="1">
        <v>12</v>
      </c>
      <c r="D557" s="1">
        <v>1</v>
      </c>
      <c r="E557" s="1">
        <v>0</v>
      </c>
      <c r="F557" t="s">
        <v>1622</v>
      </c>
      <c r="G557" s="1" t="str">
        <f>_xlfn.XLOOKUP(engagement[[#This Row],[SessionID]],session_data[SessionID],session_data[Traffic Source])</f>
        <v>Organic Search</v>
      </c>
    </row>
    <row r="558" spans="1:7" x14ac:dyDescent="0.25">
      <c r="A558" s="1" t="s">
        <v>852</v>
      </c>
      <c r="B558" s="1">
        <v>47</v>
      </c>
      <c r="C558" s="1">
        <v>2</v>
      </c>
      <c r="D558" s="1">
        <v>2</v>
      </c>
      <c r="E558" s="1">
        <v>0</v>
      </c>
      <c r="F558" t="s">
        <v>1622</v>
      </c>
      <c r="G558" s="1" t="str">
        <f>_xlfn.XLOOKUP(engagement[[#This Row],[SessionID]],session_data[SessionID],session_data[Traffic Source])</f>
        <v>Social Media</v>
      </c>
    </row>
    <row r="559" spans="1:7" x14ac:dyDescent="0.25">
      <c r="A559" s="1" t="s">
        <v>854</v>
      </c>
      <c r="B559" s="1">
        <v>314</v>
      </c>
      <c r="C559" s="1">
        <v>13</v>
      </c>
      <c r="D559" s="1">
        <v>2</v>
      </c>
      <c r="E559" s="1">
        <v>1</v>
      </c>
      <c r="F559" t="s">
        <v>1623</v>
      </c>
      <c r="G559" s="1" t="str">
        <f>_xlfn.XLOOKUP(engagement[[#This Row],[SessionID]],session_data[SessionID],session_data[Traffic Source])</f>
        <v>Social Media</v>
      </c>
    </row>
    <row r="560" spans="1:7" x14ac:dyDescent="0.25">
      <c r="A560" s="1" t="s">
        <v>855</v>
      </c>
      <c r="B560" s="1">
        <v>151</v>
      </c>
      <c r="C560" s="1">
        <v>6</v>
      </c>
      <c r="D560" s="1">
        <v>5</v>
      </c>
      <c r="E560" s="1">
        <v>1</v>
      </c>
      <c r="F560" t="s">
        <v>1623</v>
      </c>
      <c r="G560" s="1" t="str">
        <f>_xlfn.XLOOKUP(engagement[[#This Row],[SessionID]],session_data[SessionID],session_data[Traffic Source])</f>
        <v>Organic Search</v>
      </c>
    </row>
    <row r="561" spans="1:7" x14ac:dyDescent="0.25">
      <c r="A561" s="1" t="s">
        <v>857</v>
      </c>
      <c r="B561" s="1">
        <v>360</v>
      </c>
      <c r="C561" s="1">
        <v>14</v>
      </c>
      <c r="D561" s="1">
        <v>5</v>
      </c>
      <c r="E561" s="1">
        <v>1</v>
      </c>
      <c r="F561" t="s">
        <v>1623</v>
      </c>
      <c r="G561" s="1" t="str">
        <f>_xlfn.XLOOKUP(engagement[[#This Row],[SessionID]],session_data[SessionID],session_data[Traffic Source])</f>
        <v>Organic Search</v>
      </c>
    </row>
    <row r="562" spans="1:7" x14ac:dyDescent="0.25">
      <c r="A562" s="1" t="s">
        <v>858</v>
      </c>
      <c r="B562" s="1">
        <v>325</v>
      </c>
      <c r="C562" s="1">
        <v>14</v>
      </c>
      <c r="D562" s="1">
        <v>5</v>
      </c>
      <c r="E562" s="1">
        <v>1</v>
      </c>
      <c r="F562" t="s">
        <v>1623</v>
      </c>
      <c r="G562" s="1" t="str">
        <f>_xlfn.XLOOKUP(engagement[[#This Row],[SessionID]],session_data[SessionID],session_data[Traffic Source])</f>
        <v>Organic Search</v>
      </c>
    </row>
    <row r="563" spans="1:7" x14ac:dyDescent="0.25">
      <c r="A563" s="1" t="s">
        <v>859</v>
      </c>
      <c r="B563" s="1">
        <v>132</v>
      </c>
      <c r="C563" s="1">
        <v>6</v>
      </c>
      <c r="D563" s="1">
        <v>4</v>
      </c>
      <c r="E563" s="1">
        <v>0</v>
      </c>
      <c r="F563" t="s">
        <v>1622</v>
      </c>
      <c r="G563" s="1" t="str">
        <f>_xlfn.XLOOKUP(engagement[[#This Row],[SessionID]],session_data[SessionID],session_data[Traffic Source])</f>
        <v>Organic Search</v>
      </c>
    </row>
    <row r="564" spans="1:7" x14ac:dyDescent="0.25">
      <c r="A564" s="1" t="s">
        <v>860</v>
      </c>
      <c r="B564" s="1">
        <v>208</v>
      </c>
      <c r="C564" s="1">
        <v>9</v>
      </c>
      <c r="D564" s="1">
        <v>3</v>
      </c>
      <c r="E564" s="1">
        <v>0</v>
      </c>
      <c r="F564" t="s">
        <v>1626</v>
      </c>
      <c r="G564" s="1" t="str">
        <f>_xlfn.XLOOKUP(engagement[[#This Row],[SessionID]],session_data[SessionID],session_data[Traffic Source])</f>
        <v>Referral</v>
      </c>
    </row>
    <row r="565" spans="1:7" x14ac:dyDescent="0.25">
      <c r="A565" s="1" t="s">
        <v>862</v>
      </c>
      <c r="B565" s="1">
        <v>105</v>
      </c>
      <c r="C565" s="1">
        <v>5</v>
      </c>
      <c r="D565" s="1">
        <v>3</v>
      </c>
      <c r="E565" s="1">
        <v>0</v>
      </c>
      <c r="F565" t="s">
        <v>1626</v>
      </c>
      <c r="G565" s="1" t="str">
        <f>_xlfn.XLOOKUP(engagement[[#This Row],[SessionID]],session_data[SessionID],session_data[Traffic Source])</f>
        <v>Referral</v>
      </c>
    </row>
    <row r="566" spans="1:7" x14ac:dyDescent="0.25">
      <c r="A566" s="1" t="s">
        <v>863</v>
      </c>
      <c r="B566" s="1">
        <v>280</v>
      </c>
      <c r="C566" s="1">
        <v>11</v>
      </c>
      <c r="D566" s="1">
        <v>3</v>
      </c>
      <c r="E566" s="1">
        <v>1</v>
      </c>
      <c r="F566" t="s">
        <v>1623</v>
      </c>
      <c r="G566" s="1" t="str">
        <f>_xlfn.XLOOKUP(engagement[[#This Row],[SessionID]],session_data[SessionID],session_data[Traffic Source])</f>
        <v>Referral</v>
      </c>
    </row>
    <row r="567" spans="1:7" x14ac:dyDescent="0.25">
      <c r="A567" s="1" t="s">
        <v>864</v>
      </c>
      <c r="B567" s="1">
        <v>297</v>
      </c>
      <c r="C567" s="1">
        <v>12</v>
      </c>
      <c r="D567" s="1">
        <v>4</v>
      </c>
      <c r="E567" s="1">
        <v>1</v>
      </c>
      <c r="F567" t="s">
        <v>1623</v>
      </c>
      <c r="G567" s="1" t="str">
        <f>_xlfn.XLOOKUP(engagement[[#This Row],[SessionID]],session_data[SessionID],session_data[Traffic Source])</f>
        <v>Direct</v>
      </c>
    </row>
    <row r="568" spans="1:7" x14ac:dyDescent="0.25">
      <c r="A568" s="1" t="s">
        <v>866</v>
      </c>
      <c r="B568" s="1">
        <v>20</v>
      </c>
      <c r="C568" s="1">
        <v>4</v>
      </c>
      <c r="D568" s="1">
        <v>4</v>
      </c>
      <c r="E568" s="1">
        <v>0</v>
      </c>
      <c r="F568" t="s">
        <v>1626</v>
      </c>
      <c r="G568" s="1" t="str">
        <f>_xlfn.XLOOKUP(engagement[[#This Row],[SessionID]],session_data[SessionID],session_data[Traffic Source])</f>
        <v>Direct</v>
      </c>
    </row>
    <row r="569" spans="1:7" x14ac:dyDescent="0.25">
      <c r="A569" s="1" t="s">
        <v>867</v>
      </c>
      <c r="B569" s="1">
        <v>70</v>
      </c>
      <c r="C569" s="1">
        <v>4</v>
      </c>
      <c r="D569" s="1">
        <v>4</v>
      </c>
      <c r="E569" s="1">
        <v>0</v>
      </c>
      <c r="F569" t="s">
        <v>1622</v>
      </c>
      <c r="G569" s="1" t="str">
        <f>_xlfn.XLOOKUP(engagement[[#This Row],[SessionID]],session_data[SessionID],session_data[Traffic Source])</f>
        <v>Direct</v>
      </c>
    </row>
    <row r="570" spans="1:7" x14ac:dyDescent="0.25">
      <c r="A570" s="1" t="s">
        <v>868</v>
      </c>
      <c r="B570" s="1">
        <v>149</v>
      </c>
      <c r="C570" s="1">
        <v>6</v>
      </c>
      <c r="D570" s="1">
        <v>4</v>
      </c>
      <c r="E570" s="1">
        <v>1</v>
      </c>
      <c r="F570" t="s">
        <v>1623</v>
      </c>
      <c r="G570" s="1" t="str">
        <f>_xlfn.XLOOKUP(engagement[[#This Row],[SessionID]],session_data[SessionID],session_data[Traffic Source])</f>
        <v>Direct</v>
      </c>
    </row>
    <row r="571" spans="1:7" x14ac:dyDescent="0.25">
      <c r="A571" s="1" t="s">
        <v>870</v>
      </c>
      <c r="B571" s="1">
        <v>284</v>
      </c>
      <c r="C571" s="1">
        <v>11</v>
      </c>
      <c r="D571" s="1">
        <v>4</v>
      </c>
      <c r="E571" s="1">
        <v>0</v>
      </c>
      <c r="F571" t="s">
        <v>1622</v>
      </c>
      <c r="G571" s="1" t="str">
        <f>_xlfn.XLOOKUP(engagement[[#This Row],[SessionID]],session_data[SessionID],session_data[Traffic Source])</f>
        <v>Direct</v>
      </c>
    </row>
    <row r="572" spans="1:7" x14ac:dyDescent="0.25">
      <c r="A572" s="1" t="s">
        <v>871</v>
      </c>
      <c r="B572" s="1">
        <v>313</v>
      </c>
      <c r="C572" s="1">
        <v>12</v>
      </c>
      <c r="D572" s="1">
        <v>4</v>
      </c>
      <c r="E572" s="1">
        <v>0</v>
      </c>
      <c r="F572" t="s">
        <v>1626</v>
      </c>
      <c r="G572" s="1" t="str">
        <f>_xlfn.XLOOKUP(engagement[[#This Row],[SessionID]],session_data[SessionID],session_data[Traffic Source])</f>
        <v>Direct</v>
      </c>
    </row>
    <row r="573" spans="1:7" x14ac:dyDescent="0.25">
      <c r="A573" s="1" t="s">
        <v>872</v>
      </c>
      <c r="B573" s="1">
        <v>167</v>
      </c>
      <c r="C573" s="1">
        <v>7</v>
      </c>
      <c r="D573" s="1">
        <v>5</v>
      </c>
      <c r="E573" s="1">
        <v>1</v>
      </c>
      <c r="F573" t="s">
        <v>1623</v>
      </c>
      <c r="G573" s="1" t="str">
        <f>_xlfn.XLOOKUP(engagement[[#This Row],[SessionID]],session_data[SessionID],session_data[Traffic Source])</f>
        <v>Organic Search</v>
      </c>
    </row>
    <row r="574" spans="1:7" x14ac:dyDescent="0.25">
      <c r="A574" s="1" t="s">
        <v>874</v>
      </c>
      <c r="B574" s="1">
        <v>258</v>
      </c>
      <c r="C574" s="1">
        <v>11</v>
      </c>
      <c r="D574" s="1">
        <v>3</v>
      </c>
      <c r="E574" s="1">
        <v>1</v>
      </c>
      <c r="F574" t="s">
        <v>1623</v>
      </c>
      <c r="G574" s="1" t="str">
        <f>_xlfn.XLOOKUP(engagement[[#This Row],[SessionID]],session_data[SessionID],session_data[Traffic Source])</f>
        <v>Organic Search</v>
      </c>
    </row>
    <row r="575" spans="1:7" x14ac:dyDescent="0.25">
      <c r="A575" s="1" t="s">
        <v>876</v>
      </c>
      <c r="B575" s="1">
        <v>338</v>
      </c>
      <c r="C575" s="1">
        <v>14</v>
      </c>
      <c r="D575" s="1">
        <v>4</v>
      </c>
      <c r="E575" s="1">
        <v>0</v>
      </c>
      <c r="F575" t="s">
        <v>1626</v>
      </c>
      <c r="G575" s="1" t="str">
        <f>_xlfn.XLOOKUP(engagement[[#This Row],[SessionID]],session_data[SessionID],session_data[Traffic Source])</f>
        <v>Direct</v>
      </c>
    </row>
    <row r="576" spans="1:7" x14ac:dyDescent="0.25">
      <c r="A576" s="1" t="s">
        <v>878</v>
      </c>
      <c r="B576" s="1">
        <v>216</v>
      </c>
      <c r="C576" s="1">
        <v>9</v>
      </c>
      <c r="D576" s="1">
        <v>4</v>
      </c>
      <c r="E576" s="1">
        <v>0</v>
      </c>
      <c r="F576" t="s">
        <v>1626</v>
      </c>
      <c r="G576" s="1" t="str">
        <f>_xlfn.XLOOKUP(engagement[[#This Row],[SessionID]],session_data[SessionID],session_data[Traffic Source])</f>
        <v>Direct</v>
      </c>
    </row>
    <row r="577" spans="1:7" x14ac:dyDescent="0.25">
      <c r="A577" s="1" t="s">
        <v>879</v>
      </c>
      <c r="B577" s="1">
        <v>298</v>
      </c>
      <c r="C577" s="1">
        <v>12</v>
      </c>
      <c r="D577" s="1">
        <v>5</v>
      </c>
      <c r="E577" s="1">
        <v>1</v>
      </c>
      <c r="F577" t="s">
        <v>1623</v>
      </c>
      <c r="G577" s="1" t="str">
        <f>_xlfn.XLOOKUP(engagement[[#This Row],[SessionID]],session_data[SessionID],session_data[Traffic Source])</f>
        <v>Direct</v>
      </c>
    </row>
    <row r="578" spans="1:7" x14ac:dyDescent="0.25">
      <c r="A578" s="1" t="s">
        <v>880</v>
      </c>
      <c r="B578" s="1">
        <v>302</v>
      </c>
      <c r="C578" s="1">
        <v>12</v>
      </c>
      <c r="D578" s="1">
        <v>5</v>
      </c>
      <c r="E578" s="1">
        <v>1</v>
      </c>
      <c r="F578" t="s">
        <v>1623</v>
      </c>
      <c r="G578" s="1" t="str">
        <f>_xlfn.XLOOKUP(engagement[[#This Row],[SessionID]],session_data[SessionID],session_data[Traffic Source])</f>
        <v>Social Media</v>
      </c>
    </row>
    <row r="579" spans="1:7" x14ac:dyDescent="0.25">
      <c r="A579" s="1" t="s">
        <v>882</v>
      </c>
      <c r="B579" s="1">
        <v>65</v>
      </c>
      <c r="C579" s="1">
        <v>5</v>
      </c>
      <c r="D579" s="1">
        <v>4</v>
      </c>
      <c r="E579" s="1">
        <v>0</v>
      </c>
      <c r="F579" t="s">
        <v>1622</v>
      </c>
      <c r="G579" s="1" t="str">
        <f>_xlfn.XLOOKUP(engagement[[#This Row],[SessionID]],session_data[SessionID],session_data[Traffic Source])</f>
        <v>Social Media</v>
      </c>
    </row>
    <row r="580" spans="1:7" x14ac:dyDescent="0.25">
      <c r="A580" s="1" t="s">
        <v>883</v>
      </c>
      <c r="B580" s="1">
        <v>136</v>
      </c>
      <c r="C580" s="1">
        <v>6</v>
      </c>
      <c r="D580" s="1">
        <v>5</v>
      </c>
      <c r="E580" s="1">
        <v>1</v>
      </c>
      <c r="F580" t="s">
        <v>1623</v>
      </c>
      <c r="G580" s="1" t="str">
        <f>_xlfn.XLOOKUP(engagement[[#This Row],[SessionID]],session_data[SessionID],session_data[Traffic Source])</f>
        <v>Social Media</v>
      </c>
    </row>
    <row r="581" spans="1:7" x14ac:dyDescent="0.25">
      <c r="A581" s="1" t="s">
        <v>884</v>
      </c>
      <c r="B581" s="1">
        <v>320</v>
      </c>
      <c r="C581" s="1">
        <v>13</v>
      </c>
      <c r="D581" s="1">
        <v>4</v>
      </c>
      <c r="E581" s="1">
        <v>1</v>
      </c>
      <c r="F581" t="s">
        <v>1623</v>
      </c>
      <c r="G581" s="1" t="str">
        <f>_xlfn.XLOOKUP(engagement[[#This Row],[SessionID]],session_data[SessionID],session_data[Traffic Source])</f>
        <v>Referral</v>
      </c>
    </row>
    <row r="582" spans="1:7" x14ac:dyDescent="0.25">
      <c r="A582" s="1" t="s">
        <v>886</v>
      </c>
      <c r="B582" s="1">
        <v>104</v>
      </c>
      <c r="C582" s="1">
        <v>4</v>
      </c>
      <c r="D582" s="1">
        <v>4</v>
      </c>
      <c r="E582" s="1">
        <v>0</v>
      </c>
      <c r="F582" t="s">
        <v>1626</v>
      </c>
      <c r="G582" s="1" t="str">
        <f>_xlfn.XLOOKUP(engagement[[#This Row],[SessionID]],session_data[SessionID],session_data[Traffic Source])</f>
        <v>Referral</v>
      </c>
    </row>
    <row r="583" spans="1:7" x14ac:dyDescent="0.25">
      <c r="A583" s="1" t="s">
        <v>887</v>
      </c>
      <c r="B583" s="1">
        <v>173</v>
      </c>
      <c r="C583" s="1">
        <v>7</v>
      </c>
      <c r="D583" s="1">
        <v>4</v>
      </c>
      <c r="E583" s="1">
        <v>1</v>
      </c>
      <c r="F583" t="s">
        <v>1623</v>
      </c>
      <c r="G583" s="1" t="str">
        <f>_xlfn.XLOOKUP(engagement[[#This Row],[SessionID]],session_data[SessionID],session_data[Traffic Source])</f>
        <v>Referral</v>
      </c>
    </row>
    <row r="584" spans="1:7" x14ac:dyDescent="0.25">
      <c r="A584" s="1" t="s">
        <v>888</v>
      </c>
      <c r="B584" s="1">
        <v>98</v>
      </c>
      <c r="C584" s="1">
        <v>5</v>
      </c>
      <c r="D584" s="1">
        <v>5</v>
      </c>
      <c r="E584" s="1">
        <v>1</v>
      </c>
      <c r="F584" t="s">
        <v>1623</v>
      </c>
      <c r="G584" s="1" t="str">
        <f>_xlfn.XLOOKUP(engagement[[#This Row],[SessionID]],session_data[SessionID],session_data[Traffic Source])</f>
        <v>Referral</v>
      </c>
    </row>
    <row r="585" spans="1:7" x14ac:dyDescent="0.25">
      <c r="A585" s="1" t="s">
        <v>889</v>
      </c>
      <c r="B585" s="1">
        <v>183</v>
      </c>
      <c r="C585" s="1">
        <v>7</v>
      </c>
      <c r="D585" s="1">
        <v>4</v>
      </c>
      <c r="E585" s="1">
        <v>0</v>
      </c>
      <c r="F585" t="s">
        <v>1622</v>
      </c>
      <c r="G585" s="1" t="str">
        <f>_xlfn.XLOOKUP(engagement[[#This Row],[SessionID]],session_data[SessionID],session_data[Traffic Source])</f>
        <v>Organic Search</v>
      </c>
    </row>
    <row r="586" spans="1:7" x14ac:dyDescent="0.25">
      <c r="A586" s="1" t="s">
        <v>891</v>
      </c>
      <c r="B586" s="1">
        <v>181</v>
      </c>
      <c r="C586" s="1">
        <v>7</v>
      </c>
      <c r="D586" s="1">
        <v>4</v>
      </c>
      <c r="E586" s="1">
        <v>1</v>
      </c>
      <c r="F586" t="s">
        <v>1623</v>
      </c>
      <c r="G586" s="1" t="str">
        <f>_xlfn.XLOOKUP(engagement[[#This Row],[SessionID]],session_data[SessionID],session_data[Traffic Source])</f>
        <v>Organic Search</v>
      </c>
    </row>
    <row r="587" spans="1:7" x14ac:dyDescent="0.25">
      <c r="A587" s="1" t="s">
        <v>892</v>
      </c>
      <c r="B587" s="1">
        <v>114</v>
      </c>
      <c r="C587" s="1">
        <v>5</v>
      </c>
      <c r="D587" s="1">
        <v>4</v>
      </c>
      <c r="E587" s="1">
        <v>1</v>
      </c>
      <c r="F587" t="s">
        <v>1623</v>
      </c>
      <c r="G587" s="1" t="str">
        <f>_xlfn.XLOOKUP(engagement[[#This Row],[SessionID]],session_data[SessionID],session_data[Traffic Source])</f>
        <v>Organic Search</v>
      </c>
    </row>
    <row r="588" spans="1:7" x14ac:dyDescent="0.25">
      <c r="A588" s="1" t="s">
        <v>893</v>
      </c>
      <c r="B588" s="1">
        <v>246</v>
      </c>
      <c r="C588" s="1">
        <v>10</v>
      </c>
      <c r="D588" s="1">
        <v>4</v>
      </c>
      <c r="E588" s="1">
        <v>0</v>
      </c>
      <c r="F588" t="s">
        <v>1626</v>
      </c>
      <c r="G588" s="1" t="str">
        <f>_xlfn.XLOOKUP(engagement[[#This Row],[SessionID]],session_data[SessionID],session_data[Traffic Source])</f>
        <v>Organic Search</v>
      </c>
    </row>
    <row r="589" spans="1:7" x14ac:dyDescent="0.25">
      <c r="A589" s="1" t="s">
        <v>894</v>
      </c>
      <c r="B589" s="1">
        <v>261</v>
      </c>
      <c r="C589" s="1">
        <v>11</v>
      </c>
      <c r="D589" s="1">
        <v>5</v>
      </c>
      <c r="E589" s="1">
        <v>1</v>
      </c>
      <c r="F589" t="s">
        <v>1623</v>
      </c>
      <c r="G589" s="1" t="str">
        <f>_xlfn.XLOOKUP(engagement[[#This Row],[SessionID]],session_data[SessionID],session_data[Traffic Source])</f>
        <v>Organic Search</v>
      </c>
    </row>
    <row r="590" spans="1:7" x14ac:dyDescent="0.25">
      <c r="A590" s="1" t="s">
        <v>896</v>
      </c>
      <c r="B590" s="1">
        <v>163</v>
      </c>
      <c r="C590" s="1">
        <v>6</v>
      </c>
      <c r="D590" s="1">
        <v>4</v>
      </c>
      <c r="E590" s="1">
        <v>0</v>
      </c>
      <c r="F590" t="s">
        <v>1626</v>
      </c>
      <c r="G590" s="1" t="str">
        <f>_xlfn.XLOOKUP(engagement[[#This Row],[SessionID]],session_data[SessionID],session_data[Traffic Source])</f>
        <v>Organic Search</v>
      </c>
    </row>
    <row r="591" spans="1:7" x14ac:dyDescent="0.25">
      <c r="A591" s="1" t="s">
        <v>897</v>
      </c>
      <c r="B591" s="1">
        <v>99</v>
      </c>
      <c r="C591" s="1">
        <v>4</v>
      </c>
      <c r="D591" s="1">
        <v>4</v>
      </c>
      <c r="E591" s="1">
        <v>0</v>
      </c>
      <c r="F591" t="s">
        <v>1624</v>
      </c>
      <c r="G591" s="1" t="str">
        <f>_xlfn.XLOOKUP(engagement[[#This Row],[SessionID]],session_data[SessionID],session_data[Traffic Source])</f>
        <v>Social Media</v>
      </c>
    </row>
    <row r="592" spans="1:7" x14ac:dyDescent="0.25">
      <c r="A592" s="1" t="s">
        <v>899</v>
      </c>
      <c r="B592" s="1">
        <v>240</v>
      </c>
      <c r="C592" s="1">
        <v>10</v>
      </c>
      <c r="D592" s="1">
        <v>4</v>
      </c>
      <c r="E592" s="1">
        <v>0</v>
      </c>
      <c r="F592" t="s">
        <v>1624</v>
      </c>
      <c r="G592" s="1" t="str">
        <f>_xlfn.XLOOKUP(engagement[[#This Row],[SessionID]],session_data[SessionID],session_data[Traffic Source])</f>
        <v>Social Media</v>
      </c>
    </row>
    <row r="593" spans="1:7" x14ac:dyDescent="0.25">
      <c r="A593" s="1" t="s">
        <v>900</v>
      </c>
      <c r="B593" s="1">
        <v>310</v>
      </c>
      <c r="C593" s="1">
        <v>13</v>
      </c>
      <c r="D593" s="1">
        <v>5</v>
      </c>
      <c r="E593" s="1">
        <v>1</v>
      </c>
      <c r="F593" t="s">
        <v>1623</v>
      </c>
      <c r="G593" s="1" t="str">
        <f>_xlfn.XLOOKUP(engagement[[#This Row],[SessionID]],session_data[SessionID],session_data[Traffic Source])</f>
        <v>Referral</v>
      </c>
    </row>
    <row r="594" spans="1:7" x14ac:dyDescent="0.25">
      <c r="A594" s="1" t="s">
        <v>902</v>
      </c>
      <c r="B594" s="1">
        <v>275</v>
      </c>
      <c r="C594" s="1">
        <v>11</v>
      </c>
      <c r="D594" s="1">
        <v>5</v>
      </c>
      <c r="E594" s="1">
        <v>1</v>
      </c>
      <c r="F594" t="s">
        <v>1623</v>
      </c>
      <c r="G594" s="1" t="str">
        <f>_xlfn.XLOOKUP(engagement[[#This Row],[SessionID]],session_data[SessionID],session_data[Traffic Source])</f>
        <v>Referral</v>
      </c>
    </row>
    <row r="595" spans="1:7" x14ac:dyDescent="0.25">
      <c r="A595" s="1" t="s">
        <v>903</v>
      </c>
      <c r="B595" s="1">
        <v>155</v>
      </c>
      <c r="C595" s="1">
        <v>7</v>
      </c>
      <c r="D595" s="1">
        <v>4</v>
      </c>
      <c r="E595" s="1">
        <v>0</v>
      </c>
      <c r="F595" t="s">
        <v>1622</v>
      </c>
      <c r="G595" s="1" t="str">
        <f>_xlfn.XLOOKUP(engagement[[#This Row],[SessionID]],session_data[SessionID],session_data[Traffic Source])</f>
        <v>Referral</v>
      </c>
    </row>
    <row r="596" spans="1:7" x14ac:dyDescent="0.25">
      <c r="A596" s="1" t="s">
        <v>904</v>
      </c>
      <c r="B596" s="1">
        <v>61</v>
      </c>
      <c r="C596" s="1">
        <v>5</v>
      </c>
      <c r="D596" s="1">
        <v>4</v>
      </c>
      <c r="E596" s="1">
        <v>0</v>
      </c>
      <c r="F596" t="s">
        <v>1626</v>
      </c>
      <c r="G596" s="1" t="str">
        <f>_xlfn.XLOOKUP(engagement[[#This Row],[SessionID]],session_data[SessionID],session_data[Traffic Source])</f>
        <v>Social Media</v>
      </c>
    </row>
    <row r="597" spans="1:7" x14ac:dyDescent="0.25">
      <c r="A597" s="1" t="s">
        <v>906</v>
      </c>
      <c r="B597" s="1">
        <v>33</v>
      </c>
      <c r="C597" s="1">
        <v>5</v>
      </c>
      <c r="D597" s="1">
        <v>4</v>
      </c>
      <c r="E597" s="1">
        <v>0</v>
      </c>
      <c r="F597" t="s">
        <v>1624</v>
      </c>
      <c r="G597" s="1" t="str">
        <f>_xlfn.XLOOKUP(engagement[[#This Row],[SessionID]],session_data[SessionID],session_data[Traffic Source])</f>
        <v>Social Media</v>
      </c>
    </row>
    <row r="598" spans="1:7" x14ac:dyDescent="0.25">
      <c r="A598" s="1" t="s">
        <v>907</v>
      </c>
      <c r="B598" s="1">
        <v>144</v>
      </c>
      <c r="C598" s="1">
        <v>6</v>
      </c>
      <c r="D598" s="1">
        <v>4</v>
      </c>
      <c r="E598" s="1">
        <v>0</v>
      </c>
      <c r="F598" t="s">
        <v>1622</v>
      </c>
      <c r="G598" s="1" t="str">
        <f>_xlfn.XLOOKUP(engagement[[#This Row],[SessionID]],session_data[SessionID],session_data[Traffic Source])</f>
        <v>Social Media</v>
      </c>
    </row>
    <row r="599" spans="1:7" x14ac:dyDescent="0.25">
      <c r="A599" s="1" t="s">
        <v>909</v>
      </c>
      <c r="B599" s="1">
        <v>329</v>
      </c>
      <c r="C599" s="1">
        <v>14</v>
      </c>
      <c r="D599" s="1">
        <v>4</v>
      </c>
      <c r="E599" s="1">
        <v>0</v>
      </c>
      <c r="F599" t="s">
        <v>1622</v>
      </c>
      <c r="G599" s="1" t="str">
        <f>_xlfn.XLOOKUP(engagement[[#This Row],[SessionID]],session_data[SessionID],session_data[Traffic Source])</f>
        <v>Social Media</v>
      </c>
    </row>
    <row r="600" spans="1:7" x14ac:dyDescent="0.25">
      <c r="A600" s="1" t="s">
        <v>910</v>
      </c>
      <c r="B600" s="1">
        <v>244</v>
      </c>
      <c r="C600" s="1">
        <v>10</v>
      </c>
      <c r="D600" s="1">
        <v>4</v>
      </c>
      <c r="E600" s="1">
        <v>0</v>
      </c>
      <c r="F600" t="s">
        <v>1624</v>
      </c>
      <c r="G600" s="1" t="str">
        <f>_xlfn.XLOOKUP(engagement[[#This Row],[SessionID]],session_data[SessionID],session_data[Traffic Source])</f>
        <v>Social Media</v>
      </c>
    </row>
    <row r="601" spans="1:7" x14ac:dyDescent="0.25">
      <c r="A601" s="1" t="s">
        <v>911</v>
      </c>
      <c r="B601" s="1">
        <v>172</v>
      </c>
      <c r="C601" s="1">
        <v>7</v>
      </c>
      <c r="D601" s="1">
        <v>4</v>
      </c>
      <c r="E601" s="1">
        <v>0</v>
      </c>
      <c r="F601" t="s">
        <v>1622</v>
      </c>
      <c r="G601" s="1" t="str">
        <f>_xlfn.XLOOKUP(engagement[[#This Row],[SessionID]],session_data[SessionID],session_data[Traffic Source])</f>
        <v>Social Media</v>
      </c>
    </row>
    <row r="602" spans="1:7" x14ac:dyDescent="0.25">
      <c r="A602" s="1" t="s">
        <v>913</v>
      </c>
      <c r="B602" s="1">
        <v>116</v>
      </c>
      <c r="C602" s="1">
        <v>4</v>
      </c>
      <c r="D602" s="1">
        <v>4</v>
      </c>
      <c r="E602" s="1">
        <v>0</v>
      </c>
      <c r="F602" t="s">
        <v>1626</v>
      </c>
      <c r="G602" s="1" t="str">
        <f>_xlfn.XLOOKUP(engagement[[#This Row],[SessionID]],session_data[SessionID],session_data[Traffic Source])</f>
        <v>Social Media</v>
      </c>
    </row>
    <row r="603" spans="1:7" x14ac:dyDescent="0.25">
      <c r="A603" s="1" t="s">
        <v>914</v>
      </c>
      <c r="B603" s="1">
        <v>224</v>
      </c>
      <c r="C603" s="1">
        <v>10</v>
      </c>
      <c r="D603" s="1">
        <v>4</v>
      </c>
      <c r="E603" s="1">
        <v>1</v>
      </c>
      <c r="F603" t="s">
        <v>1623</v>
      </c>
      <c r="G603" s="1" t="str">
        <f>_xlfn.XLOOKUP(engagement[[#This Row],[SessionID]],session_data[SessionID],session_data[Traffic Source])</f>
        <v>Social Media</v>
      </c>
    </row>
    <row r="604" spans="1:7" x14ac:dyDescent="0.25">
      <c r="A604" s="1" t="s">
        <v>915</v>
      </c>
      <c r="B604" s="1">
        <v>284</v>
      </c>
      <c r="C604" s="1">
        <v>12</v>
      </c>
      <c r="D604" s="1">
        <v>4</v>
      </c>
      <c r="E604" s="1">
        <v>0</v>
      </c>
      <c r="F604" t="s">
        <v>1622</v>
      </c>
      <c r="G604" s="1" t="str">
        <f>_xlfn.XLOOKUP(engagement[[#This Row],[SessionID]],session_data[SessionID],session_data[Traffic Source])</f>
        <v>Organic Search</v>
      </c>
    </row>
    <row r="605" spans="1:7" x14ac:dyDescent="0.25">
      <c r="A605" s="1" t="s">
        <v>917</v>
      </c>
      <c r="B605" s="1">
        <v>167</v>
      </c>
      <c r="C605" s="1">
        <v>7</v>
      </c>
      <c r="D605" s="1">
        <v>4</v>
      </c>
      <c r="E605" s="1">
        <v>0</v>
      </c>
      <c r="F605" t="s">
        <v>1622</v>
      </c>
      <c r="G605" s="1" t="str">
        <f>_xlfn.XLOOKUP(engagement[[#This Row],[SessionID]],session_data[SessionID],session_data[Traffic Source])</f>
        <v>Organic Search</v>
      </c>
    </row>
    <row r="606" spans="1:7" x14ac:dyDescent="0.25">
      <c r="A606" s="1" t="s">
        <v>918</v>
      </c>
      <c r="B606" s="1">
        <v>79</v>
      </c>
      <c r="C606" s="1">
        <v>5</v>
      </c>
      <c r="D606" s="1">
        <v>4</v>
      </c>
      <c r="E606" s="1">
        <v>0</v>
      </c>
      <c r="F606" t="s">
        <v>1622</v>
      </c>
      <c r="G606" s="1" t="str">
        <f>_xlfn.XLOOKUP(engagement[[#This Row],[SessionID]],session_data[SessionID],session_data[Traffic Source])</f>
        <v>Organic Search</v>
      </c>
    </row>
    <row r="607" spans="1:7" x14ac:dyDescent="0.25">
      <c r="A607" s="1" t="s">
        <v>919</v>
      </c>
      <c r="B607" s="1">
        <v>107</v>
      </c>
      <c r="C607" s="1">
        <v>5</v>
      </c>
      <c r="D607" s="1">
        <v>4</v>
      </c>
      <c r="E607" s="1">
        <v>0</v>
      </c>
      <c r="F607" t="s">
        <v>1622</v>
      </c>
      <c r="G607" s="1" t="str">
        <f>_xlfn.XLOOKUP(engagement[[#This Row],[SessionID]],session_data[SessionID],session_data[Traffic Source])</f>
        <v>Organic Search</v>
      </c>
    </row>
    <row r="608" spans="1:7" x14ac:dyDescent="0.25">
      <c r="A608" s="1" t="s">
        <v>920</v>
      </c>
      <c r="B608" s="1">
        <v>268</v>
      </c>
      <c r="C608" s="1">
        <v>11</v>
      </c>
      <c r="D608" s="1">
        <v>5</v>
      </c>
      <c r="E608" s="1">
        <v>1</v>
      </c>
      <c r="F608" t="s">
        <v>1623</v>
      </c>
      <c r="G608" s="1" t="str">
        <f>_xlfn.XLOOKUP(engagement[[#This Row],[SessionID]],session_data[SessionID],session_data[Traffic Source])</f>
        <v>Direct</v>
      </c>
    </row>
    <row r="609" spans="1:7" x14ac:dyDescent="0.25">
      <c r="A609" s="1" t="s">
        <v>922</v>
      </c>
      <c r="B609" s="1">
        <v>151</v>
      </c>
      <c r="C609" s="1">
        <v>6</v>
      </c>
      <c r="D609" s="1">
        <v>4</v>
      </c>
      <c r="E609" s="1">
        <v>0</v>
      </c>
      <c r="F609" t="s">
        <v>1624</v>
      </c>
      <c r="G609" s="1" t="str">
        <f>_xlfn.XLOOKUP(engagement[[#This Row],[SessionID]],session_data[SessionID],session_data[Traffic Source])</f>
        <v>Referral</v>
      </c>
    </row>
    <row r="610" spans="1:7" x14ac:dyDescent="0.25">
      <c r="A610" s="1" t="s">
        <v>924</v>
      </c>
      <c r="B610" s="1">
        <v>176</v>
      </c>
      <c r="C610" s="1">
        <v>7</v>
      </c>
      <c r="D610" s="1">
        <v>2</v>
      </c>
      <c r="E610" s="1">
        <v>1</v>
      </c>
      <c r="F610" t="s">
        <v>1623</v>
      </c>
      <c r="G610" s="1" t="str">
        <f>_xlfn.XLOOKUP(engagement[[#This Row],[SessionID]],session_data[SessionID],session_data[Traffic Source])</f>
        <v>Referral</v>
      </c>
    </row>
    <row r="611" spans="1:7" x14ac:dyDescent="0.25">
      <c r="A611" s="1" t="s">
        <v>926</v>
      </c>
      <c r="B611" s="1">
        <v>262</v>
      </c>
      <c r="C611" s="1">
        <v>10</v>
      </c>
      <c r="D611" s="1">
        <v>1</v>
      </c>
      <c r="E611" s="1">
        <v>0</v>
      </c>
      <c r="F611" t="s">
        <v>1622</v>
      </c>
      <c r="G611" s="1" t="str">
        <f>_xlfn.XLOOKUP(engagement[[#This Row],[SessionID]],session_data[SessionID],session_data[Traffic Source])</f>
        <v>Referral</v>
      </c>
    </row>
    <row r="612" spans="1:7" x14ac:dyDescent="0.25">
      <c r="A612" s="1" t="s">
        <v>928</v>
      </c>
      <c r="B612" s="1">
        <v>60</v>
      </c>
      <c r="C612" s="1">
        <v>2</v>
      </c>
      <c r="D612" s="1">
        <v>1</v>
      </c>
      <c r="E612" s="1">
        <v>0</v>
      </c>
      <c r="F612" t="s">
        <v>1626</v>
      </c>
      <c r="G612" s="1" t="str">
        <f>_xlfn.XLOOKUP(engagement[[#This Row],[SessionID]],session_data[SessionID],session_data[Traffic Source])</f>
        <v>Referral</v>
      </c>
    </row>
    <row r="613" spans="1:7" x14ac:dyDescent="0.25">
      <c r="A613" s="1" t="s">
        <v>929</v>
      </c>
      <c r="B613" s="1">
        <v>214</v>
      </c>
      <c r="C613" s="1">
        <v>9</v>
      </c>
      <c r="D613" s="1">
        <v>1</v>
      </c>
      <c r="E613" s="1">
        <v>1</v>
      </c>
      <c r="F613" t="s">
        <v>1623</v>
      </c>
      <c r="G613" s="1" t="str">
        <f>_xlfn.XLOOKUP(engagement[[#This Row],[SessionID]],session_data[SessionID],session_data[Traffic Source])</f>
        <v>Organic Search</v>
      </c>
    </row>
    <row r="614" spans="1:7" x14ac:dyDescent="0.25">
      <c r="A614" s="1" t="s">
        <v>931</v>
      </c>
      <c r="B614" s="1">
        <v>125</v>
      </c>
      <c r="C614" s="1">
        <v>5</v>
      </c>
      <c r="D614" s="1">
        <v>4</v>
      </c>
      <c r="E614" s="1">
        <v>1</v>
      </c>
      <c r="F614" t="s">
        <v>1623</v>
      </c>
      <c r="G614" s="1" t="str">
        <f>_xlfn.XLOOKUP(engagement[[#This Row],[SessionID]],session_data[SessionID],session_data[Traffic Source])</f>
        <v>Organic Search</v>
      </c>
    </row>
    <row r="615" spans="1:7" x14ac:dyDescent="0.25">
      <c r="A615" s="1" t="s">
        <v>933</v>
      </c>
      <c r="B615" s="1">
        <v>173</v>
      </c>
      <c r="C615" s="1">
        <v>7</v>
      </c>
      <c r="D615" s="1">
        <v>4</v>
      </c>
      <c r="E615" s="1">
        <v>0</v>
      </c>
      <c r="F615" t="s">
        <v>1622</v>
      </c>
      <c r="G615" s="1" t="str">
        <f>_xlfn.XLOOKUP(engagement[[#This Row],[SessionID]],session_data[SessionID],session_data[Traffic Source])</f>
        <v>Organic Search</v>
      </c>
    </row>
    <row r="616" spans="1:7" x14ac:dyDescent="0.25">
      <c r="A616" s="1" t="s">
        <v>934</v>
      </c>
      <c r="B616" s="1">
        <v>251</v>
      </c>
      <c r="C616" s="1">
        <v>10</v>
      </c>
      <c r="D616" s="1">
        <v>3</v>
      </c>
      <c r="E616" s="1">
        <v>0</v>
      </c>
      <c r="F616" t="s">
        <v>1624</v>
      </c>
      <c r="G616" s="1" t="str">
        <f>_xlfn.XLOOKUP(engagement[[#This Row],[SessionID]],session_data[SessionID],session_data[Traffic Source])</f>
        <v>Referral</v>
      </c>
    </row>
    <row r="617" spans="1:7" x14ac:dyDescent="0.25">
      <c r="A617" s="1" t="s">
        <v>936</v>
      </c>
      <c r="B617" s="1">
        <v>194</v>
      </c>
      <c r="C617" s="1">
        <v>8</v>
      </c>
      <c r="D617" s="1">
        <v>3</v>
      </c>
      <c r="E617" s="1">
        <v>1</v>
      </c>
      <c r="F617" t="s">
        <v>1623</v>
      </c>
      <c r="G617" s="1" t="str">
        <f>_xlfn.XLOOKUP(engagement[[#This Row],[SessionID]],session_data[SessionID],session_data[Traffic Source])</f>
        <v>Referral</v>
      </c>
    </row>
    <row r="618" spans="1:7" x14ac:dyDescent="0.25">
      <c r="A618" s="1" t="s">
        <v>937</v>
      </c>
      <c r="B618" s="1">
        <v>356</v>
      </c>
      <c r="C618" s="1">
        <v>14</v>
      </c>
      <c r="D618" s="1">
        <v>3</v>
      </c>
      <c r="E618" s="1">
        <v>1</v>
      </c>
      <c r="F618" t="s">
        <v>1623</v>
      </c>
      <c r="G618" s="1" t="str">
        <f>_xlfn.XLOOKUP(engagement[[#This Row],[SessionID]],session_data[SessionID],session_data[Traffic Source])</f>
        <v>Direct</v>
      </c>
    </row>
    <row r="619" spans="1:7" x14ac:dyDescent="0.25">
      <c r="A619" s="1" t="s">
        <v>939</v>
      </c>
      <c r="B619" s="1">
        <v>22</v>
      </c>
      <c r="C619" s="1">
        <v>5</v>
      </c>
      <c r="D619" s="1">
        <v>5</v>
      </c>
      <c r="E619" s="1">
        <v>1</v>
      </c>
      <c r="F619" t="s">
        <v>1623</v>
      </c>
      <c r="G619" s="1" t="str">
        <f>_xlfn.XLOOKUP(engagement[[#This Row],[SessionID]],session_data[SessionID],session_data[Traffic Source])</f>
        <v>Referral</v>
      </c>
    </row>
    <row r="620" spans="1:7" x14ac:dyDescent="0.25">
      <c r="A620" s="1" t="s">
        <v>941</v>
      </c>
      <c r="B620" s="1">
        <v>359</v>
      </c>
      <c r="C620" s="1">
        <v>14</v>
      </c>
      <c r="D620" s="1">
        <v>5</v>
      </c>
      <c r="E620" s="1">
        <v>1</v>
      </c>
      <c r="F620" t="s">
        <v>1623</v>
      </c>
      <c r="G620" s="1" t="str">
        <f>_xlfn.XLOOKUP(engagement[[#This Row],[SessionID]],session_data[SessionID],session_data[Traffic Source])</f>
        <v>Referral</v>
      </c>
    </row>
    <row r="621" spans="1:7" x14ac:dyDescent="0.25">
      <c r="A621" s="1" t="s">
        <v>942</v>
      </c>
      <c r="B621" s="1">
        <v>251</v>
      </c>
      <c r="C621" s="1">
        <v>10</v>
      </c>
      <c r="D621" s="1">
        <v>3</v>
      </c>
      <c r="E621" s="1">
        <v>1</v>
      </c>
      <c r="F621" t="s">
        <v>1623</v>
      </c>
      <c r="G621" s="1" t="str">
        <f>_xlfn.XLOOKUP(engagement[[#This Row],[SessionID]],session_data[SessionID],session_data[Traffic Source])</f>
        <v>Direct</v>
      </c>
    </row>
    <row r="622" spans="1:7" x14ac:dyDescent="0.25">
      <c r="A622" s="1" t="s">
        <v>944</v>
      </c>
      <c r="B622" s="1">
        <v>113</v>
      </c>
      <c r="C622" s="1">
        <v>5</v>
      </c>
      <c r="D622" s="1">
        <v>4</v>
      </c>
      <c r="E622" s="1">
        <v>0</v>
      </c>
      <c r="F622" t="s">
        <v>1622</v>
      </c>
      <c r="G622" s="1" t="str">
        <f>_xlfn.XLOOKUP(engagement[[#This Row],[SessionID]],session_data[SessionID],session_data[Traffic Source])</f>
        <v>Organic Search</v>
      </c>
    </row>
    <row r="623" spans="1:7" x14ac:dyDescent="0.25">
      <c r="A623" s="1" t="s">
        <v>946</v>
      </c>
      <c r="B623" s="1">
        <v>61</v>
      </c>
      <c r="C623" s="1">
        <v>5</v>
      </c>
      <c r="D623" s="1">
        <v>5</v>
      </c>
      <c r="E623" s="1">
        <v>1</v>
      </c>
      <c r="F623" t="s">
        <v>1623</v>
      </c>
      <c r="G623" s="1" t="str">
        <f>_xlfn.XLOOKUP(engagement[[#This Row],[SessionID]],session_data[SessionID],session_data[Traffic Source])</f>
        <v>Direct</v>
      </c>
    </row>
    <row r="624" spans="1:7" x14ac:dyDescent="0.25">
      <c r="A624" s="1" t="s">
        <v>948</v>
      </c>
      <c r="B624" s="1">
        <v>166</v>
      </c>
      <c r="C624" s="1">
        <v>6</v>
      </c>
      <c r="D624" s="1">
        <v>4</v>
      </c>
      <c r="E624" s="1">
        <v>1</v>
      </c>
      <c r="F624" t="s">
        <v>1623</v>
      </c>
      <c r="G624" s="1" t="str">
        <f>_xlfn.XLOOKUP(engagement[[#This Row],[SessionID]],session_data[SessionID],session_data[Traffic Source])</f>
        <v>Direct</v>
      </c>
    </row>
    <row r="625" spans="1:7" x14ac:dyDescent="0.25">
      <c r="A625" s="1" t="s">
        <v>949</v>
      </c>
      <c r="B625" s="1">
        <v>169</v>
      </c>
      <c r="C625" s="1">
        <v>7</v>
      </c>
      <c r="D625" s="1">
        <v>4</v>
      </c>
      <c r="E625" s="1">
        <v>0</v>
      </c>
      <c r="F625" t="s">
        <v>1622</v>
      </c>
      <c r="G625" s="1" t="str">
        <f>_xlfn.XLOOKUP(engagement[[#This Row],[SessionID]],session_data[SessionID],session_data[Traffic Source])</f>
        <v>Direct</v>
      </c>
    </row>
    <row r="626" spans="1:7" x14ac:dyDescent="0.25">
      <c r="A626" s="1" t="s">
        <v>950</v>
      </c>
      <c r="B626" s="1">
        <v>358</v>
      </c>
      <c r="C626" s="1">
        <v>14</v>
      </c>
      <c r="D626" s="1">
        <v>4</v>
      </c>
      <c r="E626" s="1">
        <v>1</v>
      </c>
      <c r="F626" t="s">
        <v>1623</v>
      </c>
      <c r="G626" s="1" t="str">
        <f>_xlfn.XLOOKUP(engagement[[#This Row],[SessionID]],session_data[SessionID],session_data[Traffic Source])</f>
        <v>Organic Search</v>
      </c>
    </row>
    <row r="627" spans="1:7" x14ac:dyDescent="0.25">
      <c r="A627" s="1" t="s">
        <v>952</v>
      </c>
      <c r="B627" s="1">
        <v>161</v>
      </c>
      <c r="C627" s="1">
        <v>7</v>
      </c>
      <c r="D627" s="1">
        <v>5</v>
      </c>
      <c r="E627" s="1">
        <v>1</v>
      </c>
      <c r="F627" t="s">
        <v>1623</v>
      </c>
      <c r="G627" s="1" t="str">
        <f>_xlfn.XLOOKUP(engagement[[#This Row],[SessionID]],session_data[SessionID],session_data[Traffic Source])</f>
        <v>Paid Ads</v>
      </c>
    </row>
    <row r="628" spans="1:7" x14ac:dyDescent="0.25">
      <c r="A628" s="1" t="s">
        <v>954</v>
      </c>
      <c r="B628" s="1">
        <v>291</v>
      </c>
      <c r="C628" s="1">
        <v>12</v>
      </c>
      <c r="D628" s="1">
        <v>3</v>
      </c>
      <c r="E628" s="1">
        <v>0</v>
      </c>
      <c r="F628" t="s">
        <v>1622</v>
      </c>
      <c r="G628" s="1" t="str">
        <f>_xlfn.XLOOKUP(engagement[[#This Row],[SessionID]],session_data[SessionID],session_data[Traffic Source])</f>
        <v>Organic Search</v>
      </c>
    </row>
    <row r="629" spans="1:7" x14ac:dyDescent="0.25">
      <c r="A629" s="1" t="s">
        <v>956</v>
      </c>
      <c r="B629" s="1">
        <v>300</v>
      </c>
      <c r="C629" s="1">
        <v>12</v>
      </c>
      <c r="D629" s="1">
        <v>3</v>
      </c>
      <c r="E629" s="1">
        <v>1</v>
      </c>
      <c r="F629" t="s">
        <v>1623</v>
      </c>
      <c r="G629" s="1" t="str">
        <f>_xlfn.XLOOKUP(engagement[[#This Row],[SessionID]],session_data[SessionID],session_data[Traffic Source])</f>
        <v>Organic Search</v>
      </c>
    </row>
    <row r="630" spans="1:7" x14ac:dyDescent="0.25">
      <c r="A630" s="1" t="s">
        <v>957</v>
      </c>
      <c r="B630" s="1">
        <v>139</v>
      </c>
      <c r="C630" s="1">
        <v>6</v>
      </c>
      <c r="D630" s="1">
        <v>4</v>
      </c>
      <c r="E630" s="1">
        <v>0</v>
      </c>
      <c r="F630" t="s">
        <v>1626</v>
      </c>
      <c r="G630" s="1" t="str">
        <f>_xlfn.XLOOKUP(engagement[[#This Row],[SessionID]],session_data[SessionID],session_data[Traffic Source])</f>
        <v>Paid Ads</v>
      </c>
    </row>
    <row r="631" spans="1:7" x14ac:dyDescent="0.25">
      <c r="A631" s="1" t="s">
        <v>959</v>
      </c>
      <c r="B631" s="1">
        <v>82</v>
      </c>
      <c r="C631" s="1">
        <v>5</v>
      </c>
      <c r="D631" s="1">
        <v>4</v>
      </c>
      <c r="E631" s="1">
        <v>0</v>
      </c>
      <c r="F631" t="s">
        <v>1626</v>
      </c>
      <c r="G631" s="1" t="str">
        <f>_xlfn.XLOOKUP(engagement[[#This Row],[SessionID]],session_data[SessionID],session_data[Traffic Source])</f>
        <v>Paid Ads</v>
      </c>
    </row>
    <row r="632" spans="1:7" x14ac:dyDescent="0.25">
      <c r="A632" s="1" t="s">
        <v>960</v>
      </c>
      <c r="B632" s="1">
        <v>78</v>
      </c>
      <c r="C632" s="1">
        <v>5</v>
      </c>
      <c r="D632" s="1">
        <v>5</v>
      </c>
      <c r="E632" s="1">
        <v>1</v>
      </c>
      <c r="F632" t="s">
        <v>1623</v>
      </c>
      <c r="G632" s="1" t="str">
        <f>_xlfn.XLOOKUP(engagement[[#This Row],[SessionID]],session_data[SessionID],session_data[Traffic Source])</f>
        <v>Paid Ads</v>
      </c>
    </row>
    <row r="633" spans="1:7" x14ac:dyDescent="0.25">
      <c r="A633" s="1" t="s">
        <v>961</v>
      </c>
      <c r="B633" s="1">
        <v>294</v>
      </c>
      <c r="C633" s="1">
        <v>12</v>
      </c>
      <c r="D633" s="1">
        <v>4</v>
      </c>
      <c r="E633" s="1">
        <v>0</v>
      </c>
      <c r="F633" t="s">
        <v>1626</v>
      </c>
      <c r="G633" s="1" t="str">
        <f>_xlfn.XLOOKUP(engagement[[#This Row],[SessionID]],session_data[SessionID],session_data[Traffic Source])</f>
        <v>Organic Search</v>
      </c>
    </row>
    <row r="634" spans="1:7" x14ac:dyDescent="0.25">
      <c r="A634" s="1" t="s">
        <v>963</v>
      </c>
      <c r="B634" s="1">
        <v>185</v>
      </c>
      <c r="C634" s="1">
        <v>7</v>
      </c>
      <c r="D634" s="1">
        <v>1</v>
      </c>
      <c r="E634" s="1">
        <v>1</v>
      </c>
      <c r="F634" t="s">
        <v>1623</v>
      </c>
      <c r="G634" s="1" t="str">
        <f>_xlfn.XLOOKUP(engagement[[#This Row],[SessionID]],session_data[SessionID],session_data[Traffic Source])</f>
        <v>Social Media</v>
      </c>
    </row>
    <row r="635" spans="1:7" x14ac:dyDescent="0.25">
      <c r="A635" s="1" t="s">
        <v>965</v>
      </c>
      <c r="B635" s="1">
        <v>292</v>
      </c>
      <c r="C635" s="1">
        <v>11</v>
      </c>
      <c r="D635" s="1">
        <v>3</v>
      </c>
      <c r="E635" s="1">
        <v>0</v>
      </c>
      <c r="F635" t="s">
        <v>1624</v>
      </c>
      <c r="G635" s="1" t="str">
        <f>_xlfn.XLOOKUP(engagement[[#This Row],[SessionID]],session_data[SessionID],session_data[Traffic Source])</f>
        <v>Social Media</v>
      </c>
    </row>
    <row r="636" spans="1:7" x14ac:dyDescent="0.25">
      <c r="A636" s="1" t="s">
        <v>966</v>
      </c>
      <c r="B636" s="1">
        <v>71</v>
      </c>
      <c r="C636" s="1">
        <v>3</v>
      </c>
      <c r="D636" s="1">
        <v>2</v>
      </c>
      <c r="E636" s="1">
        <v>1</v>
      </c>
      <c r="F636" t="s">
        <v>1623</v>
      </c>
      <c r="G636" s="1" t="str">
        <f>_xlfn.XLOOKUP(engagement[[#This Row],[SessionID]],session_data[SessionID],session_data[Traffic Source])</f>
        <v>Organic Search</v>
      </c>
    </row>
    <row r="637" spans="1:7" x14ac:dyDescent="0.25">
      <c r="A637" s="1" t="s">
        <v>968</v>
      </c>
      <c r="B637" s="1">
        <v>78</v>
      </c>
      <c r="C637" s="1">
        <v>5</v>
      </c>
      <c r="D637" s="1">
        <v>5</v>
      </c>
      <c r="E637" s="1">
        <v>1</v>
      </c>
      <c r="F637" t="s">
        <v>1623</v>
      </c>
      <c r="G637" s="1" t="str">
        <f>_xlfn.XLOOKUP(engagement[[#This Row],[SessionID]],session_data[SessionID],session_data[Traffic Source])</f>
        <v>Direct</v>
      </c>
    </row>
    <row r="638" spans="1:7" x14ac:dyDescent="0.25">
      <c r="A638" s="1" t="s">
        <v>970</v>
      </c>
      <c r="B638" s="1">
        <v>147</v>
      </c>
      <c r="C638" s="1">
        <v>6</v>
      </c>
      <c r="D638" s="1">
        <v>5</v>
      </c>
      <c r="E638" s="1">
        <v>1</v>
      </c>
      <c r="F638" t="s">
        <v>1623</v>
      </c>
      <c r="G638" s="1" t="str">
        <f>_xlfn.XLOOKUP(engagement[[#This Row],[SessionID]],session_data[SessionID],session_data[Traffic Source])</f>
        <v>Organic Search</v>
      </c>
    </row>
    <row r="639" spans="1:7" x14ac:dyDescent="0.25">
      <c r="A639" s="1" t="s">
        <v>972</v>
      </c>
      <c r="B639" s="1">
        <v>33</v>
      </c>
      <c r="C639" s="1">
        <v>5</v>
      </c>
      <c r="D639" s="1">
        <v>4</v>
      </c>
      <c r="E639" s="1">
        <v>0</v>
      </c>
      <c r="F639" t="s">
        <v>1622</v>
      </c>
      <c r="G639" s="1" t="str">
        <f>_xlfn.XLOOKUP(engagement[[#This Row],[SessionID]],session_data[SessionID],session_data[Traffic Source])</f>
        <v>Organic Search</v>
      </c>
    </row>
    <row r="640" spans="1:7" x14ac:dyDescent="0.25">
      <c r="A640" s="1" t="s">
        <v>973</v>
      </c>
      <c r="B640" s="1">
        <v>40</v>
      </c>
      <c r="C640" s="1">
        <v>5</v>
      </c>
      <c r="D640" s="1">
        <v>5</v>
      </c>
      <c r="E640" s="1">
        <v>1</v>
      </c>
      <c r="F640" t="s">
        <v>1623</v>
      </c>
      <c r="G640" s="1" t="str">
        <f>_xlfn.XLOOKUP(engagement[[#This Row],[SessionID]],session_data[SessionID],session_data[Traffic Source])</f>
        <v>Referral</v>
      </c>
    </row>
    <row r="641" spans="1:7" x14ac:dyDescent="0.25">
      <c r="A641" s="1" t="s">
        <v>975</v>
      </c>
      <c r="B641" s="1">
        <v>322</v>
      </c>
      <c r="C641" s="1">
        <v>13</v>
      </c>
      <c r="D641" s="1">
        <v>4</v>
      </c>
      <c r="E641" s="1">
        <v>1</v>
      </c>
      <c r="F641" t="s">
        <v>1623</v>
      </c>
      <c r="G641" s="1" t="str">
        <f>_xlfn.XLOOKUP(engagement[[#This Row],[SessionID]],session_data[SessionID],session_data[Traffic Source])</f>
        <v>Referral</v>
      </c>
    </row>
    <row r="642" spans="1:7" x14ac:dyDescent="0.25">
      <c r="A642" s="1" t="s">
        <v>976</v>
      </c>
      <c r="B642" s="1">
        <v>28</v>
      </c>
      <c r="C642" s="1">
        <v>1</v>
      </c>
      <c r="D642" s="1">
        <v>1</v>
      </c>
      <c r="E642" s="1">
        <v>0</v>
      </c>
      <c r="F642" t="s">
        <v>1622</v>
      </c>
      <c r="G642" s="1" t="str">
        <f>_xlfn.XLOOKUP(engagement[[#This Row],[SessionID]],session_data[SessionID],session_data[Traffic Source])</f>
        <v>Direct</v>
      </c>
    </row>
    <row r="643" spans="1:7" x14ac:dyDescent="0.25">
      <c r="A643" s="1" t="s">
        <v>978</v>
      </c>
      <c r="B643" s="1">
        <v>137</v>
      </c>
      <c r="C643" s="1">
        <v>6</v>
      </c>
      <c r="D643" s="1">
        <v>1</v>
      </c>
      <c r="E643" s="1">
        <v>0</v>
      </c>
      <c r="F643" t="s">
        <v>1626</v>
      </c>
      <c r="G643" s="1" t="str">
        <f>_xlfn.XLOOKUP(engagement[[#This Row],[SessionID]],session_data[SessionID],session_data[Traffic Source])</f>
        <v>Direct</v>
      </c>
    </row>
    <row r="644" spans="1:7" x14ac:dyDescent="0.25">
      <c r="A644" s="1" t="s">
        <v>979</v>
      </c>
      <c r="B644" s="1">
        <v>27</v>
      </c>
      <c r="C644" s="1">
        <v>1</v>
      </c>
      <c r="D644" s="1">
        <v>1</v>
      </c>
      <c r="E644" s="1">
        <v>1</v>
      </c>
      <c r="F644" t="s">
        <v>1623</v>
      </c>
      <c r="G644" s="1" t="str">
        <f>_xlfn.XLOOKUP(engagement[[#This Row],[SessionID]],session_data[SessionID],session_data[Traffic Source])</f>
        <v>Organic Search</v>
      </c>
    </row>
    <row r="645" spans="1:7" x14ac:dyDescent="0.25">
      <c r="A645" s="1" t="s">
        <v>981</v>
      </c>
      <c r="B645" s="1">
        <v>220</v>
      </c>
      <c r="C645" s="1">
        <v>9</v>
      </c>
      <c r="D645" s="1">
        <v>1</v>
      </c>
      <c r="E645" s="1">
        <v>0</v>
      </c>
      <c r="F645" t="s">
        <v>1622</v>
      </c>
      <c r="G645" s="1" t="str">
        <f>_xlfn.XLOOKUP(engagement[[#This Row],[SessionID]],session_data[SessionID],session_data[Traffic Source])</f>
        <v>Organic Search</v>
      </c>
    </row>
    <row r="646" spans="1:7" x14ac:dyDescent="0.25">
      <c r="A646" s="1" t="s">
        <v>982</v>
      </c>
      <c r="B646" s="1">
        <v>214</v>
      </c>
      <c r="C646" s="1">
        <v>8</v>
      </c>
      <c r="D646" s="1">
        <v>1</v>
      </c>
      <c r="E646" s="1">
        <v>1</v>
      </c>
      <c r="F646" t="s">
        <v>1623</v>
      </c>
      <c r="G646" s="1" t="str">
        <f>_xlfn.XLOOKUP(engagement[[#This Row],[SessionID]],session_data[SessionID],session_data[Traffic Source])</f>
        <v>Organic Search</v>
      </c>
    </row>
    <row r="647" spans="1:7" x14ac:dyDescent="0.25">
      <c r="A647" s="1" t="s">
        <v>983</v>
      </c>
      <c r="B647" s="1">
        <v>23</v>
      </c>
      <c r="C647" s="1">
        <v>1</v>
      </c>
      <c r="D647" s="1">
        <v>1</v>
      </c>
      <c r="E647" s="1">
        <v>0</v>
      </c>
      <c r="F647" t="s">
        <v>1626</v>
      </c>
      <c r="G647" s="1" t="str">
        <f>_xlfn.XLOOKUP(engagement[[#This Row],[SessionID]],session_data[SessionID],session_data[Traffic Source])</f>
        <v>Organic Search</v>
      </c>
    </row>
    <row r="648" spans="1:7" x14ac:dyDescent="0.25">
      <c r="A648" s="1" t="s">
        <v>985</v>
      </c>
      <c r="B648" s="1">
        <v>228</v>
      </c>
      <c r="C648" s="1">
        <v>9</v>
      </c>
      <c r="D648" s="1">
        <v>1</v>
      </c>
      <c r="E648" s="1">
        <v>1</v>
      </c>
      <c r="F648" t="s">
        <v>1623</v>
      </c>
      <c r="G648" s="1" t="str">
        <f>_xlfn.XLOOKUP(engagement[[#This Row],[SessionID]],session_data[SessionID],session_data[Traffic Source])</f>
        <v>Organic Search</v>
      </c>
    </row>
    <row r="649" spans="1:7" x14ac:dyDescent="0.25">
      <c r="A649" s="1" t="s">
        <v>986</v>
      </c>
      <c r="B649" s="1">
        <v>313</v>
      </c>
      <c r="C649" s="1">
        <v>13</v>
      </c>
      <c r="D649" s="1">
        <v>1</v>
      </c>
      <c r="E649" s="1">
        <v>0</v>
      </c>
      <c r="F649" t="s">
        <v>1626</v>
      </c>
      <c r="G649" s="1" t="str">
        <f>_xlfn.XLOOKUP(engagement[[#This Row],[SessionID]],session_data[SessionID],session_data[Traffic Source])</f>
        <v>Organic Search</v>
      </c>
    </row>
    <row r="650" spans="1:7" x14ac:dyDescent="0.25">
      <c r="A650" s="1" t="s">
        <v>987</v>
      </c>
      <c r="B650" s="1">
        <v>185</v>
      </c>
      <c r="C650" s="1">
        <v>7</v>
      </c>
      <c r="D650" s="1">
        <v>1</v>
      </c>
      <c r="E650" s="1">
        <v>0</v>
      </c>
      <c r="F650" t="s">
        <v>1626</v>
      </c>
      <c r="G650" s="1" t="str">
        <f>_xlfn.XLOOKUP(engagement[[#This Row],[SessionID]],session_data[SessionID],session_data[Traffic Source])</f>
        <v>Organic Search</v>
      </c>
    </row>
    <row r="651" spans="1:7" x14ac:dyDescent="0.25">
      <c r="A651" s="1" t="s">
        <v>988</v>
      </c>
      <c r="B651" s="1">
        <v>206</v>
      </c>
      <c r="C651" s="1">
        <v>9</v>
      </c>
      <c r="D651" s="1">
        <v>3</v>
      </c>
      <c r="E651" s="1">
        <v>0</v>
      </c>
      <c r="F651" t="s">
        <v>1624</v>
      </c>
      <c r="G651" s="1" t="str">
        <f>_xlfn.XLOOKUP(engagement[[#This Row],[SessionID]],session_data[SessionID],session_data[Traffic Source])</f>
        <v>Organic Search</v>
      </c>
    </row>
    <row r="652" spans="1:7" x14ac:dyDescent="0.25">
      <c r="A652" s="1" t="s">
        <v>989</v>
      </c>
      <c r="B652" s="1">
        <v>28</v>
      </c>
      <c r="C652" s="1">
        <v>5</v>
      </c>
      <c r="D652" s="1">
        <v>5</v>
      </c>
      <c r="E652" s="1">
        <v>1</v>
      </c>
      <c r="F652" t="s">
        <v>1623</v>
      </c>
      <c r="G652" s="1" t="str">
        <f>_xlfn.XLOOKUP(engagement[[#This Row],[SessionID]],session_data[SessionID],session_data[Traffic Source])</f>
        <v>Organic Search</v>
      </c>
    </row>
    <row r="653" spans="1:7" x14ac:dyDescent="0.25">
      <c r="A653" s="1" t="s">
        <v>991</v>
      </c>
      <c r="B653" s="1">
        <v>222</v>
      </c>
      <c r="C653" s="1">
        <v>8</v>
      </c>
      <c r="D653" s="1">
        <v>3</v>
      </c>
      <c r="E653" s="1">
        <v>0</v>
      </c>
      <c r="F653" t="s">
        <v>1626</v>
      </c>
      <c r="G653" s="1" t="str">
        <f>_xlfn.XLOOKUP(engagement[[#This Row],[SessionID]],session_data[SessionID],session_data[Traffic Source])</f>
        <v>Organic Search</v>
      </c>
    </row>
    <row r="654" spans="1:7" x14ac:dyDescent="0.25">
      <c r="A654" s="1" t="s">
        <v>992</v>
      </c>
      <c r="B654" s="1">
        <v>50</v>
      </c>
      <c r="C654" s="1">
        <v>3</v>
      </c>
      <c r="D654" s="1">
        <v>3</v>
      </c>
      <c r="E654" s="1">
        <v>0</v>
      </c>
      <c r="F654" t="s">
        <v>1622</v>
      </c>
      <c r="G654" s="1" t="str">
        <f>_xlfn.XLOOKUP(engagement[[#This Row],[SessionID]],session_data[SessionID],session_data[Traffic Source])</f>
        <v>Paid Ads</v>
      </c>
    </row>
    <row r="655" spans="1:7" x14ac:dyDescent="0.25">
      <c r="A655" s="1" t="s">
        <v>994</v>
      </c>
      <c r="B655" s="1">
        <v>148</v>
      </c>
      <c r="C655" s="1">
        <v>6</v>
      </c>
      <c r="D655" s="1">
        <v>4</v>
      </c>
      <c r="E655" s="1">
        <v>0</v>
      </c>
      <c r="F655" t="s">
        <v>1622</v>
      </c>
      <c r="G655" s="1" t="str">
        <f>_xlfn.XLOOKUP(engagement[[#This Row],[SessionID]],session_data[SessionID],session_data[Traffic Source])</f>
        <v>Social Media</v>
      </c>
    </row>
    <row r="656" spans="1:7" x14ac:dyDescent="0.25">
      <c r="A656" s="1" t="s">
        <v>996</v>
      </c>
      <c r="B656" s="1">
        <v>119</v>
      </c>
      <c r="C656" s="1">
        <v>5</v>
      </c>
      <c r="D656" s="1">
        <v>4</v>
      </c>
      <c r="E656" s="1">
        <v>0</v>
      </c>
      <c r="F656" t="s">
        <v>1626</v>
      </c>
      <c r="G656" s="1" t="str">
        <f>_xlfn.XLOOKUP(engagement[[#This Row],[SessionID]],session_data[SessionID],session_data[Traffic Source])</f>
        <v>Social Media</v>
      </c>
    </row>
    <row r="657" spans="1:7" x14ac:dyDescent="0.25">
      <c r="A657" s="1" t="s">
        <v>997</v>
      </c>
      <c r="B657" s="1">
        <v>307</v>
      </c>
      <c r="C657" s="1">
        <v>12</v>
      </c>
      <c r="D657" s="1">
        <v>5</v>
      </c>
      <c r="E657" s="1">
        <v>1</v>
      </c>
      <c r="F657" t="s">
        <v>1623</v>
      </c>
      <c r="G657" s="1" t="str">
        <f>_xlfn.XLOOKUP(engagement[[#This Row],[SessionID]],session_data[SessionID],session_data[Traffic Source])</f>
        <v>Social Media</v>
      </c>
    </row>
    <row r="658" spans="1:7" x14ac:dyDescent="0.25">
      <c r="A658" s="1" t="s">
        <v>998</v>
      </c>
      <c r="B658" s="1">
        <v>314</v>
      </c>
      <c r="C658" s="1">
        <v>12</v>
      </c>
      <c r="D658" s="1">
        <v>4</v>
      </c>
      <c r="E658" s="1">
        <v>0</v>
      </c>
      <c r="F658" t="s">
        <v>1622</v>
      </c>
      <c r="G658" s="1" t="str">
        <f>_xlfn.XLOOKUP(engagement[[#This Row],[SessionID]],session_data[SessionID],session_data[Traffic Source])</f>
        <v>Direct</v>
      </c>
    </row>
    <row r="659" spans="1:7" x14ac:dyDescent="0.25">
      <c r="A659" s="1" t="s">
        <v>1000</v>
      </c>
      <c r="B659" s="1">
        <v>78</v>
      </c>
      <c r="C659" s="1">
        <v>3</v>
      </c>
      <c r="D659" s="1">
        <v>3</v>
      </c>
      <c r="E659" s="1">
        <v>0</v>
      </c>
      <c r="F659" t="s">
        <v>1624</v>
      </c>
      <c r="G659" s="1" t="str">
        <f>_xlfn.XLOOKUP(engagement[[#This Row],[SessionID]],session_data[SessionID],session_data[Traffic Source])</f>
        <v>Referral</v>
      </c>
    </row>
    <row r="660" spans="1:7" x14ac:dyDescent="0.25">
      <c r="A660" s="1" t="s">
        <v>1002</v>
      </c>
      <c r="B660" s="1">
        <v>162</v>
      </c>
      <c r="C660" s="1">
        <v>7</v>
      </c>
      <c r="D660" s="1">
        <v>3</v>
      </c>
      <c r="E660" s="1">
        <v>0</v>
      </c>
      <c r="F660" t="s">
        <v>1624</v>
      </c>
      <c r="G660" s="1" t="str">
        <f>_xlfn.XLOOKUP(engagement[[#This Row],[SessionID]],session_data[SessionID],session_data[Traffic Source])</f>
        <v>Referral</v>
      </c>
    </row>
    <row r="661" spans="1:7" x14ac:dyDescent="0.25">
      <c r="A661" s="1" t="s">
        <v>1003</v>
      </c>
      <c r="B661" s="1">
        <v>227</v>
      </c>
      <c r="C661" s="1">
        <v>9</v>
      </c>
      <c r="D661" s="1">
        <v>4</v>
      </c>
      <c r="E661" s="1">
        <v>1</v>
      </c>
      <c r="F661" t="s">
        <v>1623</v>
      </c>
      <c r="G661" s="1" t="str">
        <f>_xlfn.XLOOKUP(engagement[[#This Row],[SessionID]],session_data[SessionID],session_data[Traffic Source])</f>
        <v>Paid Ads</v>
      </c>
    </row>
    <row r="662" spans="1:7" x14ac:dyDescent="0.25">
      <c r="A662" s="1" t="s">
        <v>1005</v>
      </c>
      <c r="B662" s="1">
        <v>355</v>
      </c>
      <c r="C662" s="1">
        <v>14</v>
      </c>
      <c r="D662" s="1">
        <v>2</v>
      </c>
      <c r="E662" s="1">
        <v>0</v>
      </c>
      <c r="F662" t="s">
        <v>1626</v>
      </c>
      <c r="G662" s="1" t="str">
        <f>_xlfn.XLOOKUP(engagement[[#This Row],[SessionID]],session_data[SessionID],session_data[Traffic Source])</f>
        <v>Paid Ads</v>
      </c>
    </row>
    <row r="663" spans="1:7" x14ac:dyDescent="0.25">
      <c r="A663" s="1" t="s">
        <v>1007</v>
      </c>
      <c r="B663" s="1">
        <v>334</v>
      </c>
      <c r="C663" s="1">
        <v>14</v>
      </c>
      <c r="D663" s="1">
        <v>2</v>
      </c>
      <c r="E663" s="1">
        <v>0</v>
      </c>
      <c r="F663" t="s">
        <v>1626</v>
      </c>
      <c r="G663" s="1" t="str">
        <f>_xlfn.XLOOKUP(engagement[[#This Row],[SessionID]],session_data[SessionID],session_data[Traffic Source])</f>
        <v>Organic Search</v>
      </c>
    </row>
    <row r="664" spans="1:7" x14ac:dyDescent="0.25">
      <c r="A664" s="1" t="s">
        <v>1009</v>
      </c>
      <c r="B664" s="1">
        <v>87</v>
      </c>
      <c r="C664" s="1">
        <v>3</v>
      </c>
      <c r="D664" s="1">
        <v>2</v>
      </c>
      <c r="E664" s="1">
        <v>1</v>
      </c>
      <c r="F664" t="s">
        <v>1623</v>
      </c>
      <c r="G664" s="1" t="str">
        <f>_xlfn.XLOOKUP(engagement[[#This Row],[SessionID]],session_data[SessionID],session_data[Traffic Source])</f>
        <v>Organic Search</v>
      </c>
    </row>
    <row r="665" spans="1:7" x14ac:dyDescent="0.25">
      <c r="A665" s="1" t="s">
        <v>1010</v>
      </c>
      <c r="B665" s="1">
        <v>199</v>
      </c>
      <c r="C665" s="1">
        <v>8</v>
      </c>
      <c r="D665" s="1">
        <v>2</v>
      </c>
      <c r="E665" s="1">
        <v>0</v>
      </c>
      <c r="F665" t="s">
        <v>1626</v>
      </c>
      <c r="G665" s="1" t="str">
        <f>_xlfn.XLOOKUP(engagement[[#This Row],[SessionID]],session_data[SessionID],session_data[Traffic Source])</f>
        <v>Organic Search</v>
      </c>
    </row>
    <row r="666" spans="1:7" x14ac:dyDescent="0.25">
      <c r="A666" s="1" t="s">
        <v>1011</v>
      </c>
      <c r="B666" s="1">
        <v>93</v>
      </c>
      <c r="C666" s="1">
        <v>4</v>
      </c>
      <c r="D666" s="1">
        <v>2</v>
      </c>
      <c r="E666" s="1">
        <v>1</v>
      </c>
      <c r="F666" t="s">
        <v>1623</v>
      </c>
      <c r="G666" s="1" t="str">
        <f>_xlfn.XLOOKUP(engagement[[#This Row],[SessionID]],session_data[SessionID],session_data[Traffic Source])</f>
        <v>Organic Search</v>
      </c>
    </row>
    <row r="667" spans="1:7" x14ac:dyDescent="0.25">
      <c r="A667" s="1" t="s">
        <v>1012</v>
      </c>
      <c r="B667" s="1">
        <v>284</v>
      </c>
      <c r="C667" s="1">
        <v>11</v>
      </c>
      <c r="D667" s="1">
        <v>2</v>
      </c>
      <c r="E667" s="1">
        <v>1</v>
      </c>
      <c r="F667" t="s">
        <v>1623</v>
      </c>
      <c r="G667" s="1" t="str">
        <f>_xlfn.XLOOKUP(engagement[[#This Row],[SessionID]],session_data[SessionID],session_data[Traffic Source])</f>
        <v>Organic Search</v>
      </c>
    </row>
    <row r="668" spans="1:7" x14ac:dyDescent="0.25">
      <c r="A668" s="1" t="s">
        <v>1013</v>
      </c>
      <c r="B668" s="1">
        <v>216</v>
      </c>
      <c r="C668" s="1">
        <v>9</v>
      </c>
      <c r="D668" s="1">
        <v>4</v>
      </c>
      <c r="E668" s="1">
        <v>0</v>
      </c>
      <c r="F668" t="s">
        <v>1622</v>
      </c>
      <c r="G668" s="1" t="str">
        <f>_xlfn.XLOOKUP(engagement[[#This Row],[SessionID]],session_data[SessionID],session_data[Traffic Source])</f>
        <v>Paid Ads</v>
      </c>
    </row>
    <row r="669" spans="1:7" x14ac:dyDescent="0.25">
      <c r="A669" s="1" t="s">
        <v>1015</v>
      </c>
      <c r="B669" s="1">
        <v>271</v>
      </c>
      <c r="C669" s="1">
        <v>11</v>
      </c>
      <c r="D669" s="1">
        <v>5</v>
      </c>
      <c r="E669" s="1">
        <v>1</v>
      </c>
      <c r="F669" t="s">
        <v>1623</v>
      </c>
      <c r="G669" s="1" t="str">
        <f>_xlfn.XLOOKUP(engagement[[#This Row],[SessionID]],session_data[SessionID],session_data[Traffic Source])</f>
        <v>Paid Ads</v>
      </c>
    </row>
    <row r="670" spans="1:7" x14ac:dyDescent="0.25">
      <c r="A670" s="1" t="s">
        <v>1016</v>
      </c>
      <c r="B670" s="1">
        <v>36</v>
      </c>
      <c r="C670" s="1">
        <v>5</v>
      </c>
      <c r="D670" s="1">
        <v>4</v>
      </c>
      <c r="E670" s="1">
        <v>0</v>
      </c>
      <c r="F670" t="s">
        <v>1622</v>
      </c>
      <c r="G670" s="1" t="str">
        <f>_xlfn.XLOOKUP(engagement[[#This Row],[SessionID]],session_data[SessionID],session_data[Traffic Source])</f>
        <v>Paid Ads</v>
      </c>
    </row>
    <row r="671" spans="1:7" x14ac:dyDescent="0.25">
      <c r="A671" s="1" t="s">
        <v>1017</v>
      </c>
      <c r="B671" s="1">
        <v>273</v>
      </c>
      <c r="C671" s="1">
        <v>11</v>
      </c>
      <c r="D671" s="1">
        <v>1</v>
      </c>
      <c r="E671" s="1">
        <v>0</v>
      </c>
      <c r="F671" t="s">
        <v>1626</v>
      </c>
      <c r="G671" s="1" t="str">
        <f>_xlfn.XLOOKUP(engagement[[#This Row],[SessionID]],session_data[SessionID],session_data[Traffic Source])</f>
        <v>Organic Search</v>
      </c>
    </row>
    <row r="672" spans="1:7" x14ac:dyDescent="0.25">
      <c r="A672" s="1" t="s">
        <v>1019</v>
      </c>
      <c r="B672" s="1">
        <v>202</v>
      </c>
      <c r="C672" s="1">
        <v>8</v>
      </c>
      <c r="D672" s="1">
        <v>1</v>
      </c>
      <c r="E672" s="1">
        <v>1</v>
      </c>
      <c r="F672" t="s">
        <v>1623</v>
      </c>
      <c r="G672" s="1" t="str">
        <f>_xlfn.XLOOKUP(engagement[[#This Row],[SessionID]],session_data[SessionID],session_data[Traffic Source])</f>
        <v>Organic Search</v>
      </c>
    </row>
    <row r="673" spans="1:7" x14ac:dyDescent="0.25">
      <c r="A673" s="1" t="s">
        <v>1020</v>
      </c>
      <c r="B673" s="1">
        <v>313</v>
      </c>
      <c r="C673" s="1">
        <v>13</v>
      </c>
      <c r="D673" s="1">
        <v>1</v>
      </c>
      <c r="E673" s="1">
        <v>1</v>
      </c>
      <c r="F673" t="s">
        <v>1623</v>
      </c>
      <c r="G673" s="1" t="str">
        <f>_xlfn.XLOOKUP(engagement[[#This Row],[SessionID]],session_data[SessionID],session_data[Traffic Source])</f>
        <v>Organic Search</v>
      </c>
    </row>
    <row r="674" spans="1:7" x14ac:dyDescent="0.25">
      <c r="A674" s="1" t="s">
        <v>1021</v>
      </c>
      <c r="B674" s="1">
        <v>107</v>
      </c>
      <c r="C674" s="1">
        <v>5</v>
      </c>
      <c r="D674" s="1">
        <v>4</v>
      </c>
      <c r="E674" s="1">
        <v>0</v>
      </c>
      <c r="F674" t="s">
        <v>1626</v>
      </c>
      <c r="G674" s="1" t="str">
        <f>_xlfn.XLOOKUP(engagement[[#This Row],[SessionID]],session_data[SessionID],session_data[Traffic Source])</f>
        <v>Paid Ads</v>
      </c>
    </row>
    <row r="675" spans="1:7" x14ac:dyDescent="0.25">
      <c r="A675" s="1" t="s">
        <v>1023</v>
      </c>
      <c r="B675" s="1">
        <v>203</v>
      </c>
      <c r="C675" s="1">
        <v>8</v>
      </c>
      <c r="D675" s="1">
        <v>4</v>
      </c>
      <c r="E675" s="1">
        <v>0</v>
      </c>
      <c r="F675" t="s">
        <v>1622</v>
      </c>
      <c r="G675" s="1" t="str">
        <f>_xlfn.XLOOKUP(engagement[[#This Row],[SessionID]],session_data[SessionID],session_data[Traffic Source])</f>
        <v>Paid Ads</v>
      </c>
    </row>
    <row r="676" spans="1:7" x14ac:dyDescent="0.25">
      <c r="A676" s="1" t="s">
        <v>1024</v>
      </c>
      <c r="B676" s="1">
        <v>225</v>
      </c>
      <c r="C676" s="1">
        <v>9</v>
      </c>
      <c r="D676" s="1">
        <v>4</v>
      </c>
      <c r="E676" s="1">
        <v>0</v>
      </c>
      <c r="F676" t="s">
        <v>1622</v>
      </c>
      <c r="G676" s="1" t="str">
        <f>_xlfn.XLOOKUP(engagement[[#This Row],[SessionID]],session_data[SessionID],session_data[Traffic Source])</f>
        <v>Direct</v>
      </c>
    </row>
    <row r="677" spans="1:7" x14ac:dyDescent="0.25">
      <c r="A677" s="1" t="s">
        <v>1026</v>
      </c>
      <c r="B677" s="1">
        <v>116</v>
      </c>
      <c r="C677" s="1">
        <v>5</v>
      </c>
      <c r="D677" s="1">
        <v>5</v>
      </c>
      <c r="E677" s="1">
        <v>1</v>
      </c>
      <c r="F677" t="s">
        <v>1623</v>
      </c>
      <c r="G677" s="1" t="str">
        <f>_xlfn.XLOOKUP(engagement[[#This Row],[SessionID]],session_data[SessionID],session_data[Traffic Source])</f>
        <v>Paid Ads</v>
      </c>
    </row>
    <row r="678" spans="1:7" x14ac:dyDescent="0.25">
      <c r="A678" s="1" t="s">
        <v>1028</v>
      </c>
      <c r="B678" s="1">
        <v>261</v>
      </c>
      <c r="C678" s="1">
        <v>10</v>
      </c>
      <c r="D678" s="1">
        <v>4</v>
      </c>
      <c r="E678" s="1">
        <v>0</v>
      </c>
      <c r="F678" t="s">
        <v>1625</v>
      </c>
      <c r="G678" s="1" t="str">
        <f>_xlfn.XLOOKUP(engagement[[#This Row],[SessionID]],session_data[SessionID],session_data[Traffic Source])</f>
        <v>Organic Search</v>
      </c>
    </row>
    <row r="679" spans="1:7" x14ac:dyDescent="0.25">
      <c r="A679" s="1" t="s">
        <v>1030</v>
      </c>
      <c r="B679" s="1">
        <v>299</v>
      </c>
      <c r="C679" s="1">
        <v>12</v>
      </c>
      <c r="D679" s="1">
        <v>4</v>
      </c>
      <c r="E679" s="1">
        <v>0</v>
      </c>
      <c r="F679" t="s">
        <v>1626</v>
      </c>
      <c r="G679" s="1" t="str">
        <f>_xlfn.XLOOKUP(engagement[[#This Row],[SessionID]],session_data[SessionID],session_data[Traffic Source])</f>
        <v>Paid Ads</v>
      </c>
    </row>
    <row r="680" spans="1:7" x14ac:dyDescent="0.25">
      <c r="A680" s="1" t="s">
        <v>1032</v>
      </c>
      <c r="B680" s="1">
        <v>269</v>
      </c>
      <c r="C680" s="1">
        <v>11</v>
      </c>
      <c r="D680" s="1">
        <v>4</v>
      </c>
      <c r="E680" s="1">
        <v>0</v>
      </c>
      <c r="F680" t="s">
        <v>1625</v>
      </c>
      <c r="G680" s="1" t="str">
        <f>_xlfn.XLOOKUP(engagement[[#This Row],[SessionID]],session_data[SessionID],session_data[Traffic Source])</f>
        <v>Paid Ads</v>
      </c>
    </row>
    <row r="681" spans="1:7" x14ac:dyDescent="0.25">
      <c r="A681" s="1" t="s">
        <v>1033</v>
      </c>
      <c r="B681" s="1">
        <v>194</v>
      </c>
      <c r="C681" s="1">
        <v>9</v>
      </c>
      <c r="D681" s="1">
        <v>4</v>
      </c>
      <c r="E681" s="1">
        <v>0</v>
      </c>
      <c r="F681" t="s">
        <v>1626</v>
      </c>
      <c r="G681" s="1" t="str">
        <f>_xlfn.XLOOKUP(engagement[[#This Row],[SessionID]],session_data[SessionID],session_data[Traffic Source])</f>
        <v>Direct</v>
      </c>
    </row>
    <row r="682" spans="1:7" x14ac:dyDescent="0.25">
      <c r="A682" s="1" t="s">
        <v>1035</v>
      </c>
      <c r="B682" s="1">
        <v>161</v>
      </c>
      <c r="C682" s="1">
        <v>7</v>
      </c>
      <c r="D682" s="1">
        <v>4</v>
      </c>
      <c r="E682" s="1">
        <v>0</v>
      </c>
      <c r="F682" t="s">
        <v>1622</v>
      </c>
      <c r="G682" s="1" t="str">
        <f>_xlfn.XLOOKUP(engagement[[#This Row],[SessionID]],session_data[SessionID],session_data[Traffic Source])</f>
        <v>Direct</v>
      </c>
    </row>
    <row r="683" spans="1:7" x14ac:dyDescent="0.25">
      <c r="A683" s="1" t="s">
        <v>1036</v>
      </c>
      <c r="B683" s="1">
        <v>273</v>
      </c>
      <c r="C683" s="1">
        <v>11</v>
      </c>
      <c r="D683" s="1">
        <v>4</v>
      </c>
      <c r="E683" s="1">
        <v>1</v>
      </c>
      <c r="F683" t="s">
        <v>1623</v>
      </c>
      <c r="G683" s="1" t="str">
        <f>_xlfn.XLOOKUP(engagement[[#This Row],[SessionID]],session_data[SessionID],session_data[Traffic Source])</f>
        <v>Direct</v>
      </c>
    </row>
    <row r="684" spans="1:7" x14ac:dyDescent="0.25">
      <c r="A684" s="1" t="s">
        <v>1037</v>
      </c>
      <c r="B684" s="1">
        <v>88</v>
      </c>
      <c r="C684" s="1">
        <v>3</v>
      </c>
      <c r="D684" s="1">
        <v>2</v>
      </c>
      <c r="E684" s="1">
        <v>0</v>
      </c>
      <c r="F684" t="s">
        <v>1622</v>
      </c>
      <c r="G684" s="1" t="str">
        <f>_xlfn.XLOOKUP(engagement[[#This Row],[SessionID]],session_data[SessionID],session_data[Traffic Source])</f>
        <v>Organic Search</v>
      </c>
    </row>
    <row r="685" spans="1:7" x14ac:dyDescent="0.25">
      <c r="A685" s="1" t="s">
        <v>1039</v>
      </c>
      <c r="B685" s="1">
        <v>142</v>
      </c>
      <c r="C685" s="1">
        <v>6</v>
      </c>
      <c r="D685" s="1">
        <v>2</v>
      </c>
      <c r="E685" s="1">
        <v>1</v>
      </c>
      <c r="F685" t="s">
        <v>1623</v>
      </c>
      <c r="G685" s="1" t="str">
        <f>_xlfn.XLOOKUP(engagement[[#This Row],[SessionID]],session_data[SessionID],session_data[Traffic Source])</f>
        <v>Organic Search</v>
      </c>
    </row>
    <row r="686" spans="1:7" x14ac:dyDescent="0.25">
      <c r="A686" s="1" t="s">
        <v>1040</v>
      </c>
      <c r="B686" s="1">
        <v>346</v>
      </c>
      <c r="C686" s="1">
        <v>14</v>
      </c>
      <c r="D686" s="1">
        <v>2</v>
      </c>
      <c r="E686" s="1">
        <v>1</v>
      </c>
      <c r="F686" t="s">
        <v>1623</v>
      </c>
      <c r="G686" s="1" t="str">
        <f>_xlfn.XLOOKUP(engagement[[#This Row],[SessionID]],session_data[SessionID],session_data[Traffic Source])</f>
        <v>Organic Search</v>
      </c>
    </row>
    <row r="687" spans="1:7" x14ac:dyDescent="0.25">
      <c r="A687" s="1" t="s">
        <v>1041</v>
      </c>
      <c r="B687" s="1">
        <v>130</v>
      </c>
      <c r="C687" s="1">
        <v>6</v>
      </c>
      <c r="D687" s="1">
        <v>4</v>
      </c>
      <c r="E687" s="1">
        <v>0</v>
      </c>
      <c r="F687" t="s">
        <v>1625</v>
      </c>
      <c r="G687" s="1" t="str">
        <f>_xlfn.XLOOKUP(engagement[[#This Row],[SessionID]],session_data[SessionID],session_data[Traffic Source])</f>
        <v>Organic Search</v>
      </c>
    </row>
    <row r="688" spans="1:7" x14ac:dyDescent="0.25">
      <c r="A688" s="1" t="s">
        <v>1043</v>
      </c>
      <c r="B688" s="1">
        <v>348</v>
      </c>
      <c r="C688" s="1">
        <v>14</v>
      </c>
      <c r="D688" s="1">
        <v>4</v>
      </c>
      <c r="E688" s="1">
        <v>0</v>
      </c>
      <c r="F688" t="s">
        <v>1622</v>
      </c>
      <c r="G688" s="1" t="str">
        <f>_xlfn.XLOOKUP(engagement[[#This Row],[SessionID]],session_data[SessionID],session_data[Traffic Source])</f>
        <v>Referral</v>
      </c>
    </row>
    <row r="689" spans="1:7" x14ac:dyDescent="0.25">
      <c r="A689" s="1" t="s">
        <v>1045</v>
      </c>
      <c r="B689" s="1">
        <v>76</v>
      </c>
      <c r="C689" s="1">
        <v>4</v>
      </c>
      <c r="D689" s="1">
        <v>4</v>
      </c>
      <c r="E689" s="1">
        <v>0</v>
      </c>
      <c r="F689" t="s">
        <v>1626</v>
      </c>
      <c r="G689" s="1" t="str">
        <f>_xlfn.XLOOKUP(engagement[[#This Row],[SessionID]],session_data[SessionID],session_data[Traffic Source])</f>
        <v>Referral</v>
      </c>
    </row>
    <row r="690" spans="1:7" x14ac:dyDescent="0.25">
      <c r="A690" s="1" t="s">
        <v>1046</v>
      </c>
      <c r="B690" s="1">
        <v>153</v>
      </c>
      <c r="C690" s="1">
        <v>6</v>
      </c>
      <c r="D690" s="1">
        <v>4</v>
      </c>
      <c r="E690" s="1">
        <v>0</v>
      </c>
      <c r="F690" t="s">
        <v>1622</v>
      </c>
      <c r="G690" s="1" t="str">
        <f>_xlfn.XLOOKUP(engagement[[#This Row],[SessionID]],session_data[SessionID],session_data[Traffic Source])</f>
        <v>Referral</v>
      </c>
    </row>
    <row r="691" spans="1:7" x14ac:dyDescent="0.25">
      <c r="A691" s="1" t="s">
        <v>1047</v>
      </c>
      <c r="B691" s="1">
        <v>356</v>
      </c>
      <c r="C691" s="1">
        <v>14</v>
      </c>
      <c r="D691" s="1">
        <v>4</v>
      </c>
      <c r="E691" s="1">
        <v>0</v>
      </c>
      <c r="F691" t="s">
        <v>1625</v>
      </c>
      <c r="G691" s="1" t="str">
        <f>_xlfn.XLOOKUP(engagement[[#This Row],[SessionID]],session_data[SessionID],session_data[Traffic Source])</f>
        <v>Referral</v>
      </c>
    </row>
    <row r="692" spans="1:7" x14ac:dyDescent="0.25">
      <c r="A692" s="1" t="s">
        <v>1048</v>
      </c>
      <c r="B692" s="1">
        <v>109</v>
      </c>
      <c r="C692" s="1">
        <v>5</v>
      </c>
      <c r="D692" s="1">
        <v>4</v>
      </c>
      <c r="E692" s="1">
        <v>0</v>
      </c>
      <c r="F692" t="s">
        <v>1625</v>
      </c>
      <c r="G692" s="1" t="str">
        <f>_xlfn.XLOOKUP(engagement[[#This Row],[SessionID]],session_data[SessionID],session_data[Traffic Source])</f>
        <v>Referral</v>
      </c>
    </row>
    <row r="693" spans="1:7" x14ac:dyDescent="0.25">
      <c r="A693" s="1" t="s">
        <v>1049</v>
      </c>
      <c r="B693" s="1">
        <v>217</v>
      </c>
      <c r="C693" s="1">
        <v>9</v>
      </c>
      <c r="D693" s="1">
        <v>1</v>
      </c>
      <c r="E693" s="1">
        <v>1</v>
      </c>
      <c r="F693" t="s">
        <v>1623</v>
      </c>
      <c r="G693" s="1" t="str">
        <f>_xlfn.XLOOKUP(engagement[[#This Row],[SessionID]],session_data[SessionID],session_data[Traffic Source])</f>
        <v>Direct</v>
      </c>
    </row>
    <row r="694" spans="1:7" x14ac:dyDescent="0.25">
      <c r="A694" s="1" t="s">
        <v>1051</v>
      </c>
      <c r="B694" s="1">
        <v>108</v>
      </c>
      <c r="C694" s="1">
        <v>4</v>
      </c>
      <c r="D694" s="1">
        <v>4</v>
      </c>
      <c r="E694" s="1">
        <v>0</v>
      </c>
      <c r="F694" t="s">
        <v>1625</v>
      </c>
      <c r="G694" s="1" t="str">
        <f>_xlfn.XLOOKUP(engagement[[#This Row],[SessionID]],session_data[SessionID],session_data[Traffic Source])</f>
        <v>Direct</v>
      </c>
    </row>
    <row r="695" spans="1:7" x14ac:dyDescent="0.25">
      <c r="A695" s="1" t="s">
        <v>1052</v>
      </c>
      <c r="B695" s="1">
        <v>162</v>
      </c>
      <c r="C695" s="1">
        <v>7</v>
      </c>
      <c r="D695" s="1">
        <v>4</v>
      </c>
      <c r="E695" s="1">
        <v>0</v>
      </c>
      <c r="F695" t="s">
        <v>1625</v>
      </c>
      <c r="G695" s="1" t="str">
        <f>_xlfn.XLOOKUP(engagement[[#This Row],[SessionID]],session_data[SessionID],session_data[Traffic Source])</f>
        <v>Direct</v>
      </c>
    </row>
    <row r="696" spans="1:7" x14ac:dyDescent="0.25">
      <c r="A696" s="1" t="s">
        <v>1053</v>
      </c>
      <c r="B696" s="1">
        <v>279</v>
      </c>
      <c r="C696" s="1">
        <v>11</v>
      </c>
      <c r="D696" s="1">
        <v>4</v>
      </c>
      <c r="E696" s="1">
        <v>0</v>
      </c>
      <c r="F696" t="s">
        <v>1625</v>
      </c>
      <c r="G696" s="1" t="str">
        <f>_xlfn.XLOOKUP(engagement[[#This Row],[SessionID]],session_data[SessionID],session_data[Traffic Source])</f>
        <v>Referral</v>
      </c>
    </row>
    <row r="697" spans="1:7" x14ac:dyDescent="0.25">
      <c r="A697" s="1" t="s">
        <v>1055</v>
      </c>
      <c r="B697" s="1">
        <v>261</v>
      </c>
      <c r="C697" s="1">
        <v>10</v>
      </c>
      <c r="D697" s="1">
        <v>3</v>
      </c>
      <c r="E697" s="1">
        <v>1</v>
      </c>
      <c r="F697" t="s">
        <v>1623</v>
      </c>
      <c r="G697" s="1" t="str">
        <f>_xlfn.XLOOKUP(engagement[[#This Row],[SessionID]],session_data[SessionID],session_data[Traffic Source])</f>
        <v>Referral</v>
      </c>
    </row>
    <row r="698" spans="1:7" x14ac:dyDescent="0.25">
      <c r="A698" s="1" t="s">
        <v>1056</v>
      </c>
      <c r="B698" s="1">
        <v>263</v>
      </c>
      <c r="C698" s="1">
        <v>10</v>
      </c>
      <c r="D698" s="1">
        <v>4</v>
      </c>
      <c r="E698" s="1">
        <v>0</v>
      </c>
      <c r="F698" t="s">
        <v>1626</v>
      </c>
      <c r="G698" s="1" t="str">
        <f>_xlfn.XLOOKUP(engagement[[#This Row],[SessionID]],session_data[SessionID],session_data[Traffic Source])</f>
        <v>Direct</v>
      </c>
    </row>
    <row r="699" spans="1:7" x14ac:dyDescent="0.25">
      <c r="A699" s="1" t="s">
        <v>1058</v>
      </c>
      <c r="B699" s="1">
        <v>137</v>
      </c>
      <c r="C699" s="1">
        <v>5</v>
      </c>
      <c r="D699" s="1">
        <v>4</v>
      </c>
      <c r="E699" s="1">
        <v>1</v>
      </c>
      <c r="F699" t="s">
        <v>1623</v>
      </c>
      <c r="G699" s="1" t="str">
        <f>_xlfn.XLOOKUP(engagement[[#This Row],[SessionID]],session_data[SessionID],session_data[Traffic Source])</f>
        <v>Direct</v>
      </c>
    </row>
    <row r="700" spans="1:7" x14ac:dyDescent="0.25">
      <c r="A700" s="1" t="s">
        <v>1059</v>
      </c>
      <c r="B700" s="1">
        <v>261</v>
      </c>
      <c r="C700" s="1">
        <v>11</v>
      </c>
      <c r="D700" s="1">
        <v>2</v>
      </c>
      <c r="E700" s="1">
        <v>0</v>
      </c>
      <c r="F700" t="s">
        <v>1622</v>
      </c>
      <c r="G700" s="1" t="str">
        <f>_xlfn.XLOOKUP(engagement[[#This Row],[SessionID]],session_data[SessionID],session_data[Traffic Source])</f>
        <v>Referral</v>
      </c>
    </row>
    <row r="701" spans="1:7" x14ac:dyDescent="0.25">
      <c r="A701" s="1" t="s">
        <v>1061</v>
      </c>
      <c r="B701" s="1">
        <v>268</v>
      </c>
      <c r="C701" s="1">
        <v>11</v>
      </c>
      <c r="D701" s="1">
        <v>4</v>
      </c>
      <c r="E701" s="1">
        <v>0</v>
      </c>
      <c r="F701" t="s">
        <v>1625</v>
      </c>
      <c r="G701" s="1" t="str">
        <f>_xlfn.XLOOKUP(engagement[[#This Row],[SessionID]],session_data[SessionID],session_data[Traffic Source])</f>
        <v>Referral</v>
      </c>
    </row>
    <row r="702" spans="1:7" x14ac:dyDescent="0.25">
      <c r="A702" s="1" t="s">
        <v>1062</v>
      </c>
      <c r="B702" s="1">
        <v>284</v>
      </c>
      <c r="C702" s="1">
        <v>11</v>
      </c>
      <c r="D702" s="1">
        <v>3</v>
      </c>
      <c r="E702" s="1">
        <v>0</v>
      </c>
      <c r="F702" t="s">
        <v>1626</v>
      </c>
      <c r="G702" s="1" t="str">
        <f>_xlfn.XLOOKUP(engagement[[#This Row],[SessionID]],session_data[SessionID],session_data[Traffic Source])</f>
        <v>Referral</v>
      </c>
    </row>
    <row r="703" spans="1:7" x14ac:dyDescent="0.25">
      <c r="A703" s="1" t="s">
        <v>1064</v>
      </c>
      <c r="B703" s="1">
        <v>247</v>
      </c>
      <c r="C703" s="1">
        <v>10</v>
      </c>
      <c r="D703" s="1">
        <v>3</v>
      </c>
      <c r="E703" s="1">
        <v>0</v>
      </c>
      <c r="F703" t="s">
        <v>1622</v>
      </c>
      <c r="G703" s="1" t="str">
        <f>_xlfn.XLOOKUP(engagement[[#This Row],[SessionID]],session_data[SessionID],session_data[Traffic Source])</f>
        <v>Referral</v>
      </c>
    </row>
    <row r="704" spans="1:7" x14ac:dyDescent="0.25">
      <c r="A704" s="1" t="s">
        <v>1066</v>
      </c>
      <c r="B704" s="1">
        <v>99</v>
      </c>
      <c r="C704" s="1">
        <v>4</v>
      </c>
      <c r="D704" s="1">
        <v>4</v>
      </c>
      <c r="E704" s="1">
        <v>1</v>
      </c>
      <c r="F704" t="s">
        <v>1623</v>
      </c>
      <c r="G704" s="1" t="str">
        <f>_xlfn.XLOOKUP(engagement[[#This Row],[SessionID]],session_data[SessionID],session_data[Traffic Source])</f>
        <v>Paid Ads</v>
      </c>
    </row>
    <row r="705" spans="1:7" x14ac:dyDescent="0.25">
      <c r="A705" s="1" t="s">
        <v>1068</v>
      </c>
      <c r="B705" s="1">
        <v>115</v>
      </c>
      <c r="C705" s="1">
        <v>5</v>
      </c>
      <c r="D705" s="1">
        <v>4</v>
      </c>
      <c r="E705" s="1">
        <v>1</v>
      </c>
      <c r="F705" t="s">
        <v>1623</v>
      </c>
      <c r="G705" s="1" t="str">
        <f>_xlfn.XLOOKUP(engagement[[#This Row],[SessionID]],session_data[SessionID],session_data[Traffic Source])</f>
        <v>Paid Ads</v>
      </c>
    </row>
    <row r="706" spans="1:7" x14ac:dyDescent="0.25">
      <c r="A706" s="1" t="s">
        <v>1069</v>
      </c>
      <c r="B706" s="1">
        <v>116</v>
      </c>
      <c r="C706" s="1">
        <v>5</v>
      </c>
      <c r="D706" s="1">
        <v>4</v>
      </c>
      <c r="E706" s="1">
        <v>0</v>
      </c>
      <c r="F706" t="s">
        <v>1626</v>
      </c>
      <c r="G706" s="1" t="str">
        <f>_xlfn.XLOOKUP(engagement[[#This Row],[SessionID]],session_data[SessionID],session_data[Traffic Source])</f>
        <v>Paid Ads</v>
      </c>
    </row>
    <row r="707" spans="1:7" x14ac:dyDescent="0.25">
      <c r="A707" s="1" t="s">
        <v>1070</v>
      </c>
      <c r="B707" s="1">
        <v>37</v>
      </c>
      <c r="C707" s="1">
        <v>5</v>
      </c>
      <c r="D707" s="1">
        <v>4</v>
      </c>
      <c r="E707" s="1">
        <v>0</v>
      </c>
      <c r="F707" t="s">
        <v>1622</v>
      </c>
      <c r="G707" s="1" t="str">
        <f>_xlfn.XLOOKUP(engagement[[#This Row],[SessionID]],session_data[SessionID],session_data[Traffic Source])</f>
        <v>Organic Search</v>
      </c>
    </row>
    <row r="708" spans="1:7" x14ac:dyDescent="0.25">
      <c r="A708" s="1" t="s">
        <v>1072</v>
      </c>
      <c r="B708" s="1">
        <v>25</v>
      </c>
      <c r="C708" s="1">
        <v>3</v>
      </c>
      <c r="D708" s="1">
        <v>3</v>
      </c>
      <c r="E708" s="1">
        <v>0</v>
      </c>
      <c r="F708" t="s">
        <v>1622</v>
      </c>
      <c r="G708" s="1" t="str">
        <f>_xlfn.XLOOKUP(engagement[[#This Row],[SessionID]],session_data[SessionID],session_data[Traffic Source])</f>
        <v>Social Media</v>
      </c>
    </row>
    <row r="709" spans="1:7" x14ac:dyDescent="0.25">
      <c r="A709" s="1" t="s">
        <v>1074</v>
      </c>
      <c r="B709" s="1">
        <v>96</v>
      </c>
      <c r="C709" s="1">
        <v>5</v>
      </c>
      <c r="D709" s="1">
        <v>4</v>
      </c>
      <c r="E709" s="1">
        <v>0</v>
      </c>
      <c r="F709" t="s">
        <v>1622</v>
      </c>
      <c r="G709" s="1" t="str">
        <f>_xlfn.XLOOKUP(engagement[[#This Row],[SessionID]],session_data[SessionID],session_data[Traffic Source])</f>
        <v>Paid Ads</v>
      </c>
    </row>
    <row r="710" spans="1:7" x14ac:dyDescent="0.25">
      <c r="A710" s="1" t="s">
        <v>1076</v>
      </c>
      <c r="B710" s="1">
        <v>15</v>
      </c>
      <c r="C710" s="1">
        <v>4</v>
      </c>
      <c r="D710" s="1">
        <v>4</v>
      </c>
      <c r="E710" s="1">
        <v>0</v>
      </c>
      <c r="F710" t="s">
        <v>1626</v>
      </c>
      <c r="G710" s="1" t="str">
        <f>_xlfn.XLOOKUP(engagement[[#This Row],[SessionID]],session_data[SessionID],session_data[Traffic Source])</f>
        <v>Direct</v>
      </c>
    </row>
    <row r="711" spans="1:7" x14ac:dyDescent="0.25">
      <c r="A711" s="1" t="s">
        <v>1078</v>
      </c>
      <c r="B711" s="1">
        <v>232</v>
      </c>
      <c r="C711" s="1">
        <v>9</v>
      </c>
      <c r="D711" s="1">
        <v>3</v>
      </c>
      <c r="E711" s="1">
        <v>0</v>
      </c>
      <c r="F711" t="s">
        <v>1622</v>
      </c>
      <c r="G711" s="1" t="str">
        <f>_xlfn.XLOOKUP(engagement[[#This Row],[SessionID]],session_data[SessionID],session_data[Traffic Source])</f>
        <v>Direct</v>
      </c>
    </row>
    <row r="712" spans="1:7" x14ac:dyDescent="0.25">
      <c r="A712" s="1" t="s">
        <v>1080</v>
      </c>
      <c r="B712" s="1">
        <v>318</v>
      </c>
      <c r="C712" s="1">
        <v>13</v>
      </c>
      <c r="D712" s="1">
        <v>3</v>
      </c>
      <c r="E712" s="1">
        <v>0</v>
      </c>
      <c r="F712" t="s">
        <v>1622</v>
      </c>
      <c r="G712" s="1" t="str">
        <f>_xlfn.XLOOKUP(engagement[[#This Row],[SessionID]],session_data[SessionID],session_data[Traffic Source])</f>
        <v>Direct</v>
      </c>
    </row>
    <row r="713" spans="1:7" x14ac:dyDescent="0.25">
      <c r="A713" s="1" t="s">
        <v>1081</v>
      </c>
      <c r="B713" s="1">
        <v>178</v>
      </c>
      <c r="C713" s="1">
        <v>7</v>
      </c>
      <c r="D713" s="1">
        <v>3</v>
      </c>
      <c r="E713" s="1">
        <v>0</v>
      </c>
      <c r="F713" t="s">
        <v>1624</v>
      </c>
      <c r="G713" s="1" t="str">
        <f>_xlfn.XLOOKUP(engagement[[#This Row],[SessionID]],session_data[SessionID],session_data[Traffic Source])</f>
        <v>Direct</v>
      </c>
    </row>
    <row r="714" spans="1:7" x14ac:dyDescent="0.25">
      <c r="A714" s="1" t="s">
        <v>1082</v>
      </c>
      <c r="B714" s="1">
        <v>326</v>
      </c>
      <c r="C714" s="1">
        <v>13</v>
      </c>
      <c r="D714" s="1">
        <v>4</v>
      </c>
      <c r="E714" s="1">
        <v>0</v>
      </c>
      <c r="F714" t="s">
        <v>1625</v>
      </c>
      <c r="G714" s="1" t="str">
        <f>_xlfn.XLOOKUP(engagement[[#This Row],[SessionID]],session_data[SessionID],session_data[Traffic Source])</f>
        <v>Direct</v>
      </c>
    </row>
    <row r="715" spans="1:7" x14ac:dyDescent="0.25">
      <c r="A715" s="1" t="s">
        <v>1083</v>
      </c>
      <c r="B715" s="1">
        <v>16</v>
      </c>
      <c r="C715" s="1">
        <v>4</v>
      </c>
      <c r="D715" s="1">
        <v>4</v>
      </c>
      <c r="E715" s="1">
        <v>0</v>
      </c>
      <c r="F715" t="s">
        <v>1625</v>
      </c>
      <c r="G715" s="1" t="str">
        <f>_xlfn.XLOOKUP(engagement[[#This Row],[SessionID]],session_data[SessionID],session_data[Traffic Source])</f>
        <v>Direct</v>
      </c>
    </row>
    <row r="716" spans="1:7" x14ac:dyDescent="0.25">
      <c r="A716" s="1" t="s">
        <v>1085</v>
      </c>
      <c r="B716" s="1">
        <v>148</v>
      </c>
      <c r="C716" s="1">
        <v>6</v>
      </c>
      <c r="D716" s="1">
        <v>4</v>
      </c>
      <c r="E716" s="1">
        <v>0</v>
      </c>
      <c r="F716" t="s">
        <v>1626</v>
      </c>
      <c r="G716" s="1" t="str">
        <f>_xlfn.XLOOKUP(engagement[[#This Row],[SessionID]],session_data[SessionID],session_data[Traffic Source])</f>
        <v>Direct</v>
      </c>
    </row>
    <row r="717" spans="1:7" x14ac:dyDescent="0.25">
      <c r="A717" s="1" t="s">
        <v>1086</v>
      </c>
      <c r="B717" s="1">
        <v>291</v>
      </c>
      <c r="C717" s="1">
        <v>12</v>
      </c>
      <c r="D717" s="1">
        <v>4</v>
      </c>
      <c r="E717" s="1">
        <v>0</v>
      </c>
      <c r="F717" t="s">
        <v>1622</v>
      </c>
      <c r="G717" s="1" t="str">
        <f>_xlfn.XLOOKUP(engagement[[#This Row],[SessionID]],session_data[SessionID],session_data[Traffic Source])</f>
        <v>Direct</v>
      </c>
    </row>
    <row r="718" spans="1:7" x14ac:dyDescent="0.25">
      <c r="A718" s="1" t="s">
        <v>1087</v>
      </c>
      <c r="B718" s="1">
        <v>193</v>
      </c>
      <c r="C718" s="1">
        <v>7</v>
      </c>
      <c r="D718" s="1">
        <v>4</v>
      </c>
      <c r="E718" s="1">
        <v>0</v>
      </c>
      <c r="F718" t="s">
        <v>1626</v>
      </c>
      <c r="G718" s="1" t="str">
        <f>_xlfn.XLOOKUP(engagement[[#This Row],[SessionID]],session_data[SessionID],session_data[Traffic Source])</f>
        <v>Direct</v>
      </c>
    </row>
    <row r="719" spans="1:7" x14ac:dyDescent="0.25">
      <c r="A719" s="1" t="s">
        <v>1089</v>
      </c>
      <c r="B719" s="1">
        <v>58</v>
      </c>
      <c r="C719" s="1">
        <v>5</v>
      </c>
      <c r="D719" s="1">
        <v>5</v>
      </c>
      <c r="E719" s="1">
        <v>1</v>
      </c>
      <c r="F719" t="s">
        <v>1623</v>
      </c>
      <c r="G719" s="1" t="str">
        <f>_xlfn.XLOOKUP(engagement[[#This Row],[SessionID]],session_data[SessionID],session_data[Traffic Source])</f>
        <v>Direct</v>
      </c>
    </row>
    <row r="720" spans="1:7" x14ac:dyDescent="0.25">
      <c r="A720" s="1" t="s">
        <v>1090</v>
      </c>
      <c r="B720" s="1">
        <v>314</v>
      </c>
      <c r="C720" s="1">
        <v>13</v>
      </c>
      <c r="D720" s="1">
        <v>4</v>
      </c>
      <c r="E720" s="1">
        <v>0</v>
      </c>
      <c r="F720" t="s">
        <v>1622</v>
      </c>
      <c r="G720" s="1" t="str">
        <f>_xlfn.XLOOKUP(engagement[[#This Row],[SessionID]],session_data[SessionID],session_data[Traffic Source])</f>
        <v>Organic Search</v>
      </c>
    </row>
    <row r="721" spans="1:7" x14ac:dyDescent="0.25">
      <c r="A721" s="1" t="s">
        <v>1092</v>
      </c>
      <c r="B721" s="1">
        <v>284</v>
      </c>
      <c r="C721" s="1">
        <v>11</v>
      </c>
      <c r="D721" s="1">
        <v>4</v>
      </c>
      <c r="E721" s="1">
        <v>1</v>
      </c>
      <c r="F721" t="s">
        <v>1623</v>
      </c>
      <c r="G721" s="1" t="str">
        <f>_xlfn.XLOOKUP(engagement[[#This Row],[SessionID]],session_data[SessionID],session_data[Traffic Source])</f>
        <v>Direct</v>
      </c>
    </row>
    <row r="722" spans="1:7" x14ac:dyDescent="0.25">
      <c r="A722" s="1" t="s">
        <v>1094</v>
      </c>
      <c r="B722" s="1">
        <v>43</v>
      </c>
      <c r="C722" s="1">
        <v>4</v>
      </c>
      <c r="D722" s="1">
        <v>4</v>
      </c>
      <c r="E722" s="1">
        <v>0</v>
      </c>
      <c r="F722" t="s">
        <v>1626</v>
      </c>
      <c r="G722" s="1" t="str">
        <f>_xlfn.XLOOKUP(engagement[[#This Row],[SessionID]],session_data[SessionID],session_data[Traffic Source])</f>
        <v>Direct</v>
      </c>
    </row>
    <row r="723" spans="1:7" x14ac:dyDescent="0.25">
      <c r="A723" s="1" t="s">
        <v>1095</v>
      </c>
      <c r="B723" s="1">
        <v>69</v>
      </c>
      <c r="C723" s="1">
        <v>4</v>
      </c>
      <c r="D723" s="1">
        <v>4</v>
      </c>
      <c r="E723" s="1">
        <v>0</v>
      </c>
      <c r="F723" t="s">
        <v>1625</v>
      </c>
      <c r="G723" s="1" t="str">
        <f>_xlfn.XLOOKUP(engagement[[#This Row],[SessionID]],session_data[SessionID],session_data[Traffic Source])</f>
        <v>Direct</v>
      </c>
    </row>
    <row r="724" spans="1:7" x14ac:dyDescent="0.25">
      <c r="A724" s="1" t="s">
        <v>1097</v>
      </c>
      <c r="B724" s="1">
        <v>69</v>
      </c>
      <c r="C724" s="1">
        <v>3</v>
      </c>
      <c r="D724" s="1">
        <v>3</v>
      </c>
      <c r="E724" s="1">
        <v>0</v>
      </c>
      <c r="F724" t="s">
        <v>1626</v>
      </c>
      <c r="G724" s="1" t="str">
        <f>_xlfn.XLOOKUP(engagement[[#This Row],[SessionID]],session_data[SessionID],session_data[Traffic Source])</f>
        <v>Direct</v>
      </c>
    </row>
    <row r="725" spans="1:7" x14ac:dyDescent="0.25">
      <c r="A725" s="1" t="s">
        <v>1098</v>
      </c>
      <c r="B725" s="1">
        <v>170</v>
      </c>
      <c r="C725" s="1">
        <v>7</v>
      </c>
      <c r="D725" s="1">
        <v>4</v>
      </c>
      <c r="E725" s="1">
        <v>0</v>
      </c>
      <c r="F725" t="s">
        <v>1625</v>
      </c>
      <c r="G725" s="1" t="str">
        <f>_xlfn.XLOOKUP(engagement[[#This Row],[SessionID]],session_data[SessionID],session_data[Traffic Source])</f>
        <v>Referral</v>
      </c>
    </row>
    <row r="726" spans="1:7" x14ac:dyDescent="0.25">
      <c r="A726" s="1" t="s">
        <v>1100</v>
      </c>
      <c r="B726" s="1">
        <v>154</v>
      </c>
      <c r="C726" s="1">
        <v>6</v>
      </c>
      <c r="D726" s="1">
        <v>3</v>
      </c>
      <c r="E726" s="1">
        <v>0</v>
      </c>
      <c r="F726" t="s">
        <v>1624</v>
      </c>
      <c r="G726" s="1" t="str">
        <f>_xlfn.XLOOKUP(engagement[[#This Row],[SessionID]],session_data[SessionID],session_data[Traffic Source])</f>
        <v>Organic Search</v>
      </c>
    </row>
    <row r="727" spans="1:7" x14ac:dyDescent="0.25">
      <c r="A727" s="1" t="s">
        <v>1102</v>
      </c>
      <c r="B727" s="1">
        <v>33</v>
      </c>
      <c r="C727" s="1">
        <v>2</v>
      </c>
      <c r="D727" s="1">
        <v>2</v>
      </c>
      <c r="E727" s="1">
        <v>0</v>
      </c>
      <c r="F727" t="s">
        <v>1622</v>
      </c>
      <c r="G727" s="1" t="str">
        <f>_xlfn.XLOOKUP(engagement[[#This Row],[SessionID]],session_data[SessionID],session_data[Traffic Source])</f>
        <v>Organic Search</v>
      </c>
    </row>
    <row r="728" spans="1:7" x14ac:dyDescent="0.25">
      <c r="A728" s="1" t="s">
        <v>1103</v>
      </c>
      <c r="B728" s="1">
        <v>153</v>
      </c>
      <c r="C728" s="1">
        <v>6</v>
      </c>
      <c r="D728" s="1">
        <v>4</v>
      </c>
      <c r="E728" s="1">
        <v>0</v>
      </c>
      <c r="F728" t="s">
        <v>1622</v>
      </c>
      <c r="G728" s="1" t="str">
        <f>_xlfn.XLOOKUP(engagement[[#This Row],[SessionID]],session_data[SessionID],session_data[Traffic Source])</f>
        <v>Referral</v>
      </c>
    </row>
    <row r="729" spans="1:7" x14ac:dyDescent="0.25">
      <c r="A729" s="1" t="s">
        <v>1105</v>
      </c>
      <c r="B729" s="1">
        <v>142</v>
      </c>
      <c r="C729" s="1">
        <v>6</v>
      </c>
      <c r="D729" s="1">
        <v>4</v>
      </c>
      <c r="E729" s="1">
        <v>0</v>
      </c>
      <c r="F729" t="s">
        <v>1622</v>
      </c>
      <c r="G729" s="1" t="str">
        <f>_xlfn.XLOOKUP(engagement[[#This Row],[SessionID]],session_data[SessionID],session_data[Traffic Source])</f>
        <v>Social Media</v>
      </c>
    </row>
    <row r="730" spans="1:7" x14ac:dyDescent="0.25">
      <c r="A730" s="1" t="s">
        <v>1107</v>
      </c>
      <c r="B730" s="1">
        <v>149</v>
      </c>
      <c r="C730" s="1">
        <v>6</v>
      </c>
      <c r="D730" s="1">
        <v>4</v>
      </c>
      <c r="E730" s="1">
        <v>0</v>
      </c>
      <c r="F730" t="s">
        <v>1626</v>
      </c>
      <c r="G730" s="1" t="str">
        <f>_xlfn.XLOOKUP(engagement[[#This Row],[SessionID]],session_data[SessionID],session_data[Traffic Source])</f>
        <v>Social Media</v>
      </c>
    </row>
    <row r="731" spans="1:7" x14ac:dyDescent="0.25">
      <c r="A731" s="1" t="s">
        <v>1108</v>
      </c>
      <c r="B731" s="1">
        <v>106</v>
      </c>
      <c r="C731" s="1">
        <v>4</v>
      </c>
      <c r="D731" s="1">
        <v>1</v>
      </c>
      <c r="E731" s="1">
        <v>0</v>
      </c>
      <c r="F731" t="s">
        <v>1622</v>
      </c>
      <c r="G731" s="1" t="str">
        <f>_xlfn.XLOOKUP(engagement[[#This Row],[SessionID]],session_data[SessionID],session_data[Traffic Source])</f>
        <v>Organic Search</v>
      </c>
    </row>
    <row r="732" spans="1:7" x14ac:dyDescent="0.25">
      <c r="A732" s="1" t="s">
        <v>1110</v>
      </c>
      <c r="B732" s="1">
        <v>174</v>
      </c>
      <c r="C732" s="1">
        <v>7</v>
      </c>
      <c r="D732" s="1">
        <v>1</v>
      </c>
      <c r="E732" s="1">
        <v>0</v>
      </c>
      <c r="F732" t="s">
        <v>1626</v>
      </c>
      <c r="G732" s="1" t="str">
        <f>_xlfn.XLOOKUP(engagement[[#This Row],[SessionID]],session_data[SessionID],session_data[Traffic Source])</f>
        <v>Organic Search</v>
      </c>
    </row>
    <row r="733" spans="1:7" x14ac:dyDescent="0.25">
      <c r="A733" s="1" t="s">
        <v>1111</v>
      </c>
      <c r="B733" s="1">
        <v>256</v>
      </c>
      <c r="C733" s="1">
        <v>11</v>
      </c>
      <c r="D733" s="1">
        <v>4</v>
      </c>
      <c r="E733" s="1">
        <v>0</v>
      </c>
      <c r="F733" t="s">
        <v>1625</v>
      </c>
      <c r="G733" s="1" t="str">
        <f>_xlfn.XLOOKUP(engagement[[#This Row],[SessionID]],session_data[SessionID],session_data[Traffic Source])</f>
        <v>Organic Search</v>
      </c>
    </row>
    <row r="734" spans="1:7" x14ac:dyDescent="0.25">
      <c r="A734" s="1" t="s">
        <v>1113</v>
      </c>
      <c r="B734" s="1">
        <v>95</v>
      </c>
      <c r="C734" s="1">
        <v>5</v>
      </c>
      <c r="D734" s="1">
        <v>5</v>
      </c>
      <c r="E734" s="1">
        <v>1</v>
      </c>
      <c r="F734" t="s">
        <v>1623</v>
      </c>
      <c r="G734" s="1" t="str">
        <f>_xlfn.XLOOKUP(engagement[[#This Row],[SessionID]],session_data[SessionID],session_data[Traffic Source])</f>
        <v>Referral</v>
      </c>
    </row>
    <row r="735" spans="1:7" x14ac:dyDescent="0.25">
      <c r="A735" s="1" t="s">
        <v>1115</v>
      </c>
      <c r="B735" s="1">
        <v>202</v>
      </c>
      <c r="C735" s="1">
        <v>8</v>
      </c>
      <c r="D735" s="1">
        <v>4</v>
      </c>
      <c r="E735" s="1">
        <v>0</v>
      </c>
      <c r="F735" t="s">
        <v>1625</v>
      </c>
      <c r="G735" s="1" t="str">
        <f>_xlfn.XLOOKUP(engagement[[#This Row],[SessionID]],session_data[SessionID],session_data[Traffic Source])</f>
        <v>Organic Search</v>
      </c>
    </row>
    <row r="736" spans="1:7" x14ac:dyDescent="0.25">
      <c r="A736" s="1" t="s">
        <v>1117</v>
      </c>
      <c r="B736" s="1">
        <v>260</v>
      </c>
      <c r="C736" s="1">
        <v>10</v>
      </c>
      <c r="D736" s="1">
        <v>4</v>
      </c>
      <c r="E736" s="1">
        <v>0</v>
      </c>
      <c r="F736" t="s">
        <v>1625</v>
      </c>
      <c r="G736" s="1" t="str">
        <f>_xlfn.XLOOKUP(engagement[[#This Row],[SessionID]],session_data[SessionID],session_data[Traffic Source])</f>
        <v>Organic Search</v>
      </c>
    </row>
    <row r="737" spans="1:7" x14ac:dyDescent="0.25">
      <c r="A737" s="1" t="s">
        <v>1118</v>
      </c>
      <c r="B737" s="1">
        <v>118</v>
      </c>
      <c r="C737" s="1">
        <v>5</v>
      </c>
      <c r="D737" s="1">
        <v>1</v>
      </c>
      <c r="E737" s="1">
        <v>0</v>
      </c>
      <c r="F737" t="s">
        <v>1622</v>
      </c>
      <c r="G737" s="1" t="str">
        <f>_xlfn.XLOOKUP(engagement[[#This Row],[SessionID]],session_data[SessionID],session_data[Traffic Source])</f>
        <v>Direct</v>
      </c>
    </row>
    <row r="738" spans="1:7" x14ac:dyDescent="0.25">
      <c r="A738" s="1" t="s">
        <v>1120</v>
      </c>
      <c r="B738" s="1">
        <v>105</v>
      </c>
      <c r="C738" s="1">
        <v>4</v>
      </c>
      <c r="D738" s="1">
        <v>1</v>
      </c>
      <c r="E738" s="1">
        <v>0</v>
      </c>
      <c r="F738" t="s">
        <v>1622</v>
      </c>
      <c r="G738" s="1" t="str">
        <f>_xlfn.XLOOKUP(engagement[[#This Row],[SessionID]],session_data[SessionID],session_data[Traffic Source])</f>
        <v>Direct</v>
      </c>
    </row>
    <row r="739" spans="1:7" x14ac:dyDescent="0.25">
      <c r="A739" s="1" t="s">
        <v>1121</v>
      </c>
      <c r="B739" s="1">
        <v>185</v>
      </c>
      <c r="C739" s="1">
        <v>7</v>
      </c>
      <c r="D739" s="1">
        <v>4</v>
      </c>
      <c r="E739" s="1">
        <v>0</v>
      </c>
      <c r="F739" t="s">
        <v>1625</v>
      </c>
      <c r="G739" s="1" t="str">
        <f>_xlfn.XLOOKUP(engagement[[#This Row],[SessionID]],session_data[SessionID],session_data[Traffic Source])</f>
        <v>Direct</v>
      </c>
    </row>
    <row r="740" spans="1:7" x14ac:dyDescent="0.25">
      <c r="A740" s="1" t="s">
        <v>1123</v>
      </c>
      <c r="B740" s="1">
        <v>178</v>
      </c>
      <c r="C740" s="1">
        <v>7</v>
      </c>
      <c r="D740" s="1">
        <v>4</v>
      </c>
      <c r="E740" s="1">
        <v>0</v>
      </c>
      <c r="F740" t="s">
        <v>1622</v>
      </c>
      <c r="G740" s="1" t="str">
        <f>_xlfn.XLOOKUP(engagement[[#This Row],[SessionID]],session_data[SessionID],session_data[Traffic Source])</f>
        <v>Direct</v>
      </c>
    </row>
    <row r="741" spans="1:7" x14ac:dyDescent="0.25">
      <c r="A741" s="1" t="s">
        <v>1124</v>
      </c>
      <c r="B741" s="1">
        <v>94</v>
      </c>
      <c r="C741" s="1">
        <v>5</v>
      </c>
      <c r="D741" s="1">
        <v>4</v>
      </c>
      <c r="E741" s="1">
        <v>0</v>
      </c>
      <c r="F741" t="s">
        <v>1626</v>
      </c>
      <c r="G741" s="1" t="str">
        <f>_xlfn.XLOOKUP(engagement[[#This Row],[SessionID]],session_data[SessionID],session_data[Traffic Source])</f>
        <v>Direct</v>
      </c>
    </row>
    <row r="742" spans="1:7" x14ac:dyDescent="0.25">
      <c r="A742" s="1" t="s">
        <v>1125</v>
      </c>
      <c r="B742" s="1">
        <v>105</v>
      </c>
      <c r="C742" s="1">
        <v>5</v>
      </c>
      <c r="D742" s="1">
        <v>5</v>
      </c>
      <c r="E742" s="1">
        <v>1</v>
      </c>
      <c r="F742" t="s">
        <v>1623</v>
      </c>
      <c r="G742" s="1" t="str">
        <f>_xlfn.XLOOKUP(engagement[[#This Row],[SessionID]],session_data[SessionID],session_data[Traffic Source])</f>
        <v>Direct</v>
      </c>
    </row>
    <row r="743" spans="1:7" x14ac:dyDescent="0.25">
      <c r="A743" s="1" t="s">
        <v>1126</v>
      </c>
      <c r="B743" s="1">
        <v>338</v>
      </c>
      <c r="C743" s="1">
        <v>13</v>
      </c>
      <c r="D743" s="1">
        <v>4</v>
      </c>
      <c r="E743" s="1">
        <v>0</v>
      </c>
      <c r="F743" t="s">
        <v>1622</v>
      </c>
      <c r="G743" s="1" t="str">
        <f>_xlfn.XLOOKUP(engagement[[#This Row],[SessionID]],session_data[SessionID],session_data[Traffic Source])</f>
        <v>Direct</v>
      </c>
    </row>
    <row r="744" spans="1:7" x14ac:dyDescent="0.25">
      <c r="A744" s="1" t="s">
        <v>1128</v>
      </c>
      <c r="B744" s="1">
        <v>78</v>
      </c>
      <c r="C744" s="1">
        <v>5</v>
      </c>
      <c r="D744" s="1">
        <v>5</v>
      </c>
      <c r="E744" s="1">
        <v>1</v>
      </c>
      <c r="F744" t="s">
        <v>1623</v>
      </c>
      <c r="G744" s="1" t="str">
        <f>_xlfn.XLOOKUP(engagement[[#This Row],[SessionID]],session_data[SessionID],session_data[Traffic Source])</f>
        <v>Direct</v>
      </c>
    </row>
    <row r="745" spans="1:7" x14ac:dyDescent="0.25">
      <c r="A745" s="1" t="s">
        <v>1129</v>
      </c>
      <c r="B745" s="1">
        <v>339</v>
      </c>
      <c r="C745" s="1">
        <v>13</v>
      </c>
      <c r="D745" s="1">
        <v>4</v>
      </c>
      <c r="E745" s="1">
        <v>0</v>
      </c>
      <c r="F745" t="s">
        <v>1626</v>
      </c>
      <c r="G745" s="1" t="str">
        <f>_xlfn.XLOOKUP(engagement[[#This Row],[SessionID]],session_data[SessionID],session_data[Traffic Source])</f>
        <v>Direct</v>
      </c>
    </row>
    <row r="746" spans="1:7" x14ac:dyDescent="0.25">
      <c r="A746" s="1" t="s">
        <v>1130</v>
      </c>
      <c r="B746" s="1">
        <v>197</v>
      </c>
      <c r="C746" s="1">
        <v>8</v>
      </c>
      <c r="D746" s="1">
        <v>3</v>
      </c>
      <c r="E746" s="1">
        <v>0</v>
      </c>
      <c r="F746" t="s">
        <v>1626</v>
      </c>
      <c r="G746" s="1" t="str">
        <f>_xlfn.XLOOKUP(engagement[[#This Row],[SessionID]],session_data[SessionID],session_data[Traffic Source])</f>
        <v>Organic Search</v>
      </c>
    </row>
    <row r="747" spans="1:7" x14ac:dyDescent="0.25">
      <c r="A747" s="1" t="s">
        <v>1132</v>
      </c>
      <c r="B747" s="1">
        <v>196</v>
      </c>
      <c r="C747" s="1">
        <v>8</v>
      </c>
      <c r="D747" s="1">
        <v>4</v>
      </c>
      <c r="E747" s="1">
        <v>0</v>
      </c>
      <c r="F747" t="s">
        <v>1625</v>
      </c>
      <c r="G747" s="1" t="str">
        <f>_xlfn.XLOOKUP(engagement[[#This Row],[SessionID]],session_data[SessionID],session_data[Traffic Source])</f>
        <v>Direct</v>
      </c>
    </row>
    <row r="748" spans="1:7" x14ac:dyDescent="0.25">
      <c r="A748" s="1" t="s">
        <v>1134</v>
      </c>
      <c r="B748" s="1">
        <v>281</v>
      </c>
      <c r="C748" s="1">
        <v>12</v>
      </c>
      <c r="D748" s="1">
        <v>4</v>
      </c>
      <c r="E748" s="1">
        <v>0</v>
      </c>
      <c r="F748" t="s">
        <v>1626</v>
      </c>
      <c r="G748" s="1" t="str">
        <f>_xlfn.XLOOKUP(engagement[[#This Row],[SessionID]],session_data[SessionID],session_data[Traffic Source])</f>
        <v>Social Media</v>
      </c>
    </row>
    <row r="749" spans="1:7" x14ac:dyDescent="0.25">
      <c r="A749" s="1" t="s">
        <v>1136</v>
      </c>
      <c r="B749" s="1">
        <v>322</v>
      </c>
      <c r="C749" s="1">
        <v>13</v>
      </c>
      <c r="D749" s="1">
        <v>4</v>
      </c>
      <c r="E749" s="1">
        <v>0</v>
      </c>
      <c r="F749" t="s">
        <v>1622</v>
      </c>
      <c r="G749" s="1" t="str">
        <f>_xlfn.XLOOKUP(engagement[[#This Row],[SessionID]],session_data[SessionID],session_data[Traffic Source])</f>
        <v>Social Media</v>
      </c>
    </row>
    <row r="750" spans="1:7" x14ac:dyDescent="0.25">
      <c r="A750" s="1" t="s">
        <v>1137</v>
      </c>
      <c r="B750" s="1">
        <v>183</v>
      </c>
      <c r="C750" s="1">
        <v>7</v>
      </c>
      <c r="D750" s="1">
        <v>3</v>
      </c>
      <c r="E750" s="1">
        <v>0</v>
      </c>
      <c r="F750" t="s">
        <v>1626</v>
      </c>
      <c r="G750" s="1" t="str">
        <f>_xlfn.XLOOKUP(engagement[[#This Row],[SessionID]],session_data[SessionID],session_data[Traffic Source])</f>
        <v>Social Media</v>
      </c>
    </row>
    <row r="751" spans="1:7" x14ac:dyDescent="0.25">
      <c r="A751" s="1" t="s">
        <v>1139</v>
      </c>
      <c r="B751" s="1">
        <v>54</v>
      </c>
      <c r="C751" s="1">
        <v>4</v>
      </c>
      <c r="D751" s="1">
        <v>4</v>
      </c>
      <c r="E751" s="1">
        <v>0</v>
      </c>
      <c r="F751" t="s">
        <v>1625</v>
      </c>
      <c r="G751" s="1" t="str">
        <f>_xlfn.XLOOKUP(engagement[[#This Row],[SessionID]],session_data[SessionID],session_data[Traffic Source])</f>
        <v>Direct</v>
      </c>
    </row>
    <row r="752" spans="1:7" x14ac:dyDescent="0.25">
      <c r="A752" s="1" t="s">
        <v>1141</v>
      </c>
      <c r="B752" s="1">
        <v>273</v>
      </c>
      <c r="C752" s="1">
        <v>10</v>
      </c>
      <c r="D752" s="1">
        <v>3</v>
      </c>
      <c r="E752" s="1">
        <v>0</v>
      </c>
      <c r="F752" t="s">
        <v>1624</v>
      </c>
      <c r="G752" s="1" t="str">
        <f>_xlfn.XLOOKUP(engagement[[#This Row],[SessionID]],session_data[SessionID],session_data[Traffic Source])</f>
        <v>Direct</v>
      </c>
    </row>
    <row r="753" spans="1:7" x14ac:dyDescent="0.25">
      <c r="A753" s="1" t="s">
        <v>1142</v>
      </c>
      <c r="B753" s="1">
        <v>171</v>
      </c>
      <c r="C753" s="1">
        <v>7</v>
      </c>
      <c r="D753" s="1">
        <v>4</v>
      </c>
      <c r="E753" s="1">
        <v>0</v>
      </c>
      <c r="F753" t="s">
        <v>1622</v>
      </c>
      <c r="G753" s="1" t="str">
        <f>_xlfn.XLOOKUP(engagement[[#This Row],[SessionID]],session_data[SessionID],session_data[Traffic Source])</f>
        <v>Paid Ads</v>
      </c>
    </row>
    <row r="754" spans="1:7" x14ac:dyDescent="0.25">
      <c r="A754" s="1" t="s">
        <v>1144</v>
      </c>
      <c r="B754" s="1">
        <v>81</v>
      </c>
      <c r="C754" s="1">
        <v>5</v>
      </c>
      <c r="D754" s="1">
        <v>4</v>
      </c>
      <c r="E754" s="1">
        <v>0</v>
      </c>
      <c r="F754" t="s">
        <v>1625</v>
      </c>
      <c r="G754" s="1" t="str">
        <f>_xlfn.XLOOKUP(engagement[[#This Row],[SessionID]],session_data[SessionID],session_data[Traffic Source])</f>
        <v>Paid Ads</v>
      </c>
    </row>
    <row r="755" spans="1:7" x14ac:dyDescent="0.25">
      <c r="A755" s="1" t="s">
        <v>1145</v>
      </c>
      <c r="B755" s="1">
        <v>228</v>
      </c>
      <c r="C755" s="1">
        <v>9</v>
      </c>
      <c r="D755" s="1">
        <v>4</v>
      </c>
      <c r="E755" s="1">
        <v>0</v>
      </c>
      <c r="F755" t="s">
        <v>1622</v>
      </c>
      <c r="G755" s="1" t="str">
        <f>_xlfn.XLOOKUP(engagement[[#This Row],[SessionID]],session_data[SessionID],session_data[Traffic Source])</f>
        <v>Paid Ads</v>
      </c>
    </row>
    <row r="756" spans="1:7" x14ac:dyDescent="0.25">
      <c r="A756" s="1" t="s">
        <v>1146</v>
      </c>
      <c r="B756" s="1">
        <v>222</v>
      </c>
      <c r="C756" s="1">
        <v>9</v>
      </c>
      <c r="D756" s="1">
        <v>4</v>
      </c>
      <c r="E756" s="1">
        <v>0</v>
      </c>
      <c r="F756" t="s">
        <v>1625</v>
      </c>
      <c r="G756" s="1" t="str">
        <f>_xlfn.XLOOKUP(engagement[[#This Row],[SessionID]],session_data[SessionID],session_data[Traffic Source])</f>
        <v>Paid Ads</v>
      </c>
    </row>
    <row r="757" spans="1:7" x14ac:dyDescent="0.25">
      <c r="A757" s="1" t="s">
        <v>1147</v>
      </c>
      <c r="B757" s="1">
        <v>273</v>
      </c>
      <c r="C757" s="1">
        <v>10</v>
      </c>
      <c r="D757" s="1">
        <v>4</v>
      </c>
      <c r="E757" s="1">
        <v>0</v>
      </c>
      <c r="F757" t="s">
        <v>1626</v>
      </c>
      <c r="G757" s="1" t="str">
        <f>_xlfn.XLOOKUP(engagement[[#This Row],[SessionID]],session_data[SessionID],session_data[Traffic Source])</f>
        <v>Organic Search</v>
      </c>
    </row>
    <row r="758" spans="1:7" x14ac:dyDescent="0.25">
      <c r="A758" s="1" t="s">
        <v>1149</v>
      </c>
      <c r="B758" s="1">
        <v>20</v>
      </c>
      <c r="C758" s="1">
        <v>4</v>
      </c>
      <c r="D758" s="1">
        <v>4</v>
      </c>
      <c r="E758" s="1">
        <v>0</v>
      </c>
      <c r="F758" t="s">
        <v>1622</v>
      </c>
      <c r="G758" s="1" t="str">
        <f>_xlfn.XLOOKUP(engagement[[#This Row],[SessionID]],session_data[SessionID],session_data[Traffic Source])</f>
        <v>Organic Search</v>
      </c>
    </row>
    <row r="759" spans="1:7" x14ac:dyDescent="0.25">
      <c r="A759" s="1" t="s">
        <v>1150</v>
      </c>
      <c r="B759" s="1">
        <v>208</v>
      </c>
      <c r="C759" s="1">
        <v>8</v>
      </c>
      <c r="D759" s="1">
        <v>2</v>
      </c>
      <c r="E759" s="1">
        <v>0</v>
      </c>
      <c r="F759" t="s">
        <v>1622</v>
      </c>
      <c r="G759" s="1" t="str">
        <f>_xlfn.XLOOKUP(engagement[[#This Row],[SessionID]],session_data[SessionID],session_data[Traffic Source])</f>
        <v>Social Media</v>
      </c>
    </row>
    <row r="760" spans="1:7" x14ac:dyDescent="0.25">
      <c r="A760" s="1" t="s">
        <v>1152</v>
      </c>
      <c r="B760" s="1">
        <v>356</v>
      </c>
      <c r="C760" s="1">
        <v>14</v>
      </c>
      <c r="D760" s="1">
        <v>4</v>
      </c>
      <c r="E760" s="1">
        <v>0</v>
      </c>
      <c r="F760" t="s">
        <v>1625</v>
      </c>
      <c r="G760" s="1" t="str">
        <f>_xlfn.XLOOKUP(engagement[[#This Row],[SessionID]],session_data[SessionID],session_data[Traffic Source])</f>
        <v>Referral</v>
      </c>
    </row>
    <row r="761" spans="1:7" x14ac:dyDescent="0.25">
      <c r="A761" s="1" t="s">
        <v>1154</v>
      </c>
      <c r="B761" s="1">
        <v>334</v>
      </c>
      <c r="C761" s="1">
        <v>13</v>
      </c>
      <c r="D761" s="1">
        <v>4</v>
      </c>
      <c r="E761" s="1">
        <v>1</v>
      </c>
      <c r="F761" t="s">
        <v>1623</v>
      </c>
      <c r="G761" s="1" t="str">
        <f>_xlfn.XLOOKUP(engagement[[#This Row],[SessionID]],session_data[SessionID],session_data[Traffic Source])</f>
        <v>Referral</v>
      </c>
    </row>
    <row r="762" spans="1:7" x14ac:dyDescent="0.25">
      <c r="A762" s="1" t="s">
        <v>1155</v>
      </c>
      <c r="B762" s="1">
        <v>273</v>
      </c>
      <c r="C762" s="1">
        <v>11</v>
      </c>
      <c r="D762" s="1">
        <v>4</v>
      </c>
      <c r="E762" s="1">
        <v>0</v>
      </c>
      <c r="F762" t="s">
        <v>1625</v>
      </c>
      <c r="G762" s="1" t="str">
        <f>_xlfn.XLOOKUP(engagement[[#This Row],[SessionID]],session_data[SessionID],session_data[Traffic Source])</f>
        <v>Organic Search</v>
      </c>
    </row>
    <row r="763" spans="1:7" x14ac:dyDescent="0.25">
      <c r="A763" s="1" t="s">
        <v>1157</v>
      </c>
      <c r="B763" s="1">
        <v>324</v>
      </c>
      <c r="C763" s="1">
        <v>13</v>
      </c>
      <c r="D763" s="1">
        <v>3</v>
      </c>
      <c r="E763" s="1">
        <v>0</v>
      </c>
      <c r="F763" t="s">
        <v>1622</v>
      </c>
      <c r="G763" s="1" t="str">
        <f>_xlfn.XLOOKUP(engagement[[#This Row],[SessionID]],session_data[SessionID],session_data[Traffic Source])</f>
        <v>Organic Search</v>
      </c>
    </row>
    <row r="764" spans="1:7" x14ac:dyDescent="0.25">
      <c r="A764" s="1" t="s">
        <v>1158</v>
      </c>
      <c r="B764" s="1">
        <v>301</v>
      </c>
      <c r="C764" s="1">
        <v>12</v>
      </c>
      <c r="D764" s="1">
        <v>4</v>
      </c>
      <c r="E764" s="1">
        <v>1</v>
      </c>
      <c r="F764" t="s">
        <v>1623</v>
      </c>
      <c r="G764" s="1" t="str">
        <f>_xlfn.XLOOKUP(engagement[[#This Row],[SessionID]],session_data[SessionID],session_data[Traffic Source])</f>
        <v>Paid Ads</v>
      </c>
    </row>
    <row r="765" spans="1:7" x14ac:dyDescent="0.25">
      <c r="A765" s="1" t="s">
        <v>1160</v>
      </c>
      <c r="B765" s="1">
        <v>159</v>
      </c>
      <c r="C765" s="1">
        <v>6</v>
      </c>
      <c r="D765" s="1">
        <v>4</v>
      </c>
      <c r="E765" s="1">
        <v>0</v>
      </c>
      <c r="F765" t="s">
        <v>1622</v>
      </c>
      <c r="G765" s="1" t="str">
        <f>_xlfn.XLOOKUP(engagement[[#This Row],[SessionID]],session_data[SessionID],session_data[Traffic Source])</f>
        <v>Paid Ads</v>
      </c>
    </row>
    <row r="766" spans="1:7" x14ac:dyDescent="0.25">
      <c r="A766" s="1" t="s">
        <v>1161</v>
      </c>
      <c r="B766" s="1">
        <v>208</v>
      </c>
      <c r="C766" s="1">
        <v>9</v>
      </c>
      <c r="D766" s="1">
        <v>3</v>
      </c>
      <c r="E766" s="1">
        <v>0</v>
      </c>
      <c r="F766" t="s">
        <v>1622</v>
      </c>
      <c r="G766" s="1" t="str">
        <f>_xlfn.XLOOKUP(engagement[[#This Row],[SessionID]],session_data[SessionID],session_data[Traffic Source])</f>
        <v>Organic Search</v>
      </c>
    </row>
    <row r="767" spans="1:7" x14ac:dyDescent="0.25">
      <c r="A767" s="1" t="s">
        <v>1163</v>
      </c>
      <c r="B767" s="1">
        <v>269</v>
      </c>
      <c r="C767" s="1">
        <v>11</v>
      </c>
      <c r="D767" s="1">
        <v>4</v>
      </c>
      <c r="E767" s="1">
        <v>0</v>
      </c>
      <c r="F767" t="s">
        <v>1625</v>
      </c>
      <c r="G767" s="1" t="str">
        <f>_xlfn.XLOOKUP(engagement[[#This Row],[SessionID]],session_data[SessionID],session_data[Traffic Source])</f>
        <v>Organic Search</v>
      </c>
    </row>
    <row r="768" spans="1:7" x14ac:dyDescent="0.25">
      <c r="A768" s="1" t="s">
        <v>1164</v>
      </c>
      <c r="B768" s="1">
        <v>311</v>
      </c>
      <c r="C768" s="1">
        <v>12</v>
      </c>
      <c r="D768" s="1">
        <v>3</v>
      </c>
      <c r="E768" s="1">
        <v>0</v>
      </c>
      <c r="F768" t="s">
        <v>1626</v>
      </c>
      <c r="G768" s="1" t="str">
        <f>_xlfn.XLOOKUP(engagement[[#This Row],[SessionID]],session_data[SessionID],session_data[Traffic Source])</f>
        <v>Organic Search</v>
      </c>
    </row>
    <row r="769" spans="1:7" x14ac:dyDescent="0.25">
      <c r="A769" s="1" t="s">
        <v>1165</v>
      </c>
      <c r="B769" s="1">
        <v>158</v>
      </c>
      <c r="C769" s="1">
        <v>7</v>
      </c>
      <c r="D769" s="1">
        <v>4</v>
      </c>
      <c r="E769" s="1">
        <v>0</v>
      </c>
      <c r="F769" t="s">
        <v>1625</v>
      </c>
      <c r="G769" s="1" t="str">
        <f>_xlfn.XLOOKUP(engagement[[#This Row],[SessionID]],session_data[SessionID],session_data[Traffic Source])</f>
        <v>Organic Search</v>
      </c>
    </row>
    <row r="770" spans="1:7" x14ac:dyDescent="0.25">
      <c r="A770" s="1" t="s">
        <v>1166</v>
      </c>
      <c r="B770" s="1">
        <v>42</v>
      </c>
      <c r="C770" s="1">
        <v>5</v>
      </c>
      <c r="D770" s="1">
        <v>4</v>
      </c>
      <c r="E770" s="1">
        <v>0</v>
      </c>
      <c r="F770" t="s">
        <v>1625</v>
      </c>
      <c r="G770" s="1" t="str">
        <f>_xlfn.XLOOKUP(engagement[[#This Row],[SessionID]],session_data[SessionID],session_data[Traffic Source])</f>
        <v>Paid Ads</v>
      </c>
    </row>
    <row r="771" spans="1:7" x14ac:dyDescent="0.25">
      <c r="A771" s="1" t="s">
        <v>1168</v>
      </c>
      <c r="B771" s="1">
        <v>120</v>
      </c>
      <c r="C771" s="1">
        <v>5</v>
      </c>
      <c r="D771" s="1">
        <v>4</v>
      </c>
      <c r="E771" s="1">
        <v>0</v>
      </c>
      <c r="F771" t="s">
        <v>1625</v>
      </c>
      <c r="G771" s="1" t="str">
        <f>_xlfn.XLOOKUP(engagement[[#This Row],[SessionID]],session_data[SessionID],session_data[Traffic Source])</f>
        <v>Referral</v>
      </c>
    </row>
    <row r="772" spans="1:7" x14ac:dyDescent="0.25">
      <c r="A772" s="1" t="s">
        <v>1170</v>
      </c>
      <c r="B772" s="1">
        <v>326</v>
      </c>
      <c r="C772" s="1">
        <v>13</v>
      </c>
      <c r="D772" s="1">
        <v>2</v>
      </c>
      <c r="E772" s="1">
        <v>0</v>
      </c>
      <c r="F772" t="s">
        <v>1626</v>
      </c>
      <c r="G772" s="1" t="str">
        <f>_xlfn.XLOOKUP(engagement[[#This Row],[SessionID]],session_data[SessionID],session_data[Traffic Source])</f>
        <v>Referral</v>
      </c>
    </row>
    <row r="773" spans="1:7" x14ac:dyDescent="0.25">
      <c r="A773" s="1" t="s">
        <v>1171</v>
      </c>
      <c r="B773" s="1">
        <v>287</v>
      </c>
      <c r="C773" s="1">
        <v>12</v>
      </c>
      <c r="D773" s="1">
        <v>2</v>
      </c>
      <c r="E773" s="1">
        <v>0</v>
      </c>
      <c r="F773" t="s">
        <v>1622</v>
      </c>
      <c r="G773" s="1" t="str">
        <f>_xlfn.XLOOKUP(engagement[[#This Row],[SessionID]],session_data[SessionID],session_data[Traffic Source])</f>
        <v>Referral</v>
      </c>
    </row>
    <row r="774" spans="1:7" x14ac:dyDescent="0.25">
      <c r="A774" s="1" t="s">
        <v>1172</v>
      </c>
      <c r="B774" s="1">
        <v>203</v>
      </c>
      <c r="C774" s="1">
        <v>8</v>
      </c>
      <c r="D774" s="1">
        <v>4</v>
      </c>
      <c r="E774" s="1">
        <v>0</v>
      </c>
      <c r="F774" t="s">
        <v>1625</v>
      </c>
      <c r="G774" s="1" t="str">
        <f>_xlfn.XLOOKUP(engagement[[#This Row],[SessionID]],session_data[SessionID],session_data[Traffic Source])</f>
        <v>Referral</v>
      </c>
    </row>
    <row r="775" spans="1:7" x14ac:dyDescent="0.25">
      <c r="A775" s="1" t="s">
        <v>1173</v>
      </c>
      <c r="B775" s="1">
        <v>43</v>
      </c>
      <c r="C775" s="1">
        <v>2</v>
      </c>
      <c r="D775" s="1">
        <v>2</v>
      </c>
      <c r="E775" s="1">
        <v>0</v>
      </c>
      <c r="F775" t="s">
        <v>1622</v>
      </c>
      <c r="G775" s="1" t="str">
        <f>_xlfn.XLOOKUP(engagement[[#This Row],[SessionID]],session_data[SessionID],session_data[Traffic Source])</f>
        <v>Referral</v>
      </c>
    </row>
    <row r="776" spans="1:7" x14ac:dyDescent="0.25">
      <c r="A776" s="1" t="s">
        <v>1174</v>
      </c>
      <c r="B776" s="1">
        <v>306</v>
      </c>
      <c r="C776" s="1">
        <v>12</v>
      </c>
      <c r="D776" s="1">
        <v>4</v>
      </c>
      <c r="E776" s="1">
        <v>0</v>
      </c>
      <c r="F776" t="s">
        <v>1624</v>
      </c>
      <c r="G776" s="1" t="str">
        <f>_xlfn.XLOOKUP(engagement[[#This Row],[SessionID]],session_data[SessionID],session_data[Traffic Source])</f>
        <v>Paid Ads</v>
      </c>
    </row>
    <row r="777" spans="1:7" x14ac:dyDescent="0.25">
      <c r="A777" s="1" t="s">
        <v>1176</v>
      </c>
      <c r="B777" s="1">
        <v>144</v>
      </c>
      <c r="C777" s="1">
        <v>6</v>
      </c>
      <c r="D777" s="1">
        <v>5</v>
      </c>
      <c r="E777" s="1">
        <v>1</v>
      </c>
      <c r="F777" t="s">
        <v>1623</v>
      </c>
      <c r="G777" s="1" t="str">
        <f>_xlfn.XLOOKUP(engagement[[#This Row],[SessionID]],session_data[SessionID],session_data[Traffic Source])</f>
        <v>Paid Ads</v>
      </c>
    </row>
    <row r="778" spans="1:7" x14ac:dyDescent="0.25">
      <c r="A778" s="1" t="s">
        <v>1177</v>
      </c>
      <c r="B778" s="1">
        <v>248</v>
      </c>
      <c r="C778" s="1">
        <v>10</v>
      </c>
      <c r="D778" s="1">
        <v>4</v>
      </c>
      <c r="E778" s="1">
        <v>0</v>
      </c>
      <c r="F778" t="s">
        <v>1622</v>
      </c>
      <c r="G778" s="1" t="str">
        <f>_xlfn.XLOOKUP(engagement[[#This Row],[SessionID]],session_data[SessionID],session_data[Traffic Source])</f>
        <v>Paid Ads</v>
      </c>
    </row>
    <row r="779" spans="1:7" x14ac:dyDescent="0.25">
      <c r="A779" s="1" t="s">
        <v>1178</v>
      </c>
      <c r="B779" s="1">
        <v>64</v>
      </c>
      <c r="C779" s="1">
        <v>5</v>
      </c>
      <c r="D779" s="1">
        <v>4</v>
      </c>
      <c r="E779" s="1">
        <v>0</v>
      </c>
      <c r="F779" t="s">
        <v>1625</v>
      </c>
      <c r="G779" s="1" t="str">
        <f>_xlfn.XLOOKUP(engagement[[#This Row],[SessionID]],session_data[SessionID],session_data[Traffic Source])</f>
        <v>Paid Ads</v>
      </c>
    </row>
    <row r="780" spans="1:7" x14ac:dyDescent="0.25">
      <c r="A780" s="1" t="s">
        <v>1179</v>
      </c>
      <c r="B780" s="1">
        <v>246</v>
      </c>
      <c r="C780" s="1">
        <v>10</v>
      </c>
      <c r="D780" s="1">
        <v>4</v>
      </c>
      <c r="E780" s="1">
        <v>0</v>
      </c>
      <c r="F780" t="s">
        <v>1625</v>
      </c>
      <c r="G780" s="1" t="str">
        <f>_xlfn.XLOOKUP(engagement[[#This Row],[SessionID]],session_data[SessionID],session_data[Traffic Source])</f>
        <v>Direct</v>
      </c>
    </row>
    <row r="781" spans="1:7" x14ac:dyDescent="0.25">
      <c r="A781" s="1" t="s">
        <v>1181</v>
      </c>
      <c r="B781" s="1">
        <v>361</v>
      </c>
      <c r="C781" s="1">
        <v>14</v>
      </c>
      <c r="D781" s="1">
        <v>2</v>
      </c>
      <c r="E781" s="1">
        <v>1</v>
      </c>
      <c r="F781" t="s">
        <v>1623</v>
      </c>
      <c r="G781" s="1" t="str">
        <f>_xlfn.XLOOKUP(engagement[[#This Row],[SessionID]],session_data[SessionID],session_data[Traffic Source])</f>
        <v>Referral</v>
      </c>
    </row>
    <row r="782" spans="1:7" x14ac:dyDescent="0.25">
      <c r="A782" s="1" t="s">
        <v>1183</v>
      </c>
      <c r="B782" s="1">
        <v>333</v>
      </c>
      <c r="C782" s="1">
        <v>13</v>
      </c>
      <c r="D782" s="1">
        <v>4</v>
      </c>
      <c r="E782" s="1">
        <v>0</v>
      </c>
      <c r="F782" t="s">
        <v>1625</v>
      </c>
      <c r="G782" s="1" t="str">
        <f>_xlfn.XLOOKUP(engagement[[#This Row],[SessionID]],session_data[SessionID],session_data[Traffic Source])</f>
        <v>Paid Ads</v>
      </c>
    </row>
    <row r="783" spans="1:7" x14ac:dyDescent="0.25">
      <c r="A783" s="1" t="s">
        <v>1185</v>
      </c>
      <c r="B783" s="1">
        <v>315</v>
      </c>
      <c r="C783" s="1">
        <v>12</v>
      </c>
      <c r="D783" s="1">
        <v>4</v>
      </c>
      <c r="E783" s="1">
        <v>1</v>
      </c>
      <c r="F783" t="s">
        <v>1623</v>
      </c>
      <c r="G783" s="1" t="str">
        <f>_xlfn.XLOOKUP(engagement[[#This Row],[SessionID]],session_data[SessionID],session_data[Traffic Source])</f>
        <v>Referral</v>
      </c>
    </row>
    <row r="784" spans="1:7" x14ac:dyDescent="0.25">
      <c r="A784" s="1" t="s">
        <v>1187</v>
      </c>
      <c r="B784" s="1">
        <v>48</v>
      </c>
      <c r="C784" s="1">
        <v>4</v>
      </c>
      <c r="D784" s="1">
        <v>4</v>
      </c>
      <c r="E784" s="1">
        <v>0</v>
      </c>
      <c r="F784" t="s">
        <v>1624</v>
      </c>
      <c r="G784" s="1" t="str">
        <f>_xlfn.XLOOKUP(engagement[[#This Row],[SessionID]],session_data[SessionID],session_data[Traffic Source])</f>
        <v>Direct</v>
      </c>
    </row>
    <row r="785" spans="1:7" x14ac:dyDescent="0.25">
      <c r="A785" s="1" t="s">
        <v>1189</v>
      </c>
      <c r="B785" s="1">
        <v>347</v>
      </c>
      <c r="C785" s="1">
        <v>14</v>
      </c>
      <c r="D785" s="1">
        <v>2</v>
      </c>
      <c r="E785" s="1">
        <v>0</v>
      </c>
      <c r="F785" t="s">
        <v>1622</v>
      </c>
      <c r="G785" s="1" t="str">
        <f>_xlfn.XLOOKUP(engagement[[#This Row],[SessionID]],session_data[SessionID],session_data[Traffic Source])</f>
        <v>Paid Ads</v>
      </c>
    </row>
    <row r="786" spans="1:7" x14ac:dyDescent="0.25">
      <c r="A786" s="1" t="s">
        <v>1191</v>
      </c>
      <c r="B786" s="1">
        <v>89</v>
      </c>
      <c r="C786" s="1">
        <v>3</v>
      </c>
      <c r="D786" s="1">
        <v>2</v>
      </c>
      <c r="E786" s="1">
        <v>1</v>
      </c>
      <c r="F786" t="s">
        <v>1623</v>
      </c>
      <c r="G786" s="1" t="str">
        <f>_xlfn.XLOOKUP(engagement[[#This Row],[SessionID]],session_data[SessionID],session_data[Traffic Source])</f>
        <v>Paid Ads</v>
      </c>
    </row>
    <row r="787" spans="1:7" x14ac:dyDescent="0.25">
      <c r="A787" s="1" t="s">
        <v>1192</v>
      </c>
      <c r="B787" s="1">
        <v>262</v>
      </c>
      <c r="C787" s="1">
        <v>11</v>
      </c>
      <c r="D787" s="1">
        <v>4</v>
      </c>
      <c r="E787" s="1">
        <v>0</v>
      </c>
      <c r="F787" t="s">
        <v>1625</v>
      </c>
      <c r="G787" s="1" t="str">
        <f>_xlfn.XLOOKUP(engagement[[#This Row],[SessionID]],session_data[SessionID],session_data[Traffic Source])</f>
        <v>Paid Ads</v>
      </c>
    </row>
    <row r="788" spans="1:7" x14ac:dyDescent="0.25">
      <c r="A788" s="1" t="s">
        <v>1193</v>
      </c>
      <c r="B788" s="1">
        <v>33</v>
      </c>
      <c r="C788" s="1">
        <v>4</v>
      </c>
      <c r="D788" s="1">
        <v>4</v>
      </c>
      <c r="E788" s="1">
        <v>0</v>
      </c>
      <c r="F788" t="s">
        <v>1626</v>
      </c>
      <c r="G788" s="1" t="str">
        <f>_xlfn.XLOOKUP(engagement[[#This Row],[SessionID]],session_data[SessionID],session_data[Traffic Source])</f>
        <v>Organic Search</v>
      </c>
    </row>
    <row r="789" spans="1:7" x14ac:dyDescent="0.25">
      <c r="A789" s="1" t="s">
        <v>1195</v>
      </c>
      <c r="B789" s="1">
        <v>222</v>
      </c>
      <c r="C789" s="1">
        <v>9</v>
      </c>
      <c r="D789" s="1">
        <v>1</v>
      </c>
      <c r="E789" s="1">
        <v>0</v>
      </c>
      <c r="F789" t="s">
        <v>1626</v>
      </c>
      <c r="G789" s="1" t="str">
        <f>_xlfn.XLOOKUP(engagement[[#This Row],[SessionID]],session_data[SessionID],session_data[Traffic Source])</f>
        <v>Direct</v>
      </c>
    </row>
    <row r="790" spans="1:7" x14ac:dyDescent="0.25">
      <c r="A790" s="1" t="s">
        <v>1197</v>
      </c>
      <c r="B790" s="1">
        <v>142</v>
      </c>
      <c r="C790" s="1">
        <v>5</v>
      </c>
      <c r="D790" s="1">
        <v>4</v>
      </c>
      <c r="E790" s="1">
        <v>0</v>
      </c>
      <c r="F790" t="s">
        <v>1625</v>
      </c>
      <c r="G790" s="1" t="str">
        <f>_xlfn.XLOOKUP(engagement[[#This Row],[SessionID]],session_data[SessionID],session_data[Traffic Source])</f>
        <v>Direct</v>
      </c>
    </row>
    <row r="791" spans="1:7" x14ac:dyDescent="0.25">
      <c r="A791" s="1" t="s">
        <v>1199</v>
      </c>
      <c r="B791" s="1">
        <v>89</v>
      </c>
      <c r="C791" s="1">
        <v>4</v>
      </c>
      <c r="D791" s="1">
        <v>1</v>
      </c>
      <c r="E791" s="1">
        <v>1</v>
      </c>
      <c r="F791" t="s">
        <v>1623</v>
      </c>
      <c r="G791" s="1" t="str">
        <f>_xlfn.XLOOKUP(engagement[[#This Row],[SessionID]],session_data[SessionID],session_data[Traffic Source])</f>
        <v>Direct</v>
      </c>
    </row>
    <row r="792" spans="1:7" x14ac:dyDescent="0.25">
      <c r="A792" s="1" t="s">
        <v>1200</v>
      </c>
      <c r="B792" s="1">
        <v>153</v>
      </c>
      <c r="C792" s="1">
        <v>6</v>
      </c>
      <c r="D792" s="1">
        <v>4</v>
      </c>
      <c r="E792" s="1">
        <v>0</v>
      </c>
      <c r="F792" t="s">
        <v>1625</v>
      </c>
      <c r="G792" s="1" t="str">
        <f>_xlfn.XLOOKUP(engagement[[#This Row],[SessionID]],session_data[SessionID],session_data[Traffic Source])</f>
        <v>Direct</v>
      </c>
    </row>
    <row r="793" spans="1:7" x14ac:dyDescent="0.25">
      <c r="A793" s="1" t="s">
        <v>1201</v>
      </c>
      <c r="B793" s="1">
        <v>18</v>
      </c>
      <c r="C793" s="1">
        <v>4</v>
      </c>
      <c r="D793" s="1">
        <v>4</v>
      </c>
      <c r="E793" s="1">
        <v>0</v>
      </c>
      <c r="F793" t="s">
        <v>1622</v>
      </c>
      <c r="G793" s="1" t="str">
        <f>_xlfn.XLOOKUP(engagement[[#This Row],[SessionID]],session_data[SessionID],session_data[Traffic Source])</f>
        <v>Organic Search</v>
      </c>
    </row>
    <row r="794" spans="1:7" x14ac:dyDescent="0.25">
      <c r="A794" s="1" t="s">
        <v>1203</v>
      </c>
      <c r="B794" s="1">
        <v>184</v>
      </c>
      <c r="C794" s="1">
        <v>7</v>
      </c>
      <c r="D794" s="1">
        <v>4</v>
      </c>
      <c r="E794" s="1">
        <v>0</v>
      </c>
      <c r="F794" t="s">
        <v>1624</v>
      </c>
      <c r="G794" s="1" t="str">
        <f>_xlfn.XLOOKUP(engagement[[#This Row],[SessionID]],session_data[SessionID],session_data[Traffic Source])</f>
        <v>Organic Search</v>
      </c>
    </row>
    <row r="795" spans="1:7" x14ac:dyDescent="0.25">
      <c r="A795" s="1" t="s">
        <v>1205</v>
      </c>
      <c r="B795" s="1">
        <v>151</v>
      </c>
      <c r="C795" s="1">
        <v>6</v>
      </c>
      <c r="D795" s="1">
        <v>5</v>
      </c>
      <c r="E795" s="1">
        <v>1</v>
      </c>
      <c r="F795" t="s">
        <v>1623</v>
      </c>
      <c r="G795" s="1" t="str">
        <f>_xlfn.XLOOKUP(engagement[[#This Row],[SessionID]],session_data[SessionID],session_data[Traffic Source])</f>
        <v>Organic Search</v>
      </c>
    </row>
    <row r="796" spans="1:7" x14ac:dyDescent="0.25">
      <c r="A796" s="1" t="s">
        <v>1206</v>
      </c>
      <c r="B796" s="1">
        <v>65</v>
      </c>
      <c r="C796" s="1">
        <v>5</v>
      </c>
      <c r="D796" s="1">
        <v>4</v>
      </c>
      <c r="E796" s="1">
        <v>0</v>
      </c>
      <c r="F796" t="s">
        <v>1626</v>
      </c>
      <c r="G796" s="1" t="str">
        <f>_xlfn.XLOOKUP(engagement[[#This Row],[SessionID]],session_data[SessionID],session_data[Traffic Source])</f>
        <v>Organic Search</v>
      </c>
    </row>
    <row r="797" spans="1:7" x14ac:dyDescent="0.25">
      <c r="A797" s="1" t="s">
        <v>1207</v>
      </c>
      <c r="B797" s="1">
        <v>10</v>
      </c>
      <c r="C797" s="1">
        <v>4</v>
      </c>
      <c r="D797" s="1">
        <v>4</v>
      </c>
      <c r="E797" s="1">
        <v>0</v>
      </c>
      <c r="F797" t="s">
        <v>1626</v>
      </c>
      <c r="G797" s="1" t="str">
        <f>_xlfn.XLOOKUP(engagement[[#This Row],[SessionID]],session_data[SessionID],session_data[Traffic Source])</f>
        <v>Paid Ads</v>
      </c>
    </row>
    <row r="798" spans="1:7" x14ac:dyDescent="0.25">
      <c r="A798" s="1" t="s">
        <v>1209</v>
      </c>
      <c r="B798" s="1">
        <v>108</v>
      </c>
      <c r="C798" s="1">
        <v>4</v>
      </c>
      <c r="D798" s="1">
        <v>3</v>
      </c>
      <c r="E798" s="1">
        <v>0</v>
      </c>
      <c r="F798" t="s">
        <v>1622</v>
      </c>
      <c r="G798" s="1" t="str">
        <f>_xlfn.XLOOKUP(engagement[[#This Row],[SessionID]],session_data[SessionID],session_data[Traffic Source])</f>
        <v>Referral</v>
      </c>
    </row>
    <row r="799" spans="1:7" x14ac:dyDescent="0.25">
      <c r="A799" s="1" t="s">
        <v>1211</v>
      </c>
      <c r="B799" s="1">
        <v>219</v>
      </c>
      <c r="C799" s="1">
        <v>9</v>
      </c>
      <c r="D799" s="1">
        <v>2</v>
      </c>
      <c r="E799" s="1">
        <v>0</v>
      </c>
      <c r="F799" t="s">
        <v>1622</v>
      </c>
      <c r="G799" s="1" t="str">
        <f>_xlfn.XLOOKUP(engagement[[#This Row],[SessionID]],session_data[SessionID],session_data[Traffic Source])</f>
        <v>Social Media</v>
      </c>
    </row>
    <row r="800" spans="1:7" x14ac:dyDescent="0.25">
      <c r="A800" s="1" t="s">
        <v>1213</v>
      </c>
      <c r="B800" s="1">
        <v>37</v>
      </c>
      <c r="C800" s="1">
        <v>4</v>
      </c>
      <c r="D800" s="1">
        <v>4</v>
      </c>
      <c r="E800" s="1">
        <v>0</v>
      </c>
      <c r="F800" t="s">
        <v>1625</v>
      </c>
      <c r="G800" s="1" t="str">
        <f>_xlfn.XLOOKUP(engagement[[#This Row],[SessionID]],session_data[SessionID],session_data[Traffic Source])</f>
        <v>Social Media</v>
      </c>
    </row>
    <row r="801" spans="1:7" x14ac:dyDescent="0.25">
      <c r="A801" s="1" t="s">
        <v>1214</v>
      </c>
      <c r="B801" s="1">
        <v>100</v>
      </c>
      <c r="C801" s="1">
        <v>4</v>
      </c>
      <c r="D801" s="1">
        <v>2</v>
      </c>
      <c r="E801" s="1">
        <v>0</v>
      </c>
      <c r="F801" t="s">
        <v>1622</v>
      </c>
      <c r="G801" s="1" t="str">
        <f>_xlfn.XLOOKUP(engagement[[#This Row],[SessionID]],session_data[SessionID],session_data[Traffic Source])</f>
        <v>Social Media</v>
      </c>
    </row>
    <row r="802" spans="1:7" x14ac:dyDescent="0.25">
      <c r="A802" s="1" t="s">
        <v>1215</v>
      </c>
      <c r="B802" s="1">
        <v>144</v>
      </c>
      <c r="C802" s="1">
        <v>6</v>
      </c>
      <c r="D802" s="1">
        <v>4</v>
      </c>
      <c r="E802" s="1">
        <v>0</v>
      </c>
      <c r="F802" t="s">
        <v>1622</v>
      </c>
      <c r="G802" s="1" t="str">
        <f>_xlfn.XLOOKUP(engagement[[#This Row],[SessionID]],session_data[SessionID],session_data[Traffic Source])</f>
        <v>Direct</v>
      </c>
    </row>
    <row r="803" spans="1:7" x14ac:dyDescent="0.25">
      <c r="A803" s="1" t="s">
        <v>1217</v>
      </c>
      <c r="B803" s="1">
        <v>125</v>
      </c>
      <c r="C803" s="1">
        <v>5</v>
      </c>
      <c r="D803" s="1">
        <v>4</v>
      </c>
      <c r="E803" s="1">
        <v>0</v>
      </c>
      <c r="F803" t="s">
        <v>1622</v>
      </c>
      <c r="G803" s="1" t="str">
        <f>_xlfn.XLOOKUP(engagement[[#This Row],[SessionID]],session_data[SessionID],session_data[Traffic Source])</f>
        <v>Direct</v>
      </c>
    </row>
    <row r="804" spans="1:7" x14ac:dyDescent="0.25">
      <c r="A804" s="1" t="s">
        <v>1218</v>
      </c>
      <c r="B804" s="1">
        <v>25</v>
      </c>
      <c r="C804" s="1">
        <v>2</v>
      </c>
      <c r="D804" s="1">
        <v>2</v>
      </c>
      <c r="E804" s="1">
        <v>0</v>
      </c>
      <c r="F804" t="s">
        <v>1622</v>
      </c>
      <c r="G804" s="1" t="str">
        <f>_xlfn.XLOOKUP(engagement[[#This Row],[SessionID]],session_data[SessionID],session_data[Traffic Source])</f>
        <v>Direct</v>
      </c>
    </row>
    <row r="805" spans="1:7" x14ac:dyDescent="0.25">
      <c r="A805" s="1" t="s">
        <v>1220</v>
      </c>
      <c r="B805" s="1">
        <v>159</v>
      </c>
      <c r="C805" s="1">
        <v>7</v>
      </c>
      <c r="D805" s="1">
        <v>2</v>
      </c>
      <c r="E805" s="1">
        <v>0</v>
      </c>
      <c r="F805" t="s">
        <v>1626</v>
      </c>
      <c r="G805" s="1" t="str">
        <f>_xlfn.XLOOKUP(engagement[[#This Row],[SessionID]],session_data[SessionID],session_data[Traffic Source])</f>
        <v>Direct</v>
      </c>
    </row>
    <row r="806" spans="1:7" x14ac:dyDescent="0.25">
      <c r="A806" s="1" t="s">
        <v>1221</v>
      </c>
      <c r="B806" s="1">
        <v>224</v>
      </c>
      <c r="C806" s="1">
        <v>9</v>
      </c>
      <c r="D806" s="1">
        <v>2</v>
      </c>
      <c r="E806" s="1">
        <v>0</v>
      </c>
      <c r="F806" t="s">
        <v>1626</v>
      </c>
      <c r="G806" s="1" t="str">
        <f>_xlfn.XLOOKUP(engagement[[#This Row],[SessionID]],session_data[SessionID],session_data[Traffic Source])</f>
        <v>Direct</v>
      </c>
    </row>
    <row r="807" spans="1:7" x14ac:dyDescent="0.25">
      <c r="A807" s="1" t="s">
        <v>1222</v>
      </c>
      <c r="B807" s="1">
        <v>23</v>
      </c>
      <c r="C807" s="1">
        <v>2</v>
      </c>
      <c r="D807" s="1">
        <v>2</v>
      </c>
      <c r="E807" s="1">
        <v>0</v>
      </c>
      <c r="F807" t="s">
        <v>1626</v>
      </c>
      <c r="G807" s="1" t="str">
        <f>_xlfn.XLOOKUP(engagement[[#This Row],[SessionID]],session_data[SessionID],session_data[Traffic Source])</f>
        <v>Direct</v>
      </c>
    </row>
    <row r="808" spans="1:7" x14ac:dyDescent="0.25">
      <c r="A808" s="1" t="s">
        <v>1223</v>
      </c>
      <c r="B808" s="1">
        <v>155</v>
      </c>
      <c r="C808" s="1">
        <v>6</v>
      </c>
      <c r="D808" s="1">
        <v>4</v>
      </c>
      <c r="E808" s="1">
        <v>0</v>
      </c>
      <c r="F808" t="s">
        <v>1626</v>
      </c>
      <c r="G808" s="1" t="str">
        <f>_xlfn.XLOOKUP(engagement[[#This Row],[SessionID]],session_data[SessionID],session_data[Traffic Source])</f>
        <v>Organic Search</v>
      </c>
    </row>
    <row r="809" spans="1:7" x14ac:dyDescent="0.25">
      <c r="A809" s="1" t="s">
        <v>1225</v>
      </c>
      <c r="B809" s="1">
        <v>207</v>
      </c>
      <c r="C809" s="1">
        <v>8</v>
      </c>
      <c r="D809" s="1">
        <v>4</v>
      </c>
      <c r="E809" s="1">
        <v>0</v>
      </c>
      <c r="F809" t="s">
        <v>1626</v>
      </c>
      <c r="G809" s="1" t="str">
        <f>_xlfn.XLOOKUP(engagement[[#This Row],[SessionID]],session_data[SessionID],session_data[Traffic Source])</f>
        <v>Organic Search</v>
      </c>
    </row>
    <row r="810" spans="1:7" x14ac:dyDescent="0.25">
      <c r="A810" s="1" t="s">
        <v>1226</v>
      </c>
      <c r="B810" s="1">
        <v>59</v>
      </c>
      <c r="C810" s="1">
        <v>5</v>
      </c>
      <c r="D810" s="1">
        <v>4</v>
      </c>
      <c r="E810" s="1">
        <v>0</v>
      </c>
      <c r="F810" t="s">
        <v>1626</v>
      </c>
      <c r="G810" s="1" t="str">
        <f>_xlfn.XLOOKUP(engagement[[#This Row],[SessionID]],session_data[SessionID],session_data[Traffic Source])</f>
        <v>Organic Search</v>
      </c>
    </row>
    <row r="811" spans="1:7" x14ac:dyDescent="0.25">
      <c r="A811" s="1" t="s">
        <v>1227</v>
      </c>
      <c r="B811" s="1">
        <v>242</v>
      </c>
      <c r="C811" s="1">
        <v>10</v>
      </c>
      <c r="D811" s="1">
        <v>4</v>
      </c>
      <c r="E811" s="1">
        <v>0</v>
      </c>
      <c r="F811" t="s">
        <v>1624</v>
      </c>
      <c r="G811" s="1" t="str">
        <f>_xlfn.XLOOKUP(engagement[[#This Row],[SessionID]],session_data[SessionID],session_data[Traffic Source])</f>
        <v>Social Media</v>
      </c>
    </row>
    <row r="812" spans="1:7" x14ac:dyDescent="0.25">
      <c r="A812" s="1" t="s">
        <v>1229</v>
      </c>
      <c r="B812" s="1">
        <v>120</v>
      </c>
      <c r="C812" s="1">
        <v>5</v>
      </c>
      <c r="D812" s="1">
        <v>4</v>
      </c>
      <c r="E812" s="1">
        <v>0</v>
      </c>
      <c r="F812" t="s">
        <v>1622</v>
      </c>
      <c r="G812" s="1" t="str">
        <f>_xlfn.XLOOKUP(engagement[[#This Row],[SessionID]],session_data[SessionID],session_data[Traffic Source])</f>
        <v>Social Media</v>
      </c>
    </row>
    <row r="813" spans="1:7" x14ac:dyDescent="0.25">
      <c r="A813" s="1" t="s">
        <v>1230</v>
      </c>
      <c r="B813" s="1">
        <v>259</v>
      </c>
      <c r="C813" s="1">
        <v>10</v>
      </c>
      <c r="D813" s="1">
        <v>4</v>
      </c>
      <c r="E813" s="1">
        <v>0</v>
      </c>
      <c r="F813" t="s">
        <v>1624</v>
      </c>
      <c r="G813" s="1" t="str">
        <f>_xlfn.XLOOKUP(engagement[[#This Row],[SessionID]],session_data[SessionID],session_data[Traffic Source])</f>
        <v>Social Media</v>
      </c>
    </row>
    <row r="814" spans="1:7" x14ac:dyDescent="0.25">
      <c r="A814" s="1" t="s">
        <v>1231</v>
      </c>
      <c r="B814" s="1">
        <v>181</v>
      </c>
      <c r="C814" s="1">
        <v>7</v>
      </c>
      <c r="D814" s="1">
        <v>3</v>
      </c>
      <c r="E814" s="1">
        <v>0</v>
      </c>
      <c r="F814" t="s">
        <v>1624</v>
      </c>
      <c r="G814" s="1" t="str">
        <f>_xlfn.XLOOKUP(engagement[[#This Row],[SessionID]],session_data[SessionID],session_data[Traffic Source])</f>
        <v>Organic Search</v>
      </c>
    </row>
    <row r="815" spans="1:7" x14ac:dyDescent="0.25">
      <c r="A815" s="1" t="s">
        <v>1233</v>
      </c>
      <c r="B815" s="1">
        <v>184</v>
      </c>
      <c r="C815" s="1">
        <v>7</v>
      </c>
      <c r="D815" s="1">
        <v>4</v>
      </c>
      <c r="E815" s="1">
        <v>0</v>
      </c>
      <c r="F815" t="s">
        <v>1622</v>
      </c>
      <c r="G815" s="1" t="str">
        <f>_xlfn.XLOOKUP(engagement[[#This Row],[SessionID]],session_data[SessionID],session_data[Traffic Source])</f>
        <v>Organic Search</v>
      </c>
    </row>
    <row r="816" spans="1:7" x14ac:dyDescent="0.25">
      <c r="A816" s="1" t="s">
        <v>1235</v>
      </c>
      <c r="B816" s="1">
        <v>197</v>
      </c>
      <c r="C816" s="1">
        <v>7</v>
      </c>
      <c r="D816" s="1">
        <v>4</v>
      </c>
      <c r="E816" s="1">
        <v>0</v>
      </c>
      <c r="F816" t="s">
        <v>1625</v>
      </c>
      <c r="G816" s="1" t="str">
        <f>_xlfn.XLOOKUP(engagement[[#This Row],[SessionID]],session_data[SessionID],session_data[Traffic Source])</f>
        <v>Social Media</v>
      </c>
    </row>
    <row r="817" spans="1:7" x14ac:dyDescent="0.25">
      <c r="A817" s="1" t="s">
        <v>1237</v>
      </c>
      <c r="B817" s="1">
        <v>179</v>
      </c>
      <c r="C817" s="1">
        <v>7</v>
      </c>
      <c r="D817" s="1">
        <v>4</v>
      </c>
      <c r="E817" s="1">
        <v>0</v>
      </c>
      <c r="F817" t="s">
        <v>1625</v>
      </c>
      <c r="G817" s="1" t="str">
        <f>_xlfn.XLOOKUP(engagement[[#This Row],[SessionID]],session_data[SessionID],session_data[Traffic Source])</f>
        <v>Social Media</v>
      </c>
    </row>
    <row r="818" spans="1:7" x14ac:dyDescent="0.25">
      <c r="A818" s="1" t="s">
        <v>1238</v>
      </c>
      <c r="B818" s="1">
        <v>211</v>
      </c>
      <c r="C818" s="1">
        <v>8</v>
      </c>
      <c r="D818" s="1">
        <v>4</v>
      </c>
      <c r="E818" s="1">
        <v>0</v>
      </c>
      <c r="F818" t="s">
        <v>1626</v>
      </c>
      <c r="G818" s="1" t="str">
        <f>_xlfn.XLOOKUP(engagement[[#This Row],[SessionID]],session_data[SessionID],session_data[Traffic Source])</f>
        <v>Social Media</v>
      </c>
    </row>
    <row r="819" spans="1:7" x14ac:dyDescent="0.25">
      <c r="A819" s="1" t="s">
        <v>1239</v>
      </c>
      <c r="B819" s="1">
        <v>39</v>
      </c>
      <c r="C819" s="1">
        <v>5</v>
      </c>
      <c r="D819" s="1">
        <v>5</v>
      </c>
      <c r="E819" s="1">
        <v>1</v>
      </c>
      <c r="F819" t="s">
        <v>1623</v>
      </c>
      <c r="G819" s="1" t="str">
        <f>_xlfn.XLOOKUP(engagement[[#This Row],[SessionID]],session_data[SessionID],session_data[Traffic Source])</f>
        <v>Direct</v>
      </c>
    </row>
    <row r="820" spans="1:7" x14ac:dyDescent="0.25">
      <c r="A820" s="1" t="s">
        <v>1241</v>
      </c>
      <c r="B820" s="1">
        <v>74</v>
      </c>
      <c r="C820" s="1">
        <v>5</v>
      </c>
      <c r="D820" s="1">
        <v>4</v>
      </c>
      <c r="E820" s="1">
        <v>0</v>
      </c>
      <c r="F820" t="s">
        <v>1622</v>
      </c>
      <c r="G820" s="1" t="str">
        <f>_xlfn.XLOOKUP(engagement[[#This Row],[SessionID]],session_data[SessionID],session_data[Traffic Source])</f>
        <v>Direct</v>
      </c>
    </row>
    <row r="821" spans="1:7" x14ac:dyDescent="0.25">
      <c r="A821" s="1" t="s">
        <v>1242</v>
      </c>
      <c r="B821" s="1">
        <v>13</v>
      </c>
      <c r="C821" s="1">
        <v>5</v>
      </c>
      <c r="D821" s="1">
        <v>4</v>
      </c>
      <c r="E821" s="1">
        <v>0</v>
      </c>
      <c r="F821" t="s">
        <v>1624</v>
      </c>
      <c r="G821" s="1" t="str">
        <f>_xlfn.XLOOKUP(engagement[[#This Row],[SessionID]],session_data[SessionID],session_data[Traffic Source])</f>
        <v>Direct</v>
      </c>
    </row>
    <row r="822" spans="1:7" x14ac:dyDescent="0.25">
      <c r="A822" s="1" t="s">
        <v>1243</v>
      </c>
      <c r="B822" s="1">
        <v>364</v>
      </c>
      <c r="C822" s="1">
        <v>14</v>
      </c>
      <c r="D822" s="1">
        <v>4</v>
      </c>
      <c r="E822" s="1">
        <v>0</v>
      </c>
      <c r="F822" t="s">
        <v>1625</v>
      </c>
      <c r="G822" s="1" t="str">
        <f>_xlfn.XLOOKUP(engagement[[#This Row],[SessionID]],session_data[SessionID],session_data[Traffic Source])</f>
        <v>Social Media</v>
      </c>
    </row>
    <row r="823" spans="1:7" x14ac:dyDescent="0.25">
      <c r="A823" s="1" t="s">
        <v>1245</v>
      </c>
      <c r="B823" s="1">
        <v>184</v>
      </c>
      <c r="C823" s="1">
        <v>7</v>
      </c>
      <c r="D823" s="1">
        <v>4</v>
      </c>
      <c r="E823" s="1">
        <v>0</v>
      </c>
      <c r="F823" t="s">
        <v>1625</v>
      </c>
      <c r="G823" s="1" t="str">
        <f>_xlfn.XLOOKUP(engagement[[#This Row],[SessionID]],session_data[SessionID],session_data[Traffic Source])</f>
        <v>Social Media</v>
      </c>
    </row>
    <row r="824" spans="1:7" x14ac:dyDescent="0.25">
      <c r="A824" s="1" t="s">
        <v>1246</v>
      </c>
      <c r="B824" s="1">
        <v>140</v>
      </c>
      <c r="C824" s="1">
        <v>6</v>
      </c>
      <c r="D824" s="1">
        <v>4</v>
      </c>
      <c r="E824" s="1">
        <v>0</v>
      </c>
      <c r="F824" t="s">
        <v>1625</v>
      </c>
      <c r="G824" s="1" t="str">
        <f>_xlfn.XLOOKUP(engagement[[#This Row],[SessionID]],session_data[SessionID],session_data[Traffic Source])</f>
        <v>Social Media</v>
      </c>
    </row>
    <row r="825" spans="1:7" x14ac:dyDescent="0.25">
      <c r="A825" s="1" t="s">
        <v>1247</v>
      </c>
      <c r="B825" s="1">
        <v>45</v>
      </c>
      <c r="C825" s="1">
        <v>4</v>
      </c>
      <c r="D825" s="1">
        <v>4</v>
      </c>
      <c r="E825" s="1">
        <v>0</v>
      </c>
      <c r="F825" t="s">
        <v>1622</v>
      </c>
      <c r="G825" s="1" t="str">
        <f>_xlfn.XLOOKUP(engagement[[#This Row],[SessionID]],session_data[SessionID],session_data[Traffic Source])</f>
        <v>Social Media</v>
      </c>
    </row>
    <row r="826" spans="1:7" x14ac:dyDescent="0.25">
      <c r="A826" s="1" t="s">
        <v>1248</v>
      </c>
      <c r="B826" s="1">
        <v>194</v>
      </c>
      <c r="C826" s="1">
        <v>8</v>
      </c>
      <c r="D826" s="1">
        <v>4</v>
      </c>
      <c r="E826" s="1">
        <v>0</v>
      </c>
      <c r="F826" t="s">
        <v>1625</v>
      </c>
      <c r="G826" s="1" t="str">
        <f>_xlfn.XLOOKUP(engagement[[#This Row],[SessionID]],session_data[SessionID],session_data[Traffic Source])</f>
        <v>Social Media</v>
      </c>
    </row>
    <row r="827" spans="1:7" x14ac:dyDescent="0.25">
      <c r="A827" s="1" t="s">
        <v>1249</v>
      </c>
      <c r="B827" s="1">
        <v>191</v>
      </c>
      <c r="C827" s="1">
        <v>8</v>
      </c>
      <c r="D827" s="1">
        <v>5</v>
      </c>
      <c r="E827" s="1">
        <v>1</v>
      </c>
      <c r="F827" t="s">
        <v>1623</v>
      </c>
      <c r="G827" s="1" t="str">
        <f>_xlfn.XLOOKUP(engagement[[#This Row],[SessionID]],session_data[SessionID],session_data[Traffic Source])</f>
        <v>Direct</v>
      </c>
    </row>
    <row r="828" spans="1:7" x14ac:dyDescent="0.25">
      <c r="A828" s="1" t="s">
        <v>1251</v>
      </c>
      <c r="B828" s="1">
        <v>346</v>
      </c>
      <c r="C828" s="1">
        <v>14</v>
      </c>
      <c r="D828" s="1">
        <v>4</v>
      </c>
      <c r="E828" s="1">
        <v>0</v>
      </c>
      <c r="F828" t="s">
        <v>1622</v>
      </c>
      <c r="G828" s="1" t="str">
        <f>_xlfn.XLOOKUP(engagement[[#This Row],[SessionID]],session_data[SessionID],session_data[Traffic Source])</f>
        <v>Direct</v>
      </c>
    </row>
    <row r="829" spans="1:7" x14ac:dyDescent="0.25">
      <c r="A829" s="1" t="s">
        <v>1252</v>
      </c>
      <c r="B829" s="1">
        <v>237</v>
      </c>
      <c r="C829" s="1">
        <v>9</v>
      </c>
      <c r="D829" s="1">
        <v>3</v>
      </c>
      <c r="E829" s="1">
        <v>1</v>
      </c>
      <c r="F829" t="s">
        <v>1623</v>
      </c>
      <c r="G829" s="1" t="str">
        <f>_xlfn.XLOOKUP(engagement[[#This Row],[SessionID]],session_data[SessionID],session_data[Traffic Source])</f>
        <v>Social Media</v>
      </c>
    </row>
    <row r="830" spans="1:7" x14ac:dyDescent="0.25">
      <c r="A830" s="1" t="s">
        <v>1254</v>
      </c>
      <c r="B830" s="1">
        <v>256</v>
      </c>
      <c r="C830" s="1">
        <v>10</v>
      </c>
      <c r="D830" s="1">
        <v>4</v>
      </c>
      <c r="E830" s="1">
        <v>1</v>
      </c>
      <c r="F830" t="s">
        <v>1623</v>
      </c>
      <c r="G830" s="1" t="str">
        <f>_xlfn.XLOOKUP(engagement[[#This Row],[SessionID]],session_data[SessionID],session_data[Traffic Source])</f>
        <v>Organic Search</v>
      </c>
    </row>
    <row r="831" spans="1:7" x14ac:dyDescent="0.25">
      <c r="A831" s="1" t="s">
        <v>1256</v>
      </c>
      <c r="B831" s="1">
        <v>153</v>
      </c>
      <c r="C831" s="1">
        <v>6</v>
      </c>
      <c r="D831" s="1">
        <v>4</v>
      </c>
      <c r="E831" s="1">
        <v>1</v>
      </c>
      <c r="F831" t="s">
        <v>1623</v>
      </c>
      <c r="G831" s="1" t="str">
        <f>_xlfn.XLOOKUP(engagement[[#This Row],[SessionID]],session_data[SessionID],session_data[Traffic Source])</f>
        <v>Organic Search</v>
      </c>
    </row>
    <row r="832" spans="1:7" x14ac:dyDescent="0.25">
      <c r="A832" s="1" t="s">
        <v>1257</v>
      </c>
      <c r="B832" s="1">
        <v>154</v>
      </c>
      <c r="C832" s="1">
        <v>6</v>
      </c>
      <c r="D832" s="1">
        <v>4</v>
      </c>
      <c r="E832" s="1">
        <v>0</v>
      </c>
      <c r="F832" t="s">
        <v>1622</v>
      </c>
      <c r="G832" s="1" t="str">
        <f>_xlfn.XLOOKUP(engagement[[#This Row],[SessionID]],session_data[SessionID],session_data[Traffic Source])</f>
        <v>Organic Search</v>
      </c>
    </row>
    <row r="833" spans="1:7" x14ac:dyDescent="0.25">
      <c r="A833" s="1" t="s">
        <v>1258</v>
      </c>
      <c r="B833" s="1">
        <v>317</v>
      </c>
      <c r="C833" s="1">
        <v>13</v>
      </c>
      <c r="D833" s="1">
        <v>4</v>
      </c>
      <c r="E833" s="1">
        <v>0</v>
      </c>
      <c r="F833" t="s">
        <v>1622</v>
      </c>
      <c r="G833" s="1" t="str">
        <f>_xlfn.XLOOKUP(engagement[[#This Row],[SessionID]],session_data[SessionID],session_data[Traffic Source])</f>
        <v>Paid Ads</v>
      </c>
    </row>
    <row r="834" spans="1:7" x14ac:dyDescent="0.25">
      <c r="A834" s="1" t="s">
        <v>1260</v>
      </c>
      <c r="B834" s="1">
        <v>54</v>
      </c>
      <c r="C834" s="1">
        <v>5</v>
      </c>
      <c r="D834" s="1">
        <v>5</v>
      </c>
      <c r="E834" s="1">
        <v>1</v>
      </c>
      <c r="F834" t="s">
        <v>1623</v>
      </c>
      <c r="G834" s="1" t="str">
        <f>_xlfn.XLOOKUP(engagement[[#This Row],[SessionID]],session_data[SessionID],session_data[Traffic Source])</f>
        <v>Organic Search</v>
      </c>
    </row>
    <row r="835" spans="1:7" x14ac:dyDescent="0.25">
      <c r="A835" s="1" t="s">
        <v>1262</v>
      </c>
      <c r="B835" s="1">
        <v>94</v>
      </c>
      <c r="C835" s="1">
        <v>4</v>
      </c>
      <c r="D835" s="1">
        <v>3</v>
      </c>
      <c r="E835" s="1">
        <v>1</v>
      </c>
      <c r="F835" t="s">
        <v>1623</v>
      </c>
      <c r="G835" s="1" t="str">
        <f>_xlfn.XLOOKUP(engagement[[#This Row],[SessionID]],session_data[SessionID],session_data[Traffic Source])</f>
        <v>Organic Search</v>
      </c>
    </row>
    <row r="836" spans="1:7" x14ac:dyDescent="0.25">
      <c r="A836" s="1" t="s">
        <v>1263</v>
      </c>
      <c r="B836" s="1">
        <v>91</v>
      </c>
      <c r="C836" s="1">
        <v>3</v>
      </c>
      <c r="D836" s="1">
        <v>3</v>
      </c>
      <c r="E836" s="1">
        <v>0</v>
      </c>
      <c r="F836" t="s">
        <v>1622</v>
      </c>
      <c r="G836" s="1" t="str">
        <f>_xlfn.XLOOKUP(engagement[[#This Row],[SessionID]],session_data[SessionID],session_data[Traffic Source])</f>
        <v>Organic Search</v>
      </c>
    </row>
    <row r="837" spans="1:7" x14ac:dyDescent="0.25">
      <c r="A837" s="1" t="s">
        <v>1264</v>
      </c>
      <c r="B837" s="1">
        <v>195</v>
      </c>
      <c r="C837" s="1">
        <v>8</v>
      </c>
      <c r="D837" s="1">
        <v>3</v>
      </c>
      <c r="E837" s="1">
        <v>1</v>
      </c>
      <c r="F837" t="s">
        <v>1623</v>
      </c>
      <c r="G837" s="1" t="str">
        <f>_xlfn.XLOOKUP(engagement[[#This Row],[SessionID]],session_data[SessionID],session_data[Traffic Source])</f>
        <v>Organic Search</v>
      </c>
    </row>
    <row r="838" spans="1:7" x14ac:dyDescent="0.25">
      <c r="A838" s="1" t="s">
        <v>1265</v>
      </c>
      <c r="B838" s="1">
        <v>111</v>
      </c>
      <c r="C838" s="1">
        <v>5</v>
      </c>
      <c r="D838" s="1">
        <v>3</v>
      </c>
      <c r="E838" s="1">
        <v>0</v>
      </c>
      <c r="F838" t="s">
        <v>1624</v>
      </c>
      <c r="G838" s="1" t="str">
        <f>_xlfn.XLOOKUP(engagement[[#This Row],[SessionID]],session_data[SessionID],session_data[Traffic Source])</f>
        <v>Direct</v>
      </c>
    </row>
    <row r="839" spans="1:7" x14ac:dyDescent="0.25">
      <c r="A839" s="1" t="s">
        <v>1267</v>
      </c>
      <c r="B839" s="1">
        <v>259</v>
      </c>
      <c r="C839" s="1">
        <v>10</v>
      </c>
      <c r="D839" s="1">
        <v>3</v>
      </c>
      <c r="E839" s="1">
        <v>1</v>
      </c>
      <c r="F839" t="s">
        <v>1623</v>
      </c>
      <c r="G839" s="1" t="str">
        <f>_xlfn.XLOOKUP(engagement[[#This Row],[SessionID]],session_data[SessionID],session_data[Traffic Source])</f>
        <v>Direct</v>
      </c>
    </row>
    <row r="840" spans="1:7" x14ac:dyDescent="0.25">
      <c r="A840" s="1" t="s">
        <v>1268</v>
      </c>
      <c r="B840" s="1">
        <v>278</v>
      </c>
      <c r="C840" s="1">
        <v>11</v>
      </c>
      <c r="D840" s="1">
        <v>3</v>
      </c>
      <c r="E840" s="1">
        <v>1</v>
      </c>
      <c r="F840" t="s">
        <v>1623</v>
      </c>
      <c r="G840" s="1" t="str">
        <f>_xlfn.XLOOKUP(engagement[[#This Row],[SessionID]],session_data[SessionID],session_data[Traffic Source])</f>
        <v>Direct</v>
      </c>
    </row>
    <row r="841" spans="1:7" x14ac:dyDescent="0.25">
      <c r="A841" s="1" t="s">
        <v>1269</v>
      </c>
      <c r="B841" s="1">
        <v>246</v>
      </c>
      <c r="C841" s="1">
        <v>10</v>
      </c>
      <c r="D841" s="1">
        <v>3</v>
      </c>
      <c r="E841" s="1">
        <v>1</v>
      </c>
      <c r="F841" t="s">
        <v>1623</v>
      </c>
      <c r="G841" s="1" t="str">
        <f>_xlfn.XLOOKUP(engagement[[#This Row],[SessionID]],session_data[SessionID],session_data[Traffic Source])</f>
        <v>Direct</v>
      </c>
    </row>
    <row r="842" spans="1:7" x14ac:dyDescent="0.25">
      <c r="A842" s="1" t="s">
        <v>1270</v>
      </c>
      <c r="B842" s="1">
        <v>38</v>
      </c>
      <c r="C842" s="1">
        <v>5</v>
      </c>
      <c r="D842" s="1">
        <v>5</v>
      </c>
      <c r="E842" s="1">
        <v>1</v>
      </c>
      <c r="F842" t="s">
        <v>1623</v>
      </c>
      <c r="G842" s="1" t="str">
        <f>_xlfn.XLOOKUP(engagement[[#This Row],[SessionID]],session_data[SessionID],session_data[Traffic Source])</f>
        <v>Paid Ads</v>
      </c>
    </row>
    <row r="843" spans="1:7" x14ac:dyDescent="0.25">
      <c r="A843" s="1" t="s">
        <v>1272</v>
      </c>
      <c r="B843" s="1">
        <v>364</v>
      </c>
      <c r="C843" s="1">
        <v>14</v>
      </c>
      <c r="D843" s="1">
        <v>5</v>
      </c>
      <c r="E843" s="1">
        <v>1</v>
      </c>
      <c r="F843" t="s">
        <v>1623</v>
      </c>
      <c r="G843" s="1" t="str">
        <f>_xlfn.XLOOKUP(engagement[[#This Row],[SessionID]],session_data[SessionID],session_data[Traffic Source])</f>
        <v>Paid Ads</v>
      </c>
    </row>
    <row r="844" spans="1:7" x14ac:dyDescent="0.25">
      <c r="A844" s="1" t="s">
        <v>1273</v>
      </c>
      <c r="B844" s="1">
        <v>227</v>
      </c>
      <c r="C844" s="1">
        <v>9</v>
      </c>
      <c r="D844" s="1">
        <v>1</v>
      </c>
      <c r="E844" s="1">
        <v>0</v>
      </c>
      <c r="F844" t="s">
        <v>1622</v>
      </c>
      <c r="G844" s="1" t="str">
        <f>_xlfn.XLOOKUP(engagement[[#This Row],[SessionID]],session_data[SessionID],session_data[Traffic Source])</f>
        <v>Paid Ads</v>
      </c>
    </row>
    <row r="845" spans="1:7" x14ac:dyDescent="0.25">
      <c r="A845" s="1" t="s">
        <v>1275</v>
      </c>
      <c r="B845" s="1">
        <v>221</v>
      </c>
      <c r="C845" s="1">
        <v>9</v>
      </c>
      <c r="D845" s="1">
        <v>1</v>
      </c>
      <c r="E845" s="1">
        <v>0</v>
      </c>
      <c r="F845" t="s">
        <v>1622</v>
      </c>
      <c r="G845" s="1" t="str">
        <f>_xlfn.XLOOKUP(engagement[[#This Row],[SessionID]],session_data[SessionID],session_data[Traffic Source])</f>
        <v>Paid Ads</v>
      </c>
    </row>
    <row r="846" spans="1:7" x14ac:dyDescent="0.25">
      <c r="A846" s="1" t="s">
        <v>1276</v>
      </c>
      <c r="B846" s="1">
        <v>116</v>
      </c>
      <c r="C846" s="1">
        <v>5</v>
      </c>
      <c r="D846" s="1">
        <v>1</v>
      </c>
      <c r="E846" s="1">
        <v>0</v>
      </c>
      <c r="F846" t="s">
        <v>1622</v>
      </c>
      <c r="G846" s="1" t="str">
        <f>_xlfn.XLOOKUP(engagement[[#This Row],[SessionID]],session_data[SessionID],session_data[Traffic Source])</f>
        <v>Paid Ads</v>
      </c>
    </row>
    <row r="847" spans="1:7" x14ac:dyDescent="0.25">
      <c r="A847" s="1" t="s">
        <v>1277</v>
      </c>
      <c r="B847" s="1">
        <v>254</v>
      </c>
      <c r="C847" s="1">
        <v>10</v>
      </c>
      <c r="D847" s="1">
        <v>4</v>
      </c>
      <c r="E847" s="1">
        <v>0</v>
      </c>
      <c r="F847" t="s">
        <v>1625</v>
      </c>
      <c r="G847" s="1" t="str">
        <f>_xlfn.XLOOKUP(engagement[[#This Row],[SessionID]],session_data[SessionID],session_data[Traffic Source])</f>
        <v>Referral</v>
      </c>
    </row>
    <row r="848" spans="1:7" x14ac:dyDescent="0.25">
      <c r="A848" s="1" t="s">
        <v>1279</v>
      </c>
      <c r="B848" s="1">
        <v>288</v>
      </c>
      <c r="C848" s="1">
        <v>11</v>
      </c>
      <c r="D848" s="1">
        <v>3</v>
      </c>
      <c r="E848" s="1">
        <v>0</v>
      </c>
      <c r="F848" t="s">
        <v>1624</v>
      </c>
      <c r="G848" s="1" t="str">
        <f>_xlfn.XLOOKUP(engagement[[#This Row],[SessionID]],session_data[SessionID],session_data[Traffic Source])</f>
        <v>Referral</v>
      </c>
    </row>
    <row r="849" spans="1:7" x14ac:dyDescent="0.25">
      <c r="A849" s="1" t="s">
        <v>1280</v>
      </c>
      <c r="B849" s="1">
        <v>320</v>
      </c>
      <c r="C849" s="1">
        <v>13</v>
      </c>
      <c r="D849" s="1">
        <v>2</v>
      </c>
      <c r="E849" s="1">
        <v>1</v>
      </c>
      <c r="F849" t="s">
        <v>1623</v>
      </c>
      <c r="G849" s="1" t="str">
        <f>_xlfn.XLOOKUP(engagement[[#This Row],[SessionID]],session_data[SessionID],session_data[Traffic Source])</f>
        <v>Referral</v>
      </c>
    </row>
    <row r="850" spans="1:7" x14ac:dyDescent="0.25">
      <c r="A850" s="1" t="s">
        <v>1281</v>
      </c>
      <c r="B850" s="1">
        <v>315</v>
      </c>
      <c r="C850" s="1">
        <v>13</v>
      </c>
      <c r="D850" s="1">
        <v>5</v>
      </c>
      <c r="E850" s="1">
        <v>1</v>
      </c>
      <c r="F850" t="s">
        <v>1623</v>
      </c>
      <c r="G850" s="1" t="str">
        <f>_xlfn.XLOOKUP(engagement[[#This Row],[SessionID]],session_data[SessionID],session_data[Traffic Source])</f>
        <v>Organic Search</v>
      </c>
    </row>
    <row r="851" spans="1:7" x14ac:dyDescent="0.25">
      <c r="A851" s="1" t="s">
        <v>1283</v>
      </c>
      <c r="B851" s="1">
        <v>218</v>
      </c>
      <c r="C851" s="1">
        <v>9</v>
      </c>
      <c r="D851" s="1">
        <v>3</v>
      </c>
      <c r="E851" s="1">
        <v>1</v>
      </c>
      <c r="F851" t="s">
        <v>1623</v>
      </c>
      <c r="G851" s="1" t="str">
        <f>_xlfn.XLOOKUP(engagement[[#This Row],[SessionID]],session_data[SessionID],session_data[Traffic Source])</f>
        <v>Referral</v>
      </c>
    </row>
    <row r="852" spans="1:7" x14ac:dyDescent="0.25">
      <c r="A852" s="1" t="s">
        <v>1285</v>
      </c>
      <c r="B852" s="1">
        <v>311</v>
      </c>
      <c r="C852" s="1">
        <v>12</v>
      </c>
      <c r="D852" s="1">
        <v>3</v>
      </c>
      <c r="E852" s="1">
        <v>1</v>
      </c>
      <c r="F852" t="s">
        <v>1623</v>
      </c>
      <c r="G852" s="1" t="str">
        <f>_xlfn.XLOOKUP(engagement[[#This Row],[SessionID]],session_data[SessionID],session_data[Traffic Source])</f>
        <v>Referral</v>
      </c>
    </row>
    <row r="853" spans="1:7" x14ac:dyDescent="0.25">
      <c r="A853" s="1" t="s">
        <v>1286</v>
      </c>
      <c r="B853" s="1">
        <v>65</v>
      </c>
      <c r="C853" s="1">
        <v>5</v>
      </c>
      <c r="D853" s="1">
        <v>5</v>
      </c>
      <c r="E853" s="1">
        <v>1</v>
      </c>
      <c r="F853" t="s">
        <v>1623</v>
      </c>
      <c r="G853" s="1" t="str">
        <f>_xlfn.XLOOKUP(engagement[[#This Row],[SessionID]],session_data[SessionID],session_data[Traffic Source])</f>
        <v>Referral</v>
      </c>
    </row>
    <row r="854" spans="1:7" x14ac:dyDescent="0.25">
      <c r="A854" s="1" t="s">
        <v>1287</v>
      </c>
      <c r="B854" s="1">
        <v>116</v>
      </c>
      <c r="C854" s="1">
        <v>4</v>
      </c>
      <c r="D854" s="1">
        <v>3</v>
      </c>
      <c r="E854" s="1">
        <v>0</v>
      </c>
      <c r="F854" t="s">
        <v>1624</v>
      </c>
      <c r="G854" s="1" t="str">
        <f>_xlfn.XLOOKUP(engagement[[#This Row],[SessionID]],session_data[SessionID],session_data[Traffic Source])</f>
        <v>Referral</v>
      </c>
    </row>
    <row r="855" spans="1:7" x14ac:dyDescent="0.25">
      <c r="A855" s="1" t="s">
        <v>1288</v>
      </c>
      <c r="B855" s="1">
        <v>137</v>
      </c>
      <c r="C855" s="1">
        <v>6</v>
      </c>
      <c r="D855" s="1">
        <v>3</v>
      </c>
      <c r="E855" s="1">
        <v>1</v>
      </c>
      <c r="F855" t="s">
        <v>1623</v>
      </c>
      <c r="G855" s="1" t="str">
        <f>_xlfn.XLOOKUP(engagement[[#This Row],[SessionID]],session_data[SessionID],session_data[Traffic Source])</f>
        <v>Referral</v>
      </c>
    </row>
    <row r="856" spans="1:7" x14ac:dyDescent="0.25">
      <c r="A856" s="1" t="s">
        <v>1290</v>
      </c>
      <c r="B856" s="1">
        <v>177</v>
      </c>
      <c r="C856" s="1">
        <v>7</v>
      </c>
      <c r="D856" s="1">
        <v>3</v>
      </c>
      <c r="E856" s="1">
        <v>0</v>
      </c>
      <c r="F856" t="s">
        <v>1622</v>
      </c>
      <c r="G856" s="1" t="str">
        <f>_xlfn.XLOOKUP(engagement[[#This Row],[SessionID]],session_data[SessionID],session_data[Traffic Source])</f>
        <v>Referral</v>
      </c>
    </row>
    <row r="857" spans="1:7" x14ac:dyDescent="0.25">
      <c r="A857" s="1" t="s">
        <v>1291</v>
      </c>
      <c r="B857" s="1">
        <v>178</v>
      </c>
      <c r="C857" s="1">
        <v>7</v>
      </c>
      <c r="D857" s="1">
        <v>4</v>
      </c>
      <c r="E857" s="1">
        <v>1</v>
      </c>
      <c r="F857" t="s">
        <v>1623</v>
      </c>
      <c r="G857" s="1" t="str">
        <f>_xlfn.XLOOKUP(engagement[[#This Row],[SessionID]],session_data[SessionID],session_data[Traffic Source])</f>
        <v>Direct</v>
      </c>
    </row>
    <row r="858" spans="1:7" x14ac:dyDescent="0.25">
      <c r="A858" s="1" t="s">
        <v>1293</v>
      </c>
      <c r="B858" s="1">
        <v>21</v>
      </c>
      <c r="C858" s="1">
        <v>4</v>
      </c>
      <c r="D858" s="1">
        <v>4</v>
      </c>
      <c r="E858" s="1">
        <v>0</v>
      </c>
      <c r="F858" t="s">
        <v>1622</v>
      </c>
      <c r="G858" s="1" t="str">
        <f>_xlfn.XLOOKUP(engagement[[#This Row],[SessionID]],session_data[SessionID],session_data[Traffic Source])</f>
        <v>Direct</v>
      </c>
    </row>
    <row r="859" spans="1:7" x14ac:dyDescent="0.25">
      <c r="A859" s="1" t="s">
        <v>1294</v>
      </c>
      <c r="B859" s="1">
        <v>322</v>
      </c>
      <c r="C859" s="1">
        <v>13</v>
      </c>
      <c r="D859" s="1">
        <v>4</v>
      </c>
      <c r="E859" s="1">
        <v>1</v>
      </c>
      <c r="F859" t="s">
        <v>1623</v>
      </c>
      <c r="G859" s="1" t="str">
        <f>_xlfn.XLOOKUP(engagement[[#This Row],[SessionID]],session_data[SessionID],session_data[Traffic Source])</f>
        <v>Direct</v>
      </c>
    </row>
    <row r="860" spans="1:7" x14ac:dyDescent="0.25">
      <c r="A860" s="1" t="s">
        <v>1295</v>
      </c>
      <c r="B860" s="1">
        <v>267</v>
      </c>
      <c r="C860" s="1">
        <v>11</v>
      </c>
      <c r="D860" s="1">
        <v>3</v>
      </c>
      <c r="E860" s="1">
        <v>0</v>
      </c>
      <c r="F860" t="s">
        <v>1622</v>
      </c>
      <c r="G860" s="1" t="str">
        <f>_xlfn.XLOOKUP(engagement[[#This Row],[SessionID]],session_data[SessionID],session_data[Traffic Source])</f>
        <v>Direct</v>
      </c>
    </row>
    <row r="861" spans="1:7" x14ac:dyDescent="0.25">
      <c r="A861" s="1" t="s">
        <v>1297</v>
      </c>
      <c r="B861" s="1">
        <v>227</v>
      </c>
      <c r="C861" s="1">
        <v>10</v>
      </c>
      <c r="D861" s="1">
        <v>4</v>
      </c>
      <c r="E861" s="1">
        <v>1</v>
      </c>
      <c r="F861" t="s">
        <v>1623</v>
      </c>
      <c r="G861" s="1" t="str">
        <f>_xlfn.XLOOKUP(engagement[[#This Row],[SessionID]],session_data[SessionID],session_data[Traffic Source])</f>
        <v>Social Media</v>
      </c>
    </row>
    <row r="862" spans="1:7" x14ac:dyDescent="0.25">
      <c r="A862" s="1" t="s">
        <v>1299</v>
      </c>
      <c r="B862" s="1">
        <v>125</v>
      </c>
      <c r="C862" s="1">
        <v>5</v>
      </c>
      <c r="D862" s="1">
        <v>4</v>
      </c>
      <c r="E862" s="1">
        <v>0</v>
      </c>
      <c r="F862" t="s">
        <v>1624</v>
      </c>
      <c r="G862" s="1" t="str">
        <f>_xlfn.XLOOKUP(engagement[[#This Row],[SessionID]],session_data[SessionID],session_data[Traffic Source])</f>
        <v>Social Media</v>
      </c>
    </row>
    <row r="863" spans="1:7" x14ac:dyDescent="0.25">
      <c r="A863" s="1" t="s">
        <v>1300</v>
      </c>
      <c r="B863" s="1">
        <v>125</v>
      </c>
      <c r="C863" s="1">
        <v>5</v>
      </c>
      <c r="D863" s="1">
        <v>4</v>
      </c>
      <c r="E863" s="1">
        <v>0</v>
      </c>
      <c r="F863" t="s">
        <v>1622</v>
      </c>
      <c r="G863" s="1" t="str">
        <f>_xlfn.XLOOKUP(engagement[[#This Row],[SessionID]],session_data[SessionID],session_data[Traffic Source])</f>
        <v>Social Media</v>
      </c>
    </row>
    <row r="864" spans="1:7" x14ac:dyDescent="0.25">
      <c r="A864" s="1" t="s">
        <v>1301</v>
      </c>
      <c r="B864" s="1">
        <v>259</v>
      </c>
      <c r="C864" s="1">
        <v>11</v>
      </c>
      <c r="D864" s="1">
        <v>4</v>
      </c>
      <c r="E864" s="1">
        <v>1</v>
      </c>
      <c r="F864" t="s">
        <v>1623</v>
      </c>
      <c r="G864" s="1" t="str">
        <f>_xlfn.XLOOKUP(engagement[[#This Row],[SessionID]],session_data[SessionID],session_data[Traffic Source])</f>
        <v>Social Media</v>
      </c>
    </row>
    <row r="865" spans="1:7" x14ac:dyDescent="0.25">
      <c r="A865" s="1" t="s">
        <v>1302</v>
      </c>
      <c r="B865" s="1">
        <v>358</v>
      </c>
      <c r="C865" s="1">
        <v>14</v>
      </c>
      <c r="D865" s="1">
        <v>3</v>
      </c>
      <c r="E865" s="1">
        <v>0</v>
      </c>
      <c r="F865" t="s">
        <v>1622</v>
      </c>
      <c r="G865" s="1" t="str">
        <f>_xlfn.XLOOKUP(engagement[[#This Row],[SessionID]],session_data[SessionID],session_data[Traffic Source])</f>
        <v>Organic Search</v>
      </c>
    </row>
    <row r="866" spans="1:7" x14ac:dyDescent="0.25">
      <c r="A866" s="1" t="s">
        <v>1304</v>
      </c>
      <c r="B866" s="1">
        <v>340</v>
      </c>
      <c r="C866" s="1">
        <v>14</v>
      </c>
      <c r="D866" s="1">
        <v>4</v>
      </c>
      <c r="E866" s="1">
        <v>0</v>
      </c>
      <c r="F866" t="s">
        <v>1622</v>
      </c>
      <c r="G866" s="1" t="str">
        <f>_xlfn.XLOOKUP(engagement[[#This Row],[SessionID]],session_data[SessionID],session_data[Traffic Source])</f>
        <v>Organic Search</v>
      </c>
    </row>
    <row r="867" spans="1:7" x14ac:dyDescent="0.25">
      <c r="A867" s="1" t="s">
        <v>1306</v>
      </c>
      <c r="B867" s="1">
        <v>228</v>
      </c>
      <c r="C867" s="1">
        <v>9</v>
      </c>
      <c r="D867" s="1">
        <v>5</v>
      </c>
      <c r="E867" s="1">
        <v>1</v>
      </c>
      <c r="F867" t="s">
        <v>1623</v>
      </c>
      <c r="G867" s="1" t="str">
        <f>_xlfn.XLOOKUP(engagement[[#This Row],[SessionID]],session_data[SessionID],session_data[Traffic Source])</f>
        <v>Direct</v>
      </c>
    </row>
    <row r="868" spans="1:7" x14ac:dyDescent="0.25">
      <c r="A868" s="1" t="s">
        <v>1308</v>
      </c>
      <c r="B868" s="1">
        <v>70</v>
      </c>
      <c r="C868" s="1">
        <v>5</v>
      </c>
      <c r="D868" s="1">
        <v>5</v>
      </c>
      <c r="E868" s="1">
        <v>1</v>
      </c>
      <c r="F868" t="s">
        <v>1623</v>
      </c>
      <c r="G868" s="1" t="str">
        <f>_xlfn.XLOOKUP(engagement[[#This Row],[SessionID]],session_data[SessionID],session_data[Traffic Source])</f>
        <v>Direct</v>
      </c>
    </row>
    <row r="869" spans="1:7" x14ac:dyDescent="0.25">
      <c r="A869" s="1" t="s">
        <v>1309</v>
      </c>
      <c r="B869" s="1">
        <v>42</v>
      </c>
      <c r="C869" s="1">
        <v>5</v>
      </c>
      <c r="D869" s="1">
        <v>5</v>
      </c>
      <c r="E869" s="1">
        <v>1</v>
      </c>
      <c r="F869" t="s">
        <v>1623</v>
      </c>
      <c r="G869" s="1" t="str">
        <f>_xlfn.XLOOKUP(engagement[[#This Row],[SessionID]],session_data[SessionID],session_data[Traffic Source])</f>
        <v>Direct</v>
      </c>
    </row>
    <row r="870" spans="1:7" x14ac:dyDescent="0.25">
      <c r="A870" s="1" t="s">
        <v>1310</v>
      </c>
      <c r="B870" s="1">
        <v>131</v>
      </c>
      <c r="C870" s="1">
        <v>6</v>
      </c>
      <c r="D870" s="1">
        <v>4</v>
      </c>
      <c r="E870" s="1">
        <v>0</v>
      </c>
      <c r="F870" t="s">
        <v>1622</v>
      </c>
      <c r="G870" s="1" t="str">
        <f>_xlfn.XLOOKUP(engagement[[#This Row],[SessionID]],session_data[SessionID],session_data[Traffic Source])</f>
        <v>Direct</v>
      </c>
    </row>
    <row r="871" spans="1:7" x14ac:dyDescent="0.25">
      <c r="A871" s="1" t="s">
        <v>1311</v>
      </c>
      <c r="B871" s="1">
        <v>267</v>
      </c>
      <c r="C871" s="1">
        <v>11</v>
      </c>
      <c r="D871" s="1">
        <v>4</v>
      </c>
      <c r="E871" s="1">
        <v>0</v>
      </c>
      <c r="F871" t="s">
        <v>1622</v>
      </c>
      <c r="G871" s="1" t="str">
        <f>_xlfn.XLOOKUP(engagement[[#This Row],[SessionID]],session_data[SessionID],session_data[Traffic Source])</f>
        <v>Organic Search</v>
      </c>
    </row>
    <row r="872" spans="1:7" x14ac:dyDescent="0.25">
      <c r="A872" s="1" t="s">
        <v>1313</v>
      </c>
      <c r="B872" s="1">
        <v>225</v>
      </c>
      <c r="C872" s="1">
        <v>10</v>
      </c>
      <c r="D872" s="1">
        <v>4</v>
      </c>
      <c r="E872" s="1">
        <v>1</v>
      </c>
      <c r="F872" t="s">
        <v>1623</v>
      </c>
      <c r="G872" s="1" t="str">
        <f>_xlfn.XLOOKUP(engagement[[#This Row],[SessionID]],session_data[SessionID],session_data[Traffic Source])</f>
        <v>Referral</v>
      </c>
    </row>
    <row r="873" spans="1:7" x14ac:dyDescent="0.25">
      <c r="A873" s="1" t="s">
        <v>1315</v>
      </c>
      <c r="B873" s="1">
        <v>84</v>
      </c>
      <c r="C873" s="1">
        <v>5</v>
      </c>
      <c r="D873" s="1">
        <v>5</v>
      </c>
      <c r="E873" s="1">
        <v>1</v>
      </c>
      <c r="F873" t="s">
        <v>1623</v>
      </c>
      <c r="G873" s="1" t="str">
        <f>_xlfn.XLOOKUP(engagement[[#This Row],[SessionID]],session_data[SessionID],session_data[Traffic Source])</f>
        <v>Direct</v>
      </c>
    </row>
    <row r="874" spans="1:7" x14ac:dyDescent="0.25">
      <c r="A874" s="1" t="s">
        <v>1317</v>
      </c>
      <c r="B874" s="1">
        <v>303</v>
      </c>
      <c r="C874" s="1">
        <v>12</v>
      </c>
      <c r="D874" s="1">
        <v>5</v>
      </c>
      <c r="E874" s="1">
        <v>1</v>
      </c>
      <c r="F874" t="s">
        <v>1623</v>
      </c>
      <c r="G874" s="1" t="str">
        <f>_xlfn.XLOOKUP(engagement[[#This Row],[SessionID]],session_data[SessionID],session_data[Traffic Source])</f>
        <v>Direct</v>
      </c>
    </row>
    <row r="875" spans="1:7" x14ac:dyDescent="0.25">
      <c r="A875" s="1" t="s">
        <v>1318</v>
      </c>
      <c r="B875" s="1">
        <v>215</v>
      </c>
      <c r="C875" s="1">
        <v>8</v>
      </c>
      <c r="D875" s="1">
        <v>5</v>
      </c>
      <c r="E875" s="1">
        <v>1</v>
      </c>
      <c r="F875" t="s">
        <v>1623</v>
      </c>
      <c r="G875" s="1" t="str">
        <f>_xlfn.XLOOKUP(engagement[[#This Row],[SessionID]],session_data[SessionID],session_data[Traffic Source])</f>
        <v>Direct</v>
      </c>
    </row>
    <row r="876" spans="1:7" x14ac:dyDescent="0.25">
      <c r="A876" s="1" t="s">
        <v>1319</v>
      </c>
      <c r="B876" s="1">
        <v>357</v>
      </c>
      <c r="C876" s="1">
        <v>14</v>
      </c>
      <c r="D876" s="1">
        <v>5</v>
      </c>
      <c r="E876" s="1">
        <v>1</v>
      </c>
      <c r="F876" t="s">
        <v>1623</v>
      </c>
      <c r="G876" s="1" t="str">
        <f>_xlfn.XLOOKUP(engagement[[#This Row],[SessionID]],session_data[SessionID],session_data[Traffic Source])</f>
        <v>Direct</v>
      </c>
    </row>
    <row r="877" spans="1:7" x14ac:dyDescent="0.25">
      <c r="A877" s="1" t="s">
        <v>1320</v>
      </c>
      <c r="B877" s="1">
        <v>101</v>
      </c>
      <c r="C877" s="1">
        <v>5</v>
      </c>
      <c r="D877" s="1">
        <v>5</v>
      </c>
      <c r="E877" s="1">
        <v>1</v>
      </c>
      <c r="F877" t="s">
        <v>1623</v>
      </c>
      <c r="G877" s="1" t="str">
        <f>_xlfn.XLOOKUP(engagement[[#This Row],[SessionID]],session_data[SessionID],session_data[Traffic Source])</f>
        <v>Direct</v>
      </c>
    </row>
    <row r="878" spans="1:7" x14ac:dyDescent="0.25">
      <c r="A878" s="1" t="s">
        <v>1321</v>
      </c>
      <c r="B878" s="1">
        <v>260</v>
      </c>
      <c r="C878" s="1">
        <v>10</v>
      </c>
      <c r="D878" s="1">
        <v>3</v>
      </c>
      <c r="E878" s="1">
        <v>0</v>
      </c>
      <c r="F878" t="s">
        <v>1624</v>
      </c>
      <c r="G878" s="1" t="str">
        <f>_xlfn.XLOOKUP(engagement[[#This Row],[SessionID]],session_data[SessionID],session_data[Traffic Source])</f>
        <v>Organic Search</v>
      </c>
    </row>
    <row r="879" spans="1:7" x14ac:dyDescent="0.25">
      <c r="A879" s="1" t="s">
        <v>1323</v>
      </c>
      <c r="B879" s="1">
        <v>25</v>
      </c>
      <c r="C879" s="1">
        <v>3</v>
      </c>
      <c r="D879" s="1">
        <v>3</v>
      </c>
      <c r="E879" s="1">
        <v>0</v>
      </c>
      <c r="F879" t="s">
        <v>1624</v>
      </c>
      <c r="G879" s="1" t="str">
        <f>_xlfn.XLOOKUP(engagement[[#This Row],[SessionID]],session_data[SessionID],session_data[Traffic Source])</f>
        <v>Organic Search</v>
      </c>
    </row>
    <row r="880" spans="1:7" x14ac:dyDescent="0.25">
      <c r="A880" s="1" t="s">
        <v>1324</v>
      </c>
      <c r="B880" s="1">
        <v>243</v>
      </c>
      <c r="C880" s="1">
        <v>10</v>
      </c>
      <c r="D880" s="1">
        <v>3</v>
      </c>
      <c r="E880" s="1">
        <v>1</v>
      </c>
      <c r="F880" t="s">
        <v>1623</v>
      </c>
      <c r="G880" s="1" t="str">
        <f>_xlfn.XLOOKUP(engagement[[#This Row],[SessionID]],session_data[SessionID],session_data[Traffic Source])</f>
        <v>Organic Search</v>
      </c>
    </row>
    <row r="881" spans="1:7" x14ac:dyDescent="0.25">
      <c r="A881" s="1" t="s">
        <v>1325</v>
      </c>
      <c r="B881" s="1">
        <v>123</v>
      </c>
      <c r="C881" s="1">
        <v>4</v>
      </c>
      <c r="D881" s="1">
        <v>3</v>
      </c>
      <c r="E881" s="1">
        <v>0</v>
      </c>
      <c r="F881" t="s">
        <v>1622</v>
      </c>
      <c r="G881" s="1" t="str">
        <f>_xlfn.XLOOKUP(engagement[[#This Row],[SessionID]],session_data[SessionID],session_data[Traffic Source])</f>
        <v>Organic Search</v>
      </c>
    </row>
    <row r="882" spans="1:7" x14ac:dyDescent="0.25">
      <c r="A882" s="1" t="s">
        <v>1326</v>
      </c>
      <c r="B882" s="1">
        <v>353</v>
      </c>
      <c r="C882" s="1">
        <v>14</v>
      </c>
      <c r="D882" s="1">
        <v>3</v>
      </c>
      <c r="E882" s="1">
        <v>1</v>
      </c>
      <c r="F882" t="s">
        <v>1623</v>
      </c>
      <c r="G882" s="1" t="str">
        <f>_xlfn.XLOOKUP(engagement[[#This Row],[SessionID]],session_data[SessionID],session_data[Traffic Source])</f>
        <v>Organic Search</v>
      </c>
    </row>
    <row r="883" spans="1:7" x14ac:dyDescent="0.25">
      <c r="A883" s="1" t="s">
        <v>1327</v>
      </c>
      <c r="B883" s="1">
        <v>18</v>
      </c>
      <c r="C883" s="1">
        <v>5</v>
      </c>
      <c r="D883" s="1">
        <v>5</v>
      </c>
      <c r="E883" s="1">
        <v>1</v>
      </c>
      <c r="F883" t="s">
        <v>1623</v>
      </c>
      <c r="G883" s="1" t="str">
        <f>_xlfn.XLOOKUP(engagement[[#This Row],[SessionID]],session_data[SessionID],session_data[Traffic Source])</f>
        <v>Organic Search</v>
      </c>
    </row>
    <row r="884" spans="1:7" x14ac:dyDescent="0.25">
      <c r="A884" s="1" t="s">
        <v>1329</v>
      </c>
      <c r="B884" s="1">
        <v>317</v>
      </c>
      <c r="C884" s="1">
        <v>13</v>
      </c>
      <c r="D884" s="1">
        <v>2</v>
      </c>
      <c r="E884" s="1">
        <v>1</v>
      </c>
      <c r="F884" t="s">
        <v>1623</v>
      </c>
      <c r="G884" s="1" t="str">
        <f>_xlfn.XLOOKUP(engagement[[#This Row],[SessionID]],session_data[SessionID],session_data[Traffic Source])</f>
        <v>Organic Search</v>
      </c>
    </row>
    <row r="885" spans="1:7" x14ac:dyDescent="0.25">
      <c r="A885" s="1" t="s">
        <v>1330</v>
      </c>
      <c r="B885" s="1">
        <v>205</v>
      </c>
      <c r="C885" s="1">
        <v>8</v>
      </c>
      <c r="D885" s="1">
        <v>4</v>
      </c>
      <c r="E885" s="1">
        <v>1</v>
      </c>
      <c r="F885" t="s">
        <v>1623</v>
      </c>
      <c r="G885" s="1" t="str">
        <f>_xlfn.XLOOKUP(engagement[[#This Row],[SessionID]],session_data[SessionID],session_data[Traffic Source])</f>
        <v>Direct</v>
      </c>
    </row>
    <row r="886" spans="1:7" x14ac:dyDescent="0.25">
      <c r="A886" s="1" t="s">
        <v>1332</v>
      </c>
      <c r="B886" s="1">
        <v>220</v>
      </c>
      <c r="C886" s="1">
        <v>8</v>
      </c>
      <c r="D886" s="1">
        <v>4</v>
      </c>
      <c r="E886" s="1">
        <v>1</v>
      </c>
      <c r="F886" t="s">
        <v>1623</v>
      </c>
      <c r="G886" s="1" t="str">
        <f>_xlfn.XLOOKUP(engagement[[#This Row],[SessionID]],session_data[SessionID],session_data[Traffic Source])</f>
        <v>Direct</v>
      </c>
    </row>
    <row r="887" spans="1:7" x14ac:dyDescent="0.25">
      <c r="A887" s="1" t="s">
        <v>1333</v>
      </c>
      <c r="B887" s="1">
        <v>21</v>
      </c>
      <c r="C887" s="1">
        <v>4</v>
      </c>
      <c r="D887" s="1">
        <v>4</v>
      </c>
      <c r="E887" s="1">
        <v>0</v>
      </c>
      <c r="F887" t="s">
        <v>1622</v>
      </c>
      <c r="G887" s="1" t="str">
        <f>_xlfn.XLOOKUP(engagement[[#This Row],[SessionID]],session_data[SessionID],session_data[Traffic Source])</f>
        <v>Direct</v>
      </c>
    </row>
    <row r="888" spans="1:7" x14ac:dyDescent="0.25">
      <c r="A888" s="1" t="s">
        <v>1335</v>
      </c>
      <c r="B888" s="1">
        <v>54</v>
      </c>
      <c r="C888" s="1">
        <v>4</v>
      </c>
      <c r="D888" s="1">
        <v>4</v>
      </c>
      <c r="E888" s="1">
        <v>0</v>
      </c>
      <c r="F888" t="s">
        <v>1624</v>
      </c>
      <c r="G888" s="1" t="str">
        <f>_xlfn.XLOOKUP(engagement[[#This Row],[SessionID]],session_data[SessionID],session_data[Traffic Source])</f>
        <v>Direct</v>
      </c>
    </row>
    <row r="889" spans="1:7" x14ac:dyDescent="0.25">
      <c r="A889" s="1" t="s">
        <v>1336</v>
      </c>
      <c r="B889" s="1">
        <v>218</v>
      </c>
      <c r="C889" s="1">
        <v>9</v>
      </c>
      <c r="D889" s="1">
        <v>3</v>
      </c>
      <c r="E889" s="1">
        <v>1</v>
      </c>
      <c r="F889" t="s">
        <v>1623</v>
      </c>
      <c r="G889" s="1" t="str">
        <f>_xlfn.XLOOKUP(engagement[[#This Row],[SessionID]],session_data[SessionID],session_data[Traffic Source])</f>
        <v>Paid Ads</v>
      </c>
    </row>
    <row r="890" spans="1:7" x14ac:dyDescent="0.25">
      <c r="A890" s="1" t="s">
        <v>1338</v>
      </c>
      <c r="B890" s="1">
        <v>21</v>
      </c>
      <c r="C890" s="1">
        <v>5</v>
      </c>
      <c r="D890" s="1">
        <v>4</v>
      </c>
      <c r="E890" s="1">
        <v>0</v>
      </c>
      <c r="F890" t="s">
        <v>1622</v>
      </c>
      <c r="G890" s="1" t="str">
        <f>_xlfn.XLOOKUP(engagement[[#This Row],[SessionID]],session_data[SessionID],session_data[Traffic Source])</f>
        <v>Paid Ads</v>
      </c>
    </row>
    <row r="891" spans="1:7" x14ac:dyDescent="0.25">
      <c r="A891" s="1" t="s">
        <v>1340</v>
      </c>
      <c r="B891" s="1">
        <v>348</v>
      </c>
      <c r="C891" s="1">
        <v>14</v>
      </c>
      <c r="D891" s="1">
        <v>4</v>
      </c>
      <c r="E891" s="1">
        <v>1</v>
      </c>
      <c r="F891" t="s">
        <v>1623</v>
      </c>
      <c r="G891" s="1" t="str">
        <f>_xlfn.XLOOKUP(engagement[[#This Row],[SessionID]],session_data[SessionID],session_data[Traffic Source])</f>
        <v>Social Media</v>
      </c>
    </row>
    <row r="892" spans="1:7" x14ac:dyDescent="0.25">
      <c r="A892" s="1" t="s">
        <v>1342</v>
      </c>
      <c r="B892" s="1">
        <v>231</v>
      </c>
      <c r="C892" s="1">
        <v>9</v>
      </c>
      <c r="D892" s="1">
        <v>4</v>
      </c>
      <c r="E892" s="1">
        <v>1</v>
      </c>
      <c r="F892" t="s">
        <v>1623</v>
      </c>
      <c r="G892" s="1" t="str">
        <f>_xlfn.XLOOKUP(engagement[[#This Row],[SessionID]],session_data[SessionID],session_data[Traffic Source])</f>
        <v>Social Media</v>
      </c>
    </row>
    <row r="893" spans="1:7" x14ac:dyDescent="0.25">
      <c r="A893" s="1" t="s">
        <v>1343</v>
      </c>
      <c r="B893" s="1">
        <v>31</v>
      </c>
      <c r="C893" s="1">
        <v>5</v>
      </c>
      <c r="D893" s="1">
        <v>5</v>
      </c>
      <c r="E893" s="1">
        <v>1</v>
      </c>
      <c r="F893" t="s">
        <v>1623</v>
      </c>
      <c r="G893" s="1" t="str">
        <f>_xlfn.XLOOKUP(engagement[[#This Row],[SessionID]],session_data[SessionID],session_data[Traffic Source])</f>
        <v>Social Media</v>
      </c>
    </row>
    <row r="894" spans="1:7" x14ac:dyDescent="0.25">
      <c r="A894" s="1" t="s">
        <v>1344</v>
      </c>
      <c r="B894" s="1">
        <v>131</v>
      </c>
      <c r="C894" s="1">
        <v>6</v>
      </c>
      <c r="D894" s="1">
        <v>2</v>
      </c>
      <c r="E894" s="1">
        <v>1</v>
      </c>
      <c r="F894" t="s">
        <v>1623</v>
      </c>
      <c r="G894" s="1" t="str">
        <f>_xlfn.XLOOKUP(engagement[[#This Row],[SessionID]],session_data[SessionID],session_data[Traffic Source])</f>
        <v>Organic Search</v>
      </c>
    </row>
    <row r="895" spans="1:7" x14ac:dyDescent="0.25">
      <c r="A895" s="1" t="s">
        <v>1346</v>
      </c>
      <c r="B895" s="1">
        <v>257</v>
      </c>
      <c r="C895" s="1">
        <v>10</v>
      </c>
      <c r="D895" s="1">
        <v>2</v>
      </c>
      <c r="E895" s="1">
        <v>1</v>
      </c>
      <c r="F895" t="s">
        <v>1623</v>
      </c>
      <c r="G895" s="1" t="str">
        <f>_xlfn.XLOOKUP(engagement[[#This Row],[SessionID]],session_data[SessionID],session_data[Traffic Source])</f>
        <v>Organic Search</v>
      </c>
    </row>
    <row r="896" spans="1:7" x14ac:dyDescent="0.25">
      <c r="A896" s="1" t="s">
        <v>1347</v>
      </c>
      <c r="B896" s="1">
        <v>299</v>
      </c>
      <c r="C896" s="1">
        <v>12</v>
      </c>
      <c r="D896" s="1">
        <v>3</v>
      </c>
      <c r="E896" s="1">
        <v>0</v>
      </c>
      <c r="F896" t="s">
        <v>1624</v>
      </c>
      <c r="G896" s="1" t="str">
        <f>_xlfn.XLOOKUP(engagement[[#This Row],[SessionID]],session_data[SessionID],session_data[Traffic Source])</f>
        <v>Organic Search</v>
      </c>
    </row>
    <row r="897" spans="1:7" x14ac:dyDescent="0.25">
      <c r="A897" s="1" t="s">
        <v>1348</v>
      </c>
      <c r="B897" s="1">
        <v>196</v>
      </c>
      <c r="C897" s="1">
        <v>8</v>
      </c>
      <c r="D897" s="1">
        <v>4</v>
      </c>
      <c r="E897" s="1">
        <v>1</v>
      </c>
      <c r="F897" t="s">
        <v>1623</v>
      </c>
      <c r="G897" s="1" t="str">
        <f>_xlfn.XLOOKUP(engagement[[#This Row],[SessionID]],session_data[SessionID],session_data[Traffic Source])</f>
        <v>Direct</v>
      </c>
    </row>
    <row r="898" spans="1:7" x14ac:dyDescent="0.25">
      <c r="A898" s="1" t="s">
        <v>1350</v>
      </c>
      <c r="B898" s="1">
        <v>325</v>
      </c>
      <c r="C898" s="1">
        <v>13</v>
      </c>
      <c r="D898" s="1">
        <v>4</v>
      </c>
      <c r="E898" s="1">
        <v>1</v>
      </c>
      <c r="F898" t="s">
        <v>1623</v>
      </c>
      <c r="G898" s="1" t="str">
        <f>_xlfn.XLOOKUP(engagement[[#This Row],[SessionID]],session_data[SessionID],session_data[Traffic Source])</f>
        <v>Direct</v>
      </c>
    </row>
    <row r="899" spans="1:7" x14ac:dyDescent="0.25">
      <c r="A899" s="1" t="s">
        <v>1351</v>
      </c>
      <c r="B899" s="1">
        <v>265</v>
      </c>
      <c r="C899" s="1">
        <v>10</v>
      </c>
      <c r="D899" s="1">
        <v>4</v>
      </c>
      <c r="E899" s="1">
        <v>1</v>
      </c>
      <c r="F899" t="s">
        <v>1623</v>
      </c>
      <c r="G899" s="1" t="str">
        <f>_xlfn.XLOOKUP(engagement[[#This Row],[SessionID]],session_data[SessionID],session_data[Traffic Source])</f>
        <v>Direct</v>
      </c>
    </row>
    <row r="900" spans="1:7" x14ac:dyDescent="0.25">
      <c r="A900" s="1" t="s">
        <v>1352</v>
      </c>
      <c r="B900" s="1">
        <v>145</v>
      </c>
      <c r="C900" s="1">
        <v>6</v>
      </c>
      <c r="D900" s="1">
        <v>4</v>
      </c>
      <c r="E900" s="1">
        <v>1</v>
      </c>
      <c r="F900" t="s">
        <v>1623</v>
      </c>
      <c r="G900" s="1" t="str">
        <f>_xlfn.XLOOKUP(engagement[[#This Row],[SessionID]],session_data[SessionID],session_data[Traffic Source])</f>
        <v>Organic Search</v>
      </c>
    </row>
    <row r="901" spans="1:7" x14ac:dyDescent="0.25">
      <c r="A901" s="1" t="s">
        <v>1354</v>
      </c>
      <c r="B901" s="1">
        <v>179</v>
      </c>
      <c r="C901" s="1">
        <v>7</v>
      </c>
      <c r="D901" s="1">
        <v>4</v>
      </c>
      <c r="E901" s="1">
        <v>1</v>
      </c>
      <c r="F901" t="s">
        <v>1623</v>
      </c>
      <c r="G901" s="1" t="str">
        <f>_xlfn.XLOOKUP(engagement[[#This Row],[SessionID]],session_data[SessionID],session_data[Traffic Source])</f>
        <v>Organic Search</v>
      </c>
    </row>
    <row r="902" spans="1:7" x14ac:dyDescent="0.25">
      <c r="A902" s="1" t="s">
        <v>1355</v>
      </c>
      <c r="B902" s="1">
        <v>320</v>
      </c>
      <c r="C902" s="1">
        <v>12</v>
      </c>
      <c r="D902" s="1">
        <v>4</v>
      </c>
      <c r="E902" s="1">
        <v>0</v>
      </c>
      <c r="F902" t="s">
        <v>1622</v>
      </c>
      <c r="G902" s="1" t="str">
        <f>_xlfn.XLOOKUP(engagement[[#This Row],[SessionID]],session_data[SessionID],session_data[Traffic Source])</f>
        <v>Organic Search</v>
      </c>
    </row>
    <row r="903" spans="1:7" x14ac:dyDescent="0.25">
      <c r="A903" s="1" t="s">
        <v>1356</v>
      </c>
      <c r="B903" s="1">
        <v>225</v>
      </c>
      <c r="C903" s="1">
        <v>9</v>
      </c>
      <c r="D903" s="1">
        <v>1</v>
      </c>
      <c r="E903" s="1">
        <v>1</v>
      </c>
      <c r="F903" t="s">
        <v>1623</v>
      </c>
      <c r="G903" s="1" t="str">
        <f>_xlfn.XLOOKUP(engagement[[#This Row],[SessionID]],session_data[SessionID],session_data[Traffic Source])</f>
        <v>Social Media</v>
      </c>
    </row>
    <row r="904" spans="1:7" x14ac:dyDescent="0.25">
      <c r="A904" s="1" t="s">
        <v>1358</v>
      </c>
      <c r="B904" s="1">
        <v>174</v>
      </c>
      <c r="C904" s="1">
        <v>7</v>
      </c>
      <c r="D904" s="1">
        <v>3</v>
      </c>
      <c r="E904" s="1">
        <v>1</v>
      </c>
      <c r="F904" t="s">
        <v>1623</v>
      </c>
      <c r="G904" s="1" t="str">
        <f>_xlfn.XLOOKUP(engagement[[#This Row],[SessionID]],session_data[SessionID],session_data[Traffic Source])</f>
        <v>Direct</v>
      </c>
    </row>
    <row r="905" spans="1:7" x14ac:dyDescent="0.25">
      <c r="A905" s="1" t="s">
        <v>1360</v>
      </c>
      <c r="B905" s="1">
        <v>251</v>
      </c>
      <c r="C905" s="1">
        <v>10</v>
      </c>
      <c r="D905" s="1">
        <v>3</v>
      </c>
      <c r="E905" s="1">
        <v>1</v>
      </c>
      <c r="F905" t="s">
        <v>1623</v>
      </c>
      <c r="G905" s="1" t="str">
        <f>_xlfn.XLOOKUP(engagement[[#This Row],[SessionID]],session_data[SessionID],session_data[Traffic Source])</f>
        <v>Direct</v>
      </c>
    </row>
    <row r="906" spans="1:7" x14ac:dyDescent="0.25">
      <c r="A906" s="1" t="s">
        <v>1361</v>
      </c>
      <c r="B906" s="1">
        <v>127</v>
      </c>
      <c r="C906" s="1">
        <v>5</v>
      </c>
      <c r="D906" s="1">
        <v>5</v>
      </c>
      <c r="E906" s="1">
        <v>1</v>
      </c>
      <c r="F906" t="s">
        <v>1623</v>
      </c>
      <c r="G906" s="1" t="str">
        <f>_xlfn.XLOOKUP(engagement[[#This Row],[SessionID]],session_data[SessionID],session_data[Traffic Source])</f>
        <v>Referral</v>
      </c>
    </row>
    <row r="907" spans="1:7" x14ac:dyDescent="0.25">
      <c r="A907" s="1" t="s">
        <v>1363</v>
      </c>
      <c r="B907" s="1">
        <v>90</v>
      </c>
      <c r="C907" s="1">
        <v>5</v>
      </c>
      <c r="D907" s="1">
        <v>4</v>
      </c>
      <c r="E907" s="1">
        <v>0</v>
      </c>
      <c r="F907" t="s">
        <v>1624</v>
      </c>
      <c r="G907" s="1" t="str">
        <f>_xlfn.XLOOKUP(engagement[[#This Row],[SessionID]],session_data[SessionID],session_data[Traffic Source])</f>
        <v>Organic Search</v>
      </c>
    </row>
    <row r="908" spans="1:7" x14ac:dyDescent="0.25">
      <c r="A908" s="1" t="s">
        <v>1365</v>
      </c>
      <c r="B908" s="1">
        <v>363</v>
      </c>
      <c r="C908" s="1">
        <v>14</v>
      </c>
      <c r="D908" s="1">
        <v>5</v>
      </c>
      <c r="E908" s="1">
        <v>1</v>
      </c>
      <c r="F908" t="s">
        <v>1623</v>
      </c>
      <c r="G908" s="1" t="str">
        <f>_xlfn.XLOOKUP(engagement[[#This Row],[SessionID]],session_data[SessionID],session_data[Traffic Source])</f>
        <v>Organic Search</v>
      </c>
    </row>
    <row r="909" spans="1:7" x14ac:dyDescent="0.25">
      <c r="A909" s="1" t="s">
        <v>1366</v>
      </c>
      <c r="B909" s="1">
        <v>85</v>
      </c>
      <c r="C909" s="1">
        <v>5</v>
      </c>
      <c r="D909" s="1">
        <v>5</v>
      </c>
      <c r="E909" s="1">
        <v>1</v>
      </c>
      <c r="F909" t="s">
        <v>1623</v>
      </c>
      <c r="G909" s="1" t="str">
        <f>_xlfn.XLOOKUP(engagement[[#This Row],[SessionID]],session_data[SessionID],session_data[Traffic Source])</f>
        <v>Direct</v>
      </c>
    </row>
    <row r="910" spans="1:7" x14ac:dyDescent="0.25">
      <c r="A910" s="1" t="s">
        <v>1368</v>
      </c>
      <c r="B910" s="1">
        <v>242</v>
      </c>
      <c r="C910" s="1">
        <v>10</v>
      </c>
      <c r="D910" s="1">
        <v>4</v>
      </c>
      <c r="E910" s="1">
        <v>0</v>
      </c>
      <c r="F910" t="s">
        <v>1622</v>
      </c>
      <c r="G910" s="1" t="str">
        <f>_xlfn.XLOOKUP(engagement[[#This Row],[SessionID]],session_data[SessionID],session_data[Traffic Source])</f>
        <v>Direct</v>
      </c>
    </row>
    <row r="911" spans="1:7" x14ac:dyDescent="0.25">
      <c r="A911" s="1" t="s">
        <v>1369</v>
      </c>
      <c r="B911" s="1">
        <v>75</v>
      </c>
      <c r="C911" s="1">
        <v>3</v>
      </c>
      <c r="D911" s="1">
        <v>3</v>
      </c>
      <c r="E911" s="1">
        <v>1</v>
      </c>
      <c r="F911" t="s">
        <v>1623</v>
      </c>
      <c r="G911" s="1" t="str">
        <f>_xlfn.XLOOKUP(engagement[[#This Row],[SessionID]],session_data[SessionID],session_data[Traffic Source])</f>
        <v>Direct</v>
      </c>
    </row>
    <row r="912" spans="1:7" x14ac:dyDescent="0.25">
      <c r="A912" s="1" t="s">
        <v>1371</v>
      </c>
      <c r="B912" s="1">
        <v>145</v>
      </c>
      <c r="C912" s="1">
        <v>6</v>
      </c>
      <c r="D912" s="1">
        <v>3</v>
      </c>
      <c r="E912" s="1">
        <v>0</v>
      </c>
      <c r="F912" t="s">
        <v>1624</v>
      </c>
      <c r="G912" s="1" t="str">
        <f>_xlfn.XLOOKUP(engagement[[#This Row],[SessionID]],session_data[SessionID],session_data[Traffic Source])</f>
        <v>Direct</v>
      </c>
    </row>
    <row r="913" spans="1:7" x14ac:dyDescent="0.25">
      <c r="A913" s="1" t="s">
        <v>1372</v>
      </c>
      <c r="B913" s="1">
        <v>146</v>
      </c>
      <c r="C913" s="1">
        <v>6</v>
      </c>
      <c r="D913" s="1">
        <v>3</v>
      </c>
      <c r="E913" s="1">
        <v>0</v>
      </c>
      <c r="F913" t="s">
        <v>1624</v>
      </c>
      <c r="G913" s="1" t="str">
        <f>_xlfn.XLOOKUP(engagement[[#This Row],[SessionID]],session_data[SessionID],session_data[Traffic Source])</f>
        <v>Direct</v>
      </c>
    </row>
    <row r="914" spans="1:7" x14ac:dyDescent="0.25">
      <c r="A914" s="1" t="s">
        <v>1373</v>
      </c>
      <c r="B914" s="1">
        <v>179</v>
      </c>
      <c r="C914" s="1">
        <v>7</v>
      </c>
      <c r="D914" s="1">
        <v>3</v>
      </c>
      <c r="E914" s="1">
        <v>1</v>
      </c>
      <c r="F914" t="s">
        <v>1623</v>
      </c>
      <c r="G914" s="1" t="str">
        <f>_xlfn.XLOOKUP(engagement[[#This Row],[SessionID]],session_data[SessionID],session_data[Traffic Source])</f>
        <v>Direct</v>
      </c>
    </row>
    <row r="915" spans="1:7" x14ac:dyDescent="0.25">
      <c r="A915" s="1" t="s">
        <v>1374</v>
      </c>
      <c r="B915" s="1">
        <v>129</v>
      </c>
      <c r="C915" s="1">
        <v>5</v>
      </c>
      <c r="D915" s="1">
        <v>5</v>
      </c>
      <c r="E915" s="1">
        <v>1</v>
      </c>
      <c r="F915" t="s">
        <v>1623</v>
      </c>
      <c r="G915" s="1" t="str">
        <f>_xlfn.XLOOKUP(engagement[[#This Row],[SessionID]],session_data[SessionID],session_data[Traffic Source])</f>
        <v>Direct</v>
      </c>
    </row>
    <row r="916" spans="1:7" x14ac:dyDescent="0.25">
      <c r="A916" s="1" t="s">
        <v>1376</v>
      </c>
      <c r="B916" s="1">
        <v>246</v>
      </c>
      <c r="C916" s="1">
        <v>10</v>
      </c>
      <c r="D916" s="1">
        <v>5</v>
      </c>
      <c r="E916" s="1">
        <v>1</v>
      </c>
      <c r="F916" t="s">
        <v>1623</v>
      </c>
      <c r="G916" s="1" t="str">
        <f>_xlfn.XLOOKUP(engagement[[#This Row],[SessionID]],session_data[SessionID],session_data[Traffic Source])</f>
        <v>Organic Search</v>
      </c>
    </row>
    <row r="917" spans="1:7" x14ac:dyDescent="0.25">
      <c r="A917" s="1" t="s">
        <v>1378</v>
      </c>
      <c r="B917" s="1">
        <v>159</v>
      </c>
      <c r="C917" s="1">
        <v>6</v>
      </c>
      <c r="D917" s="1">
        <v>5</v>
      </c>
      <c r="E917" s="1">
        <v>1</v>
      </c>
      <c r="F917" t="s">
        <v>1623</v>
      </c>
      <c r="G917" s="1" t="str">
        <f>_xlfn.XLOOKUP(engagement[[#This Row],[SessionID]],session_data[SessionID],session_data[Traffic Source])</f>
        <v>Organic Search</v>
      </c>
    </row>
    <row r="918" spans="1:7" x14ac:dyDescent="0.25">
      <c r="A918" s="1" t="s">
        <v>1380</v>
      </c>
      <c r="B918" s="1">
        <v>158</v>
      </c>
      <c r="C918" s="1">
        <v>6</v>
      </c>
      <c r="D918" s="1">
        <v>2</v>
      </c>
      <c r="E918" s="1">
        <v>1</v>
      </c>
      <c r="F918" t="s">
        <v>1623</v>
      </c>
      <c r="G918" s="1" t="str">
        <f>_xlfn.XLOOKUP(engagement[[#This Row],[SessionID]],session_data[SessionID],session_data[Traffic Source])</f>
        <v>Direct</v>
      </c>
    </row>
    <row r="919" spans="1:7" x14ac:dyDescent="0.25">
      <c r="A919" s="1" t="s">
        <v>1382</v>
      </c>
      <c r="B919" s="1">
        <v>326</v>
      </c>
      <c r="C919" s="1">
        <v>13</v>
      </c>
      <c r="D919" s="1">
        <v>2</v>
      </c>
      <c r="E919" s="1">
        <v>0</v>
      </c>
      <c r="F919" t="s">
        <v>1622</v>
      </c>
      <c r="G919" s="1" t="str">
        <f>_xlfn.XLOOKUP(engagement[[#This Row],[SessionID]],session_data[SessionID],session_data[Traffic Source])</f>
        <v>Direct</v>
      </c>
    </row>
    <row r="920" spans="1:7" x14ac:dyDescent="0.25">
      <c r="A920" s="1" t="s">
        <v>1383</v>
      </c>
      <c r="B920" s="1">
        <v>116</v>
      </c>
      <c r="C920" s="1">
        <v>4</v>
      </c>
      <c r="D920" s="1">
        <v>2</v>
      </c>
      <c r="E920" s="1">
        <v>1</v>
      </c>
      <c r="F920" t="s">
        <v>1623</v>
      </c>
      <c r="G920" s="1" t="str">
        <f>_xlfn.XLOOKUP(engagement[[#This Row],[SessionID]],session_data[SessionID],session_data[Traffic Source])</f>
        <v>Direct</v>
      </c>
    </row>
    <row r="921" spans="1:7" x14ac:dyDescent="0.25">
      <c r="A921" s="1" t="s">
        <v>1384</v>
      </c>
      <c r="B921" s="1">
        <v>266</v>
      </c>
      <c r="C921" s="1">
        <v>11</v>
      </c>
      <c r="D921" s="1">
        <v>3</v>
      </c>
      <c r="E921" s="1">
        <v>0</v>
      </c>
      <c r="F921" t="s">
        <v>1624</v>
      </c>
      <c r="G921" s="1" t="str">
        <f>_xlfn.XLOOKUP(engagement[[#This Row],[SessionID]],session_data[SessionID],session_data[Traffic Source])</f>
        <v>Social Media</v>
      </c>
    </row>
    <row r="922" spans="1:7" x14ac:dyDescent="0.25">
      <c r="A922" s="1" t="s">
        <v>1386</v>
      </c>
      <c r="B922" s="1">
        <v>48</v>
      </c>
      <c r="C922" s="1">
        <v>2</v>
      </c>
      <c r="D922" s="1">
        <v>2</v>
      </c>
      <c r="E922" s="1">
        <v>1</v>
      </c>
      <c r="F922" t="s">
        <v>1623</v>
      </c>
      <c r="G922" s="1" t="str">
        <f>_xlfn.XLOOKUP(engagement[[#This Row],[SessionID]],session_data[SessionID],session_data[Traffic Source])</f>
        <v>Social Media</v>
      </c>
    </row>
    <row r="923" spans="1:7" x14ac:dyDescent="0.25">
      <c r="A923" s="1" t="s">
        <v>1387</v>
      </c>
      <c r="B923" s="1">
        <v>294</v>
      </c>
      <c r="C923" s="1">
        <v>11</v>
      </c>
      <c r="D923" s="1">
        <v>5</v>
      </c>
      <c r="E923" s="1">
        <v>1</v>
      </c>
      <c r="F923" t="s">
        <v>1623</v>
      </c>
      <c r="G923" s="1" t="str">
        <f>_xlfn.XLOOKUP(engagement[[#This Row],[SessionID]],session_data[SessionID],session_data[Traffic Source])</f>
        <v>Organic Search</v>
      </c>
    </row>
    <row r="924" spans="1:7" x14ac:dyDescent="0.25">
      <c r="A924" s="1" t="s">
        <v>1389</v>
      </c>
      <c r="B924" s="1">
        <v>244</v>
      </c>
      <c r="C924" s="1">
        <v>10</v>
      </c>
      <c r="D924" s="1">
        <v>3</v>
      </c>
      <c r="E924" s="1">
        <v>0</v>
      </c>
      <c r="F924" t="s">
        <v>1622</v>
      </c>
      <c r="G924" s="1" t="str">
        <f>_xlfn.XLOOKUP(engagement[[#This Row],[SessionID]],session_data[SessionID],session_data[Traffic Source])</f>
        <v>Social Media</v>
      </c>
    </row>
    <row r="925" spans="1:7" x14ac:dyDescent="0.25">
      <c r="A925" s="1" t="s">
        <v>1391</v>
      </c>
      <c r="B925" s="1">
        <v>33</v>
      </c>
      <c r="C925" s="1">
        <v>5</v>
      </c>
      <c r="D925" s="1">
        <v>5</v>
      </c>
      <c r="E925" s="1">
        <v>1</v>
      </c>
      <c r="F925" t="s">
        <v>1623</v>
      </c>
      <c r="G925" s="1" t="str">
        <f>_xlfn.XLOOKUP(engagement[[#This Row],[SessionID]],session_data[SessionID],session_data[Traffic Source])</f>
        <v>Organic Search</v>
      </c>
    </row>
    <row r="926" spans="1:7" x14ac:dyDescent="0.25">
      <c r="A926" s="1" t="s">
        <v>1393</v>
      </c>
      <c r="B926" s="1">
        <v>263</v>
      </c>
      <c r="C926" s="1">
        <v>11</v>
      </c>
      <c r="D926" s="1">
        <v>4</v>
      </c>
      <c r="E926" s="1">
        <v>0</v>
      </c>
      <c r="F926" t="s">
        <v>1622</v>
      </c>
      <c r="G926" s="1" t="str">
        <f>_xlfn.XLOOKUP(engagement[[#This Row],[SessionID]],session_data[SessionID],session_data[Traffic Source])</f>
        <v>Organic Search</v>
      </c>
    </row>
    <row r="927" spans="1:7" x14ac:dyDescent="0.25">
      <c r="A927" s="1" t="s">
        <v>1394</v>
      </c>
      <c r="B927" s="1">
        <v>196</v>
      </c>
      <c r="C927" s="1">
        <v>8</v>
      </c>
      <c r="D927" s="1">
        <v>4</v>
      </c>
      <c r="E927" s="1">
        <v>1</v>
      </c>
      <c r="F927" t="s">
        <v>1623</v>
      </c>
      <c r="G927" s="1" t="str">
        <f>_xlfn.XLOOKUP(engagement[[#This Row],[SessionID]],session_data[SessionID],session_data[Traffic Source])</f>
        <v>Organic Search</v>
      </c>
    </row>
    <row r="928" spans="1:7" x14ac:dyDescent="0.25">
      <c r="A928" s="1" t="s">
        <v>1395</v>
      </c>
      <c r="B928" s="1">
        <v>341</v>
      </c>
      <c r="C928" s="1">
        <v>14</v>
      </c>
      <c r="D928" s="1">
        <v>4</v>
      </c>
      <c r="E928" s="1">
        <v>0</v>
      </c>
      <c r="F928" t="s">
        <v>1622</v>
      </c>
      <c r="G928" s="1" t="str">
        <f>_xlfn.XLOOKUP(engagement[[#This Row],[SessionID]],session_data[SessionID],session_data[Traffic Source])</f>
        <v>Organic Search</v>
      </c>
    </row>
    <row r="929" spans="1:7" x14ac:dyDescent="0.25">
      <c r="A929" s="1" t="s">
        <v>1397</v>
      </c>
      <c r="B929" s="1">
        <v>87</v>
      </c>
      <c r="C929" s="1">
        <v>4</v>
      </c>
      <c r="D929" s="1">
        <v>3</v>
      </c>
      <c r="E929" s="1">
        <v>0</v>
      </c>
      <c r="F929" t="s">
        <v>1622</v>
      </c>
      <c r="G929" s="1" t="str">
        <f>_xlfn.XLOOKUP(engagement[[#This Row],[SessionID]],session_data[SessionID],session_data[Traffic Source])</f>
        <v>Direct</v>
      </c>
    </row>
    <row r="930" spans="1:7" x14ac:dyDescent="0.25">
      <c r="A930" s="1" t="s">
        <v>1399</v>
      </c>
      <c r="B930" s="1">
        <v>335</v>
      </c>
      <c r="C930" s="1">
        <v>13</v>
      </c>
      <c r="D930" s="1">
        <v>3</v>
      </c>
      <c r="E930" s="1">
        <v>1</v>
      </c>
      <c r="F930" t="s">
        <v>1623</v>
      </c>
      <c r="G930" s="1" t="str">
        <f>_xlfn.XLOOKUP(engagement[[#This Row],[SessionID]],session_data[SessionID],session_data[Traffic Source])</f>
        <v>Direct</v>
      </c>
    </row>
    <row r="931" spans="1:7" x14ac:dyDescent="0.25">
      <c r="A931" s="1" t="s">
        <v>1400</v>
      </c>
      <c r="B931" s="1">
        <v>108</v>
      </c>
      <c r="C931" s="1">
        <v>5</v>
      </c>
      <c r="D931" s="1">
        <v>3</v>
      </c>
      <c r="E931" s="1">
        <v>1</v>
      </c>
      <c r="F931" t="s">
        <v>1623</v>
      </c>
      <c r="G931" s="1" t="str">
        <f>_xlfn.XLOOKUP(engagement[[#This Row],[SessionID]],session_data[SessionID],session_data[Traffic Source])</f>
        <v>Direct</v>
      </c>
    </row>
    <row r="932" spans="1:7" x14ac:dyDescent="0.25">
      <c r="A932" s="1" t="s">
        <v>1401</v>
      </c>
      <c r="B932" s="1">
        <v>72</v>
      </c>
      <c r="C932" s="1">
        <v>5</v>
      </c>
      <c r="D932" s="1">
        <v>5</v>
      </c>
      <c r="E932" s="1">
        <v>1</v>
      </c>
      <c r="F932" t="s">
        <v>1623</v>
      </c>
      <c r="G932" s="1" t="str">
        <f>_xlfn.XLOOKUP(engagement[[#This Row],[SessionID]],session_data[SessionID],session_data[Traffic Source])</f>
        <v>Organic Search</v>
      </c>
    </row>
    <row r="933" spans="1:7" x14ac:dyDescent="0.25">
      <c r="A933" s="1" t="s">
        <v>1403</v>
      </c>
      <c r="B933" s="1">
        <v>306</v>
      </c>
      <c r="C933" s="1">
        <v>12</v>
      </c>
      <c r="D933" s="1">
        <v>4</v>
      </c>
      <c r="E933" s="1">
        <v>1</v>
      </c>
      <c r="F933" t="s">
        <v>1623</v>
      </c>
      <c r="G933" s="1" t="str">
        <f>_xlfn.XLOOKUP(engagement[[#This Row],[SessionID]],session_data[SessionID],session_data[Traffic Source])</f>
        <v>Organic Search</v>
      </c>
    </row>
    <row r="934" spans="1:7" x14ac:dyDescent="0.25">
      <c r="A934" s="1" t="s">
        <v>1404</v>
      </c>
      <c r="B934" s="1">
        <v>316</v>
      </c>
      <c r="C934" s="1">
        <v>13</v>
      </c>
      <c r="D934" s="1">
        <v>4</v>
      </c>
      <c r="E934" s="1">
        <v>0</v>
      </c>
      <c r="F934" t="s">
        <v>1622</v>
      </c>
      <c r="G934" s="1" t="str">
        <f>_xlfn.XLOOKUP(engagement[[#This Row],[SessionID]],session_data[SessionID],session_data[Traffic Source])</f>
        <v>Organic Search</v>
      </c>
    </row>
    <row r="935" spans="1:7" x14ac:dyDescent="0.25">
      <c r="A935" s="1" t="s">
        <v>1405</v>
      </c>
      <c r="B935" s="1">
        <v>207</v>
      </c>
      <c r="C935" s="1">
        <v>9</v>
      </c>
      <c r="D935" s="1">
        <v>4</v>
      </c>
      <c r="E935" s="1">
        <v>0</v>
      </c>
      <c r="F935" t="s">
        <v>1624</v>
      </c>
      <c r="G935" s="1" t="str">
        <f>_xlfn.XLOOKUP(engagement[[#This Row],[SessionID]],session_data[SessionID],session_data[Traffic Source])</f>
        <v>Paid Ads</v>
      </c>
    </row>
    <row r="936" spans="1:7" x14ac:dyDescent="0.25">
      <c r="A936" s="1" t="s">
        <v>1407</v>
      </c>
      <c r="B936" s="1">
        <v>361</v>
      </c>
      <c r="C936" s="1">
        <v>14</v>
      </c>
      <c r="D936" s="1">
        <v>3</v>
      </c>
      <c r="E936" s="1">
        <v>0</v>
      </c>
      <c r="F936" t="s">
        <v>1624</v>
      </c>
      <c r="G936" s="1" t="str">
        <f>_xlfn.XLOOKUP(engagement[[#This Row],[SessionID]],session_data[SessionID],session_data[Traffic Source])</f>
        <v>Organic Search</v>
      </c>
    </row>
    <row r="937" spans="1:7" x14ac:dyDescent="0.25">
      <c r="A937" s="1" t="s">
        <v>1409</v>
      </c>
      <c r="B937" s="1">
        <v>33</v>
      </c>
      <c r="C937" s="1">
        <v>1</v>
      </c>
      <c r="D937" s="1">
        <v>1</v>
      </c>
      <c r="E937" s="1">
        <v>1</v>
      </c>
      <c r="F937" t="s">
        <v>1623</v>
      </c>
      <c r="G937" s="1" t="str">
        <f>_xlfn.XLOOKUP(engagement[[#This Row],[SessionID]],session_data[SessionID],session_data[Traffic Source])</f>
        <v>Direct</v>
      </c>
    </row>
    <row r="938" spans="1:7" x14ac:dyDescent="0.25">
      <c r="A938" s="1" t="s">
        <v>1411</v>
      </c>
      <c r="B938" s="1">
        <v>67</v>
      </c>
      <c r="C938" s="1">
        <v>4</v>
      </c>
      <c r="D938" s="1">
        <v>1</v>
      </c>
      <c r="E938" s="1">
        <v>1</v>
      </c>
      <c r="F938" t="s">
        <v>1623</v>
      </c>
      <c r="G938" s="1" t="str">
        <f>_xlfn.XLOOKUP(engagement[[#This Row],[SessionID]],session_data[SessionID],session_data[Traffic Source])</f>
        <v>Direct</v>
      </c>
    </row>
    <row r="939" spans="1:7" x14ac:dyDescent="0.25">
      <c r="A939" s="1" t="s">
        <v>1412</v>
      </c>
      <c r="B939" s="1">
        <v>163</v>
      </c>
      <c r="C939" s="1">
        <v>7</v>
      </c>
      <c r="D939" s="1">
        <v>1</v>
      </c>
      <c r="E939" s="1">
        <v>1</v>
      </c>
      <c r="F939" t="s">
        <v>1623</v>
      </c>
      <c r="G939" s="1" t="str">
        <f>_xlfn.XLOOKUP(engagement[[#This Row],[SessionID]],session_data[SessionID],session_data[Traffic Source])</f>
        <v>Direct</v>
      </c>
    </row>
    <row r="940" spans="1:7" x14ac:dyDescent="0.25">
      <c r="A940" s="1" t="s">
        <v>1413</v>
      </c>
      <c r="B940" s="1">
        <v>94</v>
      </c>
      <c r="C940" s="1">
        <v>4</v>
      </c>
      <c r="D940" s="1">
        <v>3</v>
      </c>
      <c r="E940" s="1">
        <v>0</v>
      </c>
      <c r="F940" t="s">
        <v>1624</v>
      </c>
      <c r="G940" s="1" t="str">
        <f>_xlfn.XLOOKUP(engagement[[#This Row],[SessionID]],session_data[SessionID],session_data[Traffic Source])</f>
        <v>Direct</v>
      </c>
    </row>
    <row r="941" spans="1:7" x14ac:dyDescent="0.25">
      <c r="A941" s="1" t="s">
        <v>1414</v>
      </c>
      <c r="B941" s="1">
        <v>307</v>
      </c>
      <c r="C941" s="1">
        <v>12</v>
      </c>
      <c r="D941" s="1">
        <v>1</v>
      </c>
      <c r="E941" s="1">
        <v>0</v>
      </c>
      <c r="F941" t="s">
        <v>1622</v>
      </c>
      <c r="G941" s="1" t="str">
        <f>_xlfn.XLOOKUP(engagement[[#This Row],[SessionID]],session_data[SessionID],session_data[Traffic Source])</f>
        <v>Direct</v>
      </c>
    </row>
    <row r="942" spans="1:7" x14ac:dyDescent="0.25">
      <c r="A942" s="1" t="s">
        <v>1415</v>
      </c>
      <c r="B942" s="1">
        <v>294</v>
      </c>
      <c r="C942" s="1">
        <v>12</v>
      </c>
      <c r="D942" s="1">
        <v>3</v>
      </c>
      <c r="E942" s="1">
        <v>1</v>
      </c>
      <c r="F942" t="s">
        <v>1623</v>
      </c>
      <c r="G942" s="1" t="str">
        <f>_xlfn.XLOOKUP(engagement[[#This Row],[SessionID]],session_data[SessionID],session_data[Traffic Source])</f>
        <v>Organic Search</v>
      </c>
    </row>
    <row r="943" spans="1:7" x14ac:dyDescent="0.25">
      <c r="A943" s="1" t="s">
        <v>1417</v>
      </c>
      <c r="B943" s="1">
        <v>100</v>
      </c>
      <c r="C943" s="1">
        <v>4</v>
      </c>
      <c r="D943" s="1">
        <v>4</v>
      </c>
      <c r="E943" s="1">
        <v>1</v>
      </c>
      <c r="F943" t="s">
        <v>1623</v>
      </c>
      <c r="G943" s="1" t="str">
        <f>_xlfn.XLOOKUP(engagement[[#This Row],[SessionID]],session_data[SessionID],session_data[Traffic Source])</f>
        <v>Direct</v>
      </c>
    </row>
    <row r="944" spans="1:7" x14ac:dyDescent="0.25">
      <c r="A944" s="1" t="s">
        <v>1419</v>
      </c>
      <c r="B944" s="1">
        <v>187</v>
      </c>
      <c r="C944" s="1">
        <v>7</v>
      </c>
      <c r="D944" s="1">
        <v>3</v>
      </c>
      <c r="E944" s="1">
        <v>0</v>
      </c>
      <c r="F944" t="s">
        <v>1624</v>
      </c>
      <c r="G944" s="1" t="str">
        <f>_xlfn.XLOOKUP(engagement[[#This Row],[SessionID]],session_data[SessionID],session_data[Traffic Source])</f>
        <v>Organic Search</v>
      </c>
    </row>
    <row r="945" spans="1:7" x14ac:dyDescent="0.25">
      <c r="A945" s="1" t="s">
        <v>1421</v>
      </c>
      <c r="B945" s="1">
        <v>280</v>
      </c>
      <c r="C945" s="1">
        <v>11</v>
      </c>
      <c r="D945" s="1">
        <v>3</v>
      </c>
      <c r="E945" s="1">
        <v>1</v>
      </c>
      <c r="F945" t="s">
        <v>1623</v>
      </c>
      <c r="G945" s="1" t="str">
        <f>_xlfn.XLOOKUP(engagement[[#This Row],[SessionID]],session_data[SessionID],session_data[Traffic Source])</f>
        <v>Organic Search</v>
      </c>
    </row>
    <row r="946" spans="1:7" x14ac:dyDescent="0.25">
      <c r="A946" s="1" t="s">
        <v>1422</v>
      </c>
      <c r="B946" s="1">
        <v>220</v>
      </c>
      <c r="C946" s="1">
        <v>9</v>
      </c>
      <c r="D946" s="1">
        <v>3</v>
      </c>
      <c r="E946" s="1">
        <v>0</v>
      </c>
      <c r="F946" t="s">
        <v>1622</v>
      </c>
      <c r="G946" s="1" t="str">
        <f>_xlfn.XLOOKUP(engagement[[#This Row],[SessionID]],session_data[SessionID],session_data[Traffic Source])</f>
        <v>Organic Search</v>
      </c>
    </row>
    <row r="947" spans="1:7" x14ac:dyDescent="0.25">
      <c r="A947" s="1" t="s">
        <v>1423</v>
      </c>
      <c r="B947" s="1">
        <v>297</v>
      </c>
      <c r="C947" s="1">
        <v>12</v>
      </c>
      <c r="D947" s="1">
        <v>4</v>
      </c>
      <c r="E947" s="1">
        <v>1</v>
      </c>
      <c r="F947" t="s">
        <v>1623</v>
      </c>
      <c r="G947" s="1" t="str">
        <f>_xlfn.XLOOKUP(engagement[[#This Row],[SessionID]],session_data[SessionID],session_data[Traffic Source])</f>
        <v>Referral</v>
      </c>
    </row>
    <row r="948" spans="1:7" x14ac:dyDescent="0.25">
      <c r="A948" s="1" t="s">
        <v>1425</v>
      </c>
      <c r="B948" s="1">
        <v>176</v>
      </c>
      <c r="C948" s="1">
        <v>7</v>
      </c>
      <c r="D948" s="1">
        <v>4</v>
      </c>
      <c r="E948" s="1">
        <v>1</v>
      </c>
      <c r="F948" t="s">
        <v>1623</v>
      </c>
      <c r="G948" s="1" t="str">
        <f>_xlfn.XLOOKUP(engagement[[#This Row],[SessionID]],session_data[SessionID],session_data[Traffic Source])</f>
        <v>Referral</v>
      </c>
    </row>
    <row r="949" spans="1:7" x14ac:dyDescent="0.25">
      <c r="A949" s="1" t="s">
        <v>1426</v>
      </c>
      <c r="B949" s="1">
        <v>160</v>
      </c>
      <c r="C949" s="1">
        <v>6</v>
      </c>
      <c r="D949" s="1">
        <v>4</v>
      </c>
      <c r="E949" s="1">
        <v>0</v>
      </c>
      <c r="F949" t="s">
        <v>1622</v>
      </c>
      <c r="G949" s="1" t="str">
        <f>_xlfn.XLOOKUP(engagement[[#This Row],[SessionID]],session_data[SessionID],session_data[Traffic Source])</f>
        <v>Referral</v>
      </c>
    </row>
    <row r="950" spans="1:7" x14ac:dyDescent="0.25">
      <c r="A950" s="1" t="s">
        <v>1427</v>
      </c>
      <c r="B950" s="1">
        <v>35</v>
      </c>
      <c r="C950" s="1">
        <v>4</v>
      </c>
      <c r="D950" s="1">
        <v>4</v>
      </c>
      <c r="E950" s="1">
        <v>0</v>
      </c>
      <c r="F950" t="s">
        <v>1624</v>
      </c>
      <c r="G950" s="1" t="str">
        <f>_xlfn.XLOOKUP(engagement[[#This Row],[SessionID]],session_data[SessionID],session_data[Traffic Source])</f>
        <v>Referral</v>
      </c>
    </row>
    <row r="951" spans="1:7" x14ac:dyDescent="0.25">
      <c r="A951" s="1" t="s">
        <v>1428</v>
      </c>
      <c r="B951" s="1">
        <v>10</v>
      </c>
      <c r="C951" s="1">
        <v>5</v>
      </c>
      <c r="D951" s="1">
        <v>5</v>
      </c>
      <c r="E951" s="1">
        <v>1</v>
      </c>
      <c r="F951" t="s">
        <v>1623</v>
      </c>
      <c r="G951" s="1" t="str">
        <f>_xlfn.XLOOKUP(engagement[[#This Row],[SessionID]],session_data[SessionID],session_data[Traffic Source])</f>
        <v>Direct</v>
      </c>
    </row>
    <row r="952" spans="1:7" x14ac:dyDescent="0.25">
      <c r="A952" s="1" t="s">
        <v>1430</v>
      </c>
      <c r="B952" s="1">
        <v>204</v>
      </c>
      <c r="C952" s="1">
        <v>8</v>
      </c>
      <c r="D952" s="1">
        <v>5</v>
      </c>
      <c r="E952" s="1">
        <v>1</v>
      </c>
      <c r="F952" t="s">
        <v>1623</v>
      </c>
      <c r="G952" s="1" t="str">
        <f>_xlfn.XLOOKUP(engagement[[#This Row],[SessionID]],session_data[SessionID],session_data[Traffic Source])</f>
        <v>Direct</v>
      </c>
    </row>
    <row r="953" spans="1:7" x14ac:dyDescent="0.25">
      <c r="A953" s="1" t="s">
        <v>1431</v>
      </c>
      <c r="B953" s="1">
        <v>189</v>
      </c>
      <c r="C953" s="1">
        <v>8</v>
      </c>
      <c r="D953" s="1">
        <v>5</v>
      </c>
      <c r="E953" s="1">
        <v>1</v>
      </c>
      <c r="F953" t="s">
        <v>1623</v>
      </c>
      <c r="G953" s="1" t="str">
        <f>_xlfn.XLOOKUP(engagement[[#This Row],[SessionID]],session_data[SessionID],session_data[Traffic Source])</f>
        <v>Direct</v>
      </c>
    </row>
    <row r="954" spans="1:7" x14ac:dyDescent="0.25">
      <c r="A954" s="1" t="s">
        <v>1432</v>
      </c>
      <c r="B954" s="1">
        <v>89</v>
      </c>
      <c r="C954" s="1">
        <v>5</v>
      </c>
      <c r="D954" s="1">
        <v>4</v>
      </c>
      <c r="E954" s="1">
        <v>0</v>
      </c>
      <c r="F954" t="s">
        <v>1622</v>
      </c>
      <c r="G954" s="1" t="str">
        <f>_xlfn.XLOOKUP(engagement[[#This Row],[SessionID]],session_data[SessionID],session_data[Traffic Source])</f>
        <v>Direct</v>
      </c>
    </row>
    <row r="955" spans="1:7" x14ac:dyDescent="0.25">
      <c r="A955" s="1" t="s">
        <v>1433</v>
      </c>
      <c r="B955" s="1">
        <v>106</v>
      </c>
      <c r="C955" s="1">
        <v>5</v>
      </c>
      <c r="D955" s="1">
        <v>5</v>
      </c>
      <c r="E955" s="1">
        <v>1</v>
      </c>
      <c r="F955" t="s">
        <v>1623</v>
      </c>
      <c r="G955" s="1" t="str">
        <f>_xlfn.XLOOKUP(engagement[[#This Row],[SessionID]],session_data[SessionID],session_data[Traffic Source])</f>
        <v>Direct</v>
      </c>
    </row>
    <row r="956" spans="1:7" x14ac:dyDescent="0.25">
      <c r="A956" s="1" t="s">
        <v>1434</v>
      </c>
      <c r="B956" s="1">
        <v>254</v>
      </c>
      <c r="C956" s="1">
        <v>10</v>
      </c>
      <c r="D956" s="1">
        <v>4</v>
      </c>
      <c r="E956" s="1">
        <v>0</v>
      </c>
      <c r="F956" t="s">
        <v>1622</v>
      </c>
      <c r="G956" s="1" t="str">
        <f>_xlfn.XLOOKUP(engagement[[#This Row],[SessionID]],session_data[SessionID],session_data[Traffic Source])</f>
        <v>Referral</v>
      </c>
    </row>
    <row r="957" spans="1:7" x14ac:dyDescent="0.25">
      <c r="A957" s="1" t="s">
        <v>1436</v>
      </c>
      <c r="B957" s="1">
        <v>256</v>
      </c>
      <c r="C957" s="1">
        <v>10</v>
      </c>
      <c r="D957" s="1">
        <v>5</v>
      </c>
      <c r="E957" s="1">
        <v>1</v>
      </c>
      <c r="F957" t="s">
        <v>1623</v>
      </c>
      <c r="G957" s="1" t="str">
        <f>_xlfn.XLOOKUP(engagement[[#This Row],[SessionID]],session_data[SessionID],session_data[Traffic Source])</f>
        <v>Referral</v>
      </c>
    </row>
    <row r="958" spans="1:7" x14ac:dyDescent="0.25">
      <c r="A958" s="1" t="s">
        <v>1437</v>
      </c>
      <c r="B958" s="1">
        <v>351</v>
      </c>
      <c r="C958" s="1">
        <v>14</v>
      </c>
      <c r="D958" s="1">
        <v>5</v>
      </c>
      <c r="E958" s="1">
        <v>1</v>
      </c>
      <c r="F958" t="s">
        <v>1623</v>
      </c>
      <c r="G958" s="1" t="str">
        <f>_xlfn.XLOOKUP(engagement[[#This Row],[SessionID]],session_data[SessionID],session_data[Traffic Source])</f>
        <v>Referral</v>
      </c>
    </row>
    <row r="959" spans="1:7" x14ac:dyDescent="0.25">
      <c r="A959" s="1" t="s">
        <v>1438</v>
      </c>
      <c r="B959" s="1">
        <v>136</v>
      </c>
      <c r="C959" s="1">
        <v>5</v>
      </c>
      <c r="D959" s="1">
        <v>4</v>
      </c>
      <c r="E959" s="1">
        <v>0</v>
      </c>
      <c r="F959" t="s">
        <v>1622</v>
      </c>
      <c r="G959" s="1" t="str">
        <f>_xlfn.XLOOKUP(engagement[[#This Row],[SessionID]],session_data[SessionID],session_data[Traffic Source])</f>
        <v>Referral</v>
      </c>
    </row>
    <row r="960" spans="1:7" x14ac:dyDescent="0.25">
      <c r="A960" s="1" t="s">
        <v>1440</v>
      </c>
      <c r="B960" s="1">
        <v>220</v>
      </c>
      <c r="C960" s="1">
        <v>9</v>
      </c>
      <c r="D960" s="1">
        <v>3</v>
      </c>
      <c r="E960" s="1">
        <v>1</v>
      </c>
      <c r="F960" t="s">
        <v>1623</v>
      </c>
      <c r="G960" s="1" t="str">
        <f>_xlfn.XLOOKUP(engagement[[#This Row],[SessionID]],session_data[SessionID],session_data[Traffic Source])</f>
        <v>Social Media</v>
      </c>
    </row>
    <row r="961" spans="1:7" x14ac:dyDescent="0.25">
      <c r="A961" s="1" t="s">
        <v>1442</v>
      </c>
      <c r="B961" s="1">
        <v>15</v>
      </c>
      <c r="C961" s="1">
        <v>5</v>
      </c>
      <c r="D961" s="1">
        <v>5</v>
      </c>
      <c r="E961" s="1">
        <v>1</v>
      </c>
      <c r="F961" t="s">
        <v>1623</v>
      </c>
      <c r="G961" s="1" t="str">
        <f>_xlfn.XLOOKUP(engagement[[#This Row],[SessionID]],session_data[SessionID],session_data[Traffic Source])</f>
        <v>Paid Ads</v>
      </c>
    </row>
    <row r="962" spans="1:7" x14ac:dyDescent="0.25">
      <c r="A962" s="1" t="s">
        <v>1444</v>
      </c>
      <c r="B962" s="1">
        <v>169</v>
      </c>
      <c r="C962" s="1">
        <v>6</v>
      </c>
      <c r="D962" s="1">
        <v>5</v>
      </c>
      <c r="E962" s="1">
        <v>1</v>
      </c>
      <c r="F962" t="s">
        <v>1623</v>
      </c>
      <c r="G962" s="1" t="str">
        <f>_xlfn.XLOOKUP(engagement[[#This Row],[SessionID]],session_data[SessionID],session_data[Traffic Source])</f>
        <v>Paid Ads</v>
      </c>
    </row>
    <row r="963" spans="1:7" x14ac:dyDescent="0.25">
      <c r="A963" s="1" t="s">
        <v>1445</v>
      </c>
      <c r="B963" s="1">
        <v>22</v>
      </c>
      <c r="C963" s="1">
        <v>5</v>
      </c>
      <c r="D963" s="1">
        <v>4</v>
      </c>
      <c r="E963" s="1">
        <v>0</v>
      </c>
      <c r="F963" t="s">
        <v>1622</v>
      </c>
      <c r="G963" s="1" t="str">
        <f>_xlfn.XLOOKUP(engagement[[#This Row],[SessionID]],session_data[SessionID],session_data[Traffic Source])</f>
        <v>Paid Ads</v>
      </c>
    </row>
    <row r="964" spans="1:7" x14ac:dyDescent="0.25">
      <c r="A964" s="1" t="s">
        <v>1446</v>
      </c>
      <c r="B964" s="1">
        <v>10</v>
      </c>
      <c r="C964" s="1">
        <v>4</v>
      </c>
      <c r="D964" s="1">
        <v>4</v>
      </c>
      <c r="E964" s="1">
        <v>0</v>
      </c>
      <c r="F964" t="s">
        <v>1622</v>
      </c>
      <c r="G964" s="1" t="str">
        <f>_xlfn.XLOOKUP(engagement[[#This Row],[SessionID]],session_data[SessionID],session_data[Traffic Source])</f>
        <v>Direct</v>
      </c>
    </row>
    <row r="965" spans="1:7" x14ac:dyDescent="0.25">
      <c r="A965" s="1" t="s">
        <v>1448</v>
      </c>
      <c r="B965" s="1">
        <v>258</v>
      </c>
      <c r="C965" s="1">
        <v>11</v>
      </c>
      <c r="D965" s="1">
        <v>4</v>
      </c>
      <c r="E965" s="1">
        <v>1</v>
      </c>
      <c r="F965" t="s">
        <v>1623</v>
      </c>
      <c r="G965" s="1" t="str">
        <f>_xlfn.XLOOKUP(engagement[[#This Row],[SessionID]],session_data[SessionID],session_data[Traffic Source])</f>
        <v>Direct</v>
      </c>
    </row>
    <row r="966" spans="1:7" x14ac:dyDescent="0.25">
      <c r="A966" s="1" t="s">
        <v>1449</v>
      </c>
      <c r="B966" s="1">
        <v>342</v>
      </c>
      <c r="C966" s="1">
        <v>13</v>
      </c>
      <c r="D966" s="1">
        <v>1</v>
      </c>
      <c r="E966" s="1">
        <v>1</v>
      </c>
      <c r="F966" t="s">
        <v>1623</v>
      </c>
      <c r="G966" s="1" t="str">
        <f>_xlfn.XLOOKUP(engagement[[#This Row],[SessionID]],session_data[SessionID],session_data[Traffic Source])</f>
        <v>Direct</v>
      </c>
    </row>
    <row r="967" spans="1:7" x14ac:dyDescent="0.25">
      <c r="A967" s="1" t="s">
        <v>1451</v>
      </c>
      <c r="B967" s="1">
        <v>32</v>
      </c>
      <c r="C967" s="1">
        <v>3</v>
      </c>
      <c r="D967" s="1">
        <v>3</v>
      </c>
      <c r="E967" s="1">
        <v>0</v>
      </c>
      <c r="F967" t="s">
        <v>1624</v>
      </c>
      <c r="G967" s="1" t="str">
        <f>_xlfn.XLOOKUP(engagement[[#This Row],[SessionID]],session_data[SessionID],session_data[Traffic Source])</f>
        <v>Direct</v>
      </c>
    </row>
    <row r="968" spans="1:7" x14ac:dyDescent="0.25">
      <c r="A968" s="1" t="s">
        <v>1452</v>
      </c>
      <c r="B968" s="1">
        <v>119</v>
      </c>
      <c r="C968" s="1">
        <v>5</v>
      </c>
      <c r="D968" s="1">
        <v>2</v>
      </c>
      <c r="E968" s="1">
        <v>1</v>
      </c>
      <c r="F968" t="s">
        <v>1623</v>
      </c>
      <c r="G968" s="1" t="str">
        <f>_xlfn.XLOOKUP(engagement[[#This Row],[SessionID]],session_data[SessionID],session_data[Traffic Source])</f>
        <v>Organic Search</v>
      </c>
    </row>
    <row r="969" spans="1:7" x14ac:dyDescent="0.25">
      <c r="A969" s="1" t="s">
        <v>1454</v>
      </c>
      <c r="B969" s="1">
        <v>137</v>
      </c>
      <c r="C969" s="1">
        <v>6</v>
      </c>
      <c r="D969" s="1">
        <v>2</v>
      </c>
      <c r="E969" s="1">
        <v>1</v>
      </c>
      <c r="F969" t="s">
        <v>1623</v>
      </c>
      <c r="G969" s="1" t="str">
        <f>_xlfn.XLOOKUP(engagement[[#This Row],[SessionID]],session_data[SessionID],session_data[Traffic Source])</f>
        <v>Organic Search</v>
      </c>
    </row>
    <row r="970" spans="1:7" x14ac:dyDescent="0.25">
      <c r="A970" s="1" t="s">
        <v>1455</v>
      </c>
      <c r="B970" s="1">
        <v>214</v>
      </c>
      <c r="C970" s="1">
        <v>9</v>
      </c>
      <c r="D970" s="1">
        <v>2</v>
      </c>
      <c r="E970" s="1">
        <v>0</v>
      </c>
      <c r="F970" t="s">
        <v>1622</v>
      </c>
      <c r="G970" s="1" t="str">
        <f>_xlfn.XLOOKUP(engagement[[#This Row],[SessionID]],session_data[SessionID],session_data[Traffic Source])</f>
        <v>Organic Search</v>
      </c>
    </row>
    <row r="971" spans="1:7" x14ac:dyDescent="0.25">
      <c r="A971" s="1" t="s">
        <v>1456</v>
      </c>
      <c r="B971" s="1">
        <v>319</v>
      </c>
      <c r="C971" s="1">
        <v>13</v>
      </c>
      <c r="D971" s="1">
        <v>2</v>
      </c>
      <c r="E971" s="1">
        <v>1</v>
      </c>
      <c r="F971" t="s">
        <v>1623</v>
      </c>
      <c r="G971" s="1" t="str">
        <f>_xlfn.XLOOKUP(engagement[[#This Row],[SessionID]],session_data[SessionID],session_data[Traffic Source])</f>
        <v>Organic Search</v>
      </c>
    </row>
    <row r="972" spans="1:7" x14ac:dyDescent="0.25">
      <c r="A972" s="1" t="s">
        <v>1457</v>
      </c>
      <c r="B972" s="1">
        <v>226</v>
      </c>
      <c r="C972" s="1">
        <v>9</v>
      </c>
      <c r="D972" s="1">
        <v>4</v>
      </c>
      <c r="E972" s="1">
        <v>0</v>
      </c>
      <c r="F972" t="s">
        <v>1624</v>
      </c>
      <c r="G972" s="1" t="str">
        <f>_xlfn.XLOOKUP(engagement[[#This Row],[SessionID]],session_data[SessionID],session_data[Traffic Source])</f>
        <v>Direct</v>
      </c>
    </row>
    <row r="973" spans="1:7" x14ac:dyDescent="0.25">
      <c r="A973" s="1" t="s">
        <v>1459</v>
      </c>
      <c r="B973" s="1">
        <v>69</v>
      </c>
      <c r="C973" s="1">
        <v>5</v>
      </c>
      <c r="D973" s="1">
        <v>5</v>
      </c>
      <c r="E973" s="1">
        <v>1</v>
      </c>
      <c r="F973" t="s">
        <v>1623</v>
      </c>
      <c r="G973" s="1" t="str">
        <f>_xlfn.XLOOKUP(engagement[[#This Row],[SessionID]],session_data[SessionID],session_data[Traffic Source])</f>
        <v>Direct</v>
      </c>
    </row>
    <row r="974" spans="1:7" x14ac:dyDescent="0.25">
      <c r="A974" s="1" t="s">
        <v>1461</v>
      </c>
      <c r="B974" s="1">
        <v>326</v>
      </c>
      <c r="C974" s="1">
        <v>13</v>
      </c>
      <c r="D974" s="1">
        <v>5</v>
      </c>
      <c r="E974" s="1">
        <v>1</v>
      </c>
      <c r="F974" t="s">
        <v>1623</v>
      </c>
      <c r="G974" s="1" t="str">
        <f>_xlfn.XLOOKUP(engagement[[#This Row],[SessionID]],session_data[SessionID],session_data[Traffic Source])</f>
        <v>Direct</v>
      </c>
    </row>
    <row r="975" spans="1:7" x14ac:dyDescent="0.25">
      <c r="A975" s="1" t="s">
        <v>1462</v>
      </c>
      <c r="B975" s="1">
        <v>320</v>
      </c>
      <c r="C975" s="1">
        <v>13</v>
      </c>
      <c r="D975" s="1">
        <v>3</v>
      </c>
      <c r="E975" s="1">
        <v>1</v>
      </c>
      <c r="F975" t="s">
        <v>1623</v>
      </c>
      <c r="G975" s="1" t="str">
        <f>_xlfn.XLOOKUP(engagement[[#This Row],[SessionID]],session_data[SessionID],session_data[Traffic Source])</f>
        <v>Direct</v>
      </c>
    </row>
    <row r="976" spans="1:7" x14ac:dyDescent="0.25">
      <c r="A976" s="1" t="s">
        <v>1464</v>
      </c>
      <c r="B976" s="1">
        <v>27</v>
      </c>
      <c r="C976" s="1">
        <v>2</v>
      </c>
      <c r="D976" s="1">
        <v>2</v>
      </c>
      <c r="E976" s="1">
        <v>0</v>
      </c>
      <c r="F976" t="s">
        <v>1622</v>
      </c>
      <c r="G976" s="1" t="str">
        <f>_xlfn.XLOOKUP(engagement[[#This Row],[SessionID]],session_data[SessionID],session_data[Traffic Source])</f>
        <v>Referral</v>
      </c>
    </row>
    <row r="977" spans="1:7" x14ac:dyDescent="0.25">
      <c r="A977" s="1" t="s">
        <v>1466</v>
      </c>
      <c r="B977" s="1">
        <v>287</v>
      </c>
      <c r="C977" s="1">
        <v>11</v>
      </c>
      <c r="D977" s="1">
        <v>2</v>
      </c>
      <c r="E977" s="1">
        <v>0</v>
      </c>
      <c r="F977" t="s">
        <v>1622</v>
      </c>
      <c r="G977" s="1" t="str">
        <f>_xlfn.XLOOKUP(engagement[[#This Row],[SessionID]],session_data[SessionID],session_data[Traffic Source])</f>
        <v>Referral</v>
      </c>
    </row>
    <row r="978" spans="1:7" x14ac:dyDescent="0.25">
      <c r="A978" s="1" t="s">
        <v>1467</v>
      </c>
      <c r="B978" s="1">
        <v>116</v>
      </c>
      <c r="C978" s="1">
        <v>5</v>
      </c>
      <c r="D978" s="1">
        <v>4</v>
      </c>
      <c r="E978" s="1">
        <v>1</v>
      </c>
      <c r="F978" t="s">
        <v>1623</v>
      </c>
      <c r="G978" s="1" t="str">
        <f>_xlfn.XLOOKUP(engagement[[#This Row],[SessionID]],session_data[SessionID],session_data[Traffic Source])</f>
        <v>Paid Ads</v>
      </c>
    </row>
    <row r="979" spans="1:7" x14ac:dyDescent="0.25">
      <c r="A979" s="1" t="s">
        <v>1469</v>
      </c>
      <c r="B979" s="1">
        <v>81</v>
      </c>
      <c r="C979" s="1">
        <v>5</v>
      </c>
      <c r="D979" s="1">
        <v>5</v>
      </c>
      <c r="E979" s="1">
        <v>1</v>
      </c>
      <c r="F979" t="s">
        <v>1623</v>
      </c>
      <c r="G979" s="1" t="str">
        <f>_xlfn.XLOOKUP(engagement[[#This Row],[SessionID]],session_data[SessionID],session_data[Traffic Source])</f>
        <v>Direct</v>
      </c>
    </row>
    <row r="980" spans="1:7" x14ac:dyDescent="0.25">
      <c r="A980" s="1" t="s">
        <v>1471</v>
      </c>
      <c r="B980" s="1">
        <v>308</v>
      </c>
      <c r="C980" s="1">
        <v>12</v>
      </c>
      <c r="D980" s="1">
        <v>3</v>
      </c>
      <c r="E980" s="1">
        <v>1</v>
      </c>
      <c r="F980" t="s">
        <v>1623</v>
      </c>
      <c r="G980" s="1" t="str">
        <f>_xlfn.XLOOKUP(engagement[[#This Row],[SessionID]],session_data[SessionID],session_data[Traffic Source])</f>
        <v>Paid Ads</v>
      </c>
    </row>
    <row r="981" spans="1:7" x14ac:dyDescent="0.25">
      <c r="A981" s="1" t="s">
        <v>1473</v>
      </c>
      <c r="B981" s="1">
        <v>338</v>
      </c>
      <c r="C981" s="1">
        <v>13</v>
      </c>
      <c r="D981" s="1">
        <v>4</v>
      </c>
      <c r="E981" s="1">
        <v>0</v>
      </c>
      <c r="F981" t="s">
        <v>1622</v>
      </c>
      <c r="G981" s="1" t="str">
        <f>_xlfn.XLOOKUP(engagement[[#This Row],[SessionID]],session_data[SessionID],session_data[Traffic Source])</f>
        <v>Direct</v>
      </c>
    </row>
    <row r="982" spans="1:7" x14ac:dyDescent="0.25">
      <c r="A982" s="1" t="s">
        <v>1475</v>
      </c>
      <c r="B982" s="1">
        <v>105</v>
      </c>
      <c r="C982" s="1">
        <v>4</v>
      </c>
      <c r="D982" s="1">
        <v>4</v>
      </c>
      <c r="E982" s="1">
        <v>0</v>
      </c>
      <c r="F982" t="s">
        <v>1624</v>
      </c>
      <c r="G982" s="1" t="str">
        <f>_xlfn.XLOOKUP(engagement[[#This Row],[SessionID]],session_data[SessionID],session_data[Traffic Source])</f>
        <v>Direct</v>
      </c>
    </row>
    <row r="983" spans="1:7" x14ac:dyDescent="0.25">
      <c r="A983" s="1" t="s">
        <v>1476</v>
      </c>
      <c r="B983" s="1">
        <v>109</v>
      </c>
      <c r="C983" s="1">
        <v>5</v>
      </c>
      <c r="D983" s="1">
        <v>4</v>
      </c>
      <c r="E983" s="1">
        <v>0</v>
      </c>
      <c r="F983" t="s">
        <v>1622</v>
      </c>
      <c r="G983" s="1" t="str">
        <f>_xlfn.XLOOKUP(engagement[[#This Row],[SessionID]],session_data[SessionID],session_data[Traffic Source])</f>
        <v>Direct</v>
      </c>
    </row>
    <row r="984" spans="1:7" x14ac:dyDescent="0.25">
      <c r="A984" s="1" t="s">
        <v>1478</v>
      </c>
      <c r="B984" s="1">
        <v>299</v>
      </c>
      <c r="C984" s="1">
        <v>12</v>
      </c>
      <c r="D984" s="1">
        <v>5</v>
      </c>
      <c r="E984" s="1">
        <v>1</v>
      </c>
      <c r="F984" t="s">
        <v>1623</v>
      </c>
      <c r="G984" s="1" t="str">
        <f>_xlfn.XLOOKUP(engagement[[#This Row],[SessionID]],session_data[SessionID],session_data[Traffic Source])</f>
        <v>Direct</v>
      </c>
    </row>
    <row r="985" spans="1:7" x14ac:dyDescent="0.25">
      <c r="A985" s="1" t="s">
        <v>1479</v>
      </c>
      <c r="B985" s="1">
        <v>176</v>
      </c>
      <c r="C985" s="1">
        <v>7</v>
      </c>
      <c r="D985" s="1">
        <v>4</v>
      </c>
      <c r="E985" s="1">
        <v>0</v>
      </c>
      <c r="F985" t="s">
        <v>1624</v>
      </c>
      <c r="G985" s="1" t="str">
        <f>_xlfn.XLOOKUP(engagement[[#This Row],[SessionID]],session_data[SessionID],session_data[Traffic Source])</f>
        <v>Direct</v>
      </c>
    </row>
    <row r="986" spans="1:7" x14ac:dyDescent="0.25">
      <c r="A986" s="1" t="s">
        <v>1480</v>
      </c>
      <c r="B986" s="1">
        <v>154</v>
      </c>
      <c r="C986" s="1">
        <v>6</v>
      </c>
      <c r="D986" s="1">
        <v>4</v>
      </c>
      <c r="E986" s="1">
        <v>0</v>
      </c>
      <c r="F986" t="s">
        <v>1624</v>
      </c>
      <c r="G986" s="1" t="str">
        <f>_xlfn.XLOOKUP(engagement[[#This Row],[SessionID]],session_data[SessionID],session_data[Traffic Source])</f>
        <v>Social Media</v>
      </c>
    </row>
    <row r="987" spans="1:7" x14ac:dyDescent="0.25">
      <c r="A987" s="1" t="s">
        <v>1482</v>
      </c>
      <c r="B987" s="1">
        <v>351</v>
      </c>
      <c r="C987" s="1">
        <v>14</v>
      </c>
      <c r="D987" s="1">
        <v>4</v>
      </c>
      <c r="E987" s="1">
        <v>0</v>
      </c>
      <c r="F987" t="s">
        <v>1622</v>
      </c>
      <c r="G987" s="1" t="str">
        <f>_xlfn.XLOOKUP(engagement[[#This Row],[SessionID]],session_data[SessionID],session_data[Traffic Source])</f>
        <v>Social Media</v>
      </c>
    </row>
    <row r="988" spans="1:7" x14ac:dyDescent="0.25">
      <c r="A988" s="1" t="s">
        <v>1483</v>
      </c>
      <c r="B988" s="1">
        <v>22</v>
      </c>
      <c r="C988" s="1">
        <v>5</v>
      </c>
      <c r="D988" s="1">
        <v>5</v>
      </c>
      <c r="E988" s="1">
        <v>1</v>
      </c>
      <c r="F988" t="s">
        <v>1623</v>
      </c>
      <c r="G988" s="1" t="str">
        <f>_xlfn.XLOOKUP(engagement[[#This Row],[SessionID]],session_data[SessionID],session_data[Traffic Source])</f>
        <v>Organic Search</v>
      </c>
    </row>
    <row r="989" spans="1:7" x14ac:dyDescent="0.25">
      <c r="A989" s="1" t="s">
        <v>1485</v>
      </c>
      <c r="B989" s="1">
        <v>158</v>
      </c>
      <c r="C989" s="1">
        <v>6</v>
      </c>
      <c r="D989" s="1">
        <v>3</v>
      </c>
      <c r="E989" s="1">
        <v>0</v>
      </c>
      <c r="F989" t="s">
        <v>1624</v>
      </c>
      <c r="G989" s="1" t="str">
        <f>_xlfn.XLOOKUP(engagement[[#This Row],[SessionID]],session_data[SessionID],session_data[Traffic Source])</f>
        <v>Organic Search</v>
      </c>
    </row>
    <row r="990" spans="1:7" x14ac:dyDescent="0.25">
      <c r="A990" s="1" t="s">
        <v>1486</v>
      </c>
      <c r="B990" s="1">
        <v>312</v>
      </c>
      <c r="C990" s="1">
        <v>13</v>
      </c>
      <c r="D990" s="1">
        <v>3</v>
      </c>
      <c r="E990" s="1">
        <v>1</v>
      </c>
      <c r="F990" t="s">
        <v>1623</v>
      </c>
      <c r="G990" s="1" t="str">
        <f>_xlfn.XLOOKUP(engagement[[#This Row],[SessionID]],session_data[SessionID],session_data[Traffic Source])</f>
        <v>Organic Search</v>
      </c>
    </row>
    <row r="991" spans="1:7" x14ac:dyDescent="0.25">
      <c r="A991" s="1" t="s">
        <v>1487</v>
      </c>
      <c r="B991" s="1">
        <v>62</v>
      </c>
      <c r="C991" s="1">
        <v>3</v>
      </c>
      <c r="D991" s="1">
        <v>3</v>
      </c>
      <c r="E991" s="1">
        <v>0</v>
      </c>
      <c r="F991" t="s">
        <v>1622</v>
      </c>
      <c r="G991" s="1" t="str">
        <f>_xlfn.XLOOKUP(engagement[[#This Row],[SessionID]],session_data[SessionID],session_data[Traffic Source])</f>
        <v>Organic Search</v>
      </c>
    </row>
    <row r="992" spans="1:7" x14ac:dyDescent="0.25">
      <c r="A992" s="1" t="s">
        <v>1488</v>
      </c>
      <c r="B992" s="1">
        <v>179</v>
      </c>
      <c r="C992" s="1">
        <v>7</v>
      </c>
      <c r="D992" s="1">
        <v>3</v>
      </c>
      <c r="E992" s="1">
        <v>1</v>
      </c>
      <c r="F992" t="s">
        <v>1623</v>
      </c>
      <c r="G992" s="1" t="str">
        <f>_xlfn.XLOOKUP(engagement[[#This Row],[SessionID]],session_data[SessionID],session_data[Traffic Source])</f>
        <v>Organic Search</v>
      </c>
    </row>
    <row r="993" spans="1:7" x14ac:dyDescent="0.25">
      <c r="A993" s="1" t="s">
        <v>1489</v>
      </c>
      <c r="B993" s="1">
        <v>319</v>
      </c>
      <c r="C993" s="1">
        <v>13</v>
      </c>
      <c r="D993" s="1">
        <v>5</v>
      </c>
      <c r="E993" s="1">
        <v>1</v>
      </c>
      <c r="F993" t="s">
        <v>1623</v>
      </c>
      <c r="G993" s="1" t="str">
        <f>_xlfn.XLOOKUP(engagement[[#This Row],[SessionID]],session_data[SessionID],session_data[Traffic Source])</f>
        <v>Organic Search</v>
      </c>
    </row>
    <row r="994" spans="1:7" x14ac:dyDescent="0.25">
      <c r="A994" s="1" t="s">
        <v>1491</v>
      </c>
      <c r="B994" s="1">
        <v>134</v>
      </c>
      <c r="C994" s="1">
        <v>6</v>
      </c>
      <c r="D994" s="1">
        <v>4</v>
      </c>
      <c r="E994" s="1">
        <v>0</v>
      </c>
      <c r="F994" t="s">
        <v>1622</v>
      </c>
      <c r="G994" s="1" t="str">
        <f>_xlfn.XLOOKUP(engagement[[#This Row],[SessionID]],session_data[SessionID],session_data[Traffic Source])</f>
        <v>Direct</v>
      </c>
    </row>
    <row r="995" spans="1:7" x14ac:dyDescent="0.25">
      <c r="A995" s="1" t="s">
        <v>1493</v>
      </c>
      <c r="B995" s="1">
        <v>205</v>
      </c>
      <c r="C995" s="1">
        <v>8</v>
      </c>
      <c r="D995" s="1">
        <v>3</v>
      </c>
      <c r="E995" s="1">
        <v>1</v>
      </c>
      <c r="F995" t="s">
        <v>1623</v>
      </c>
      <c r="G995" s="1" t="str">
        <f>_xlfn.XLOOKUP(engagement[[#This Row],[SessionID]],session_data[SessionID],session_data[Traffic Source])</f>
        <v>Organic Search</v>
      </c>
    </row>
    <row r="996" spans="1:7" x14ac:dyDescent="0.25">
      <c r="A996" s="1" t="s">
        <v>1495</v>
      </c>
      <c r="B996" s="1">
        <v>279</v>
      </c>
      <c r="C996" s="1">
        <v>11</v>
      </c>
      <c r="D996" s="1">
        <v>3</v>
      </c>
      <c r="E996" s="1">
        <v>1</v>
      </c>
      <c r="F996" t="s">
        <v>1623</v>
      </c>
      <c r="G996" s="1" t="str">
        <f>_xlfn.XLOOKUP(engagement[[#This Row],[SessionID]],session_data[SessionID],session_data[Traffic Source])</f>
        <v>Organic Search</v>
      </c>
    </row>
    <row r="997" spans="1:7" x14ac:dyDescent="0.25">
      <c r="A997" s="1" t="s">
        <v>1496</v>
      </c>
      <c r="B997" s="1">
        <v>11</v>
      </c>
      <c r="C997" s="1">
        <v>5</v>
      </c>
      <c r="D997" s="1">
        <v>5</v>
      </c>
      <c r="E997" s="1">
        <v>1</v>
      </c>
      <c r="F997" t="s">
        <v>1623</v>
      </c>
      <c r="G997" s="1" t="str">
        <f>_xlfn.XLOOKUP(engagement[[#This Row],[SessionID]],session_data[SessionID],session_data[Traffic Source])</f>
        <v>Organic Search</v>
      </c>
    </row>
    <row r="998" spans="1:7" x14ac:dyDescent="0.25">
      <c r="A998" s="1" t="s">
        <v>1497</v>
      </c>
      <c r="B998" s="1">
        <v>176</v>
      </c>
      <c r="C998" s="1">
        <v>7</v>
      </c>
      <c r="D998" s="1">
        <v>3</v>
      </c>
      <c r="E998" s="1">
        <v>1</v>
      </c>
      <c r="F998" t="s">
        <v>1623</v>
      </c>
      <c r="G998" s="1" t="str">
        <f>_xlfn.XLOOKUP(engagement[[#This Row],[SessionID]],session_data[SessionID],session_data[Traffic Source])</f>
        <v>Organic Search</v>
      </c>
    </row>
    <row r="999" spans="1:7" x14ac:dyDescent="0.25">
      <c r="A999" s="1" t="s">
        <v>1498</v>
      </c>
      <c r="B999" s="1">
        <v>229</v>
      </c>
      <c r="C999" s="1">
        <v>9</v>
      </c>
      <c r="D999" s="1">
        <v>5</v>
      </c>
      <c r="E999" s="1">
        <v>1</v>
      </c>
      <c r="F999" t="s">
        <v>1623</v>
      </c>
      <c r="G999" s="1" t="str">
        <f>_xlfn.XLOOKUP(engagement[[#This Row],[SessionID]],session_data[SessionID],session_data[Traffic Source])</f>
        <v>Direct</v>
      </c>
    </row>
    <row r="1000" spans="1:7" x14ac:dyDescent="0.25">
      <c r="A1000" s="1" t="s">
        <v>1500</v>
      </c>
      <c r="B1000" s="1">
        <v>362</v>
      </c>
      <c r="C1000" s="1">
        <v>14</v>
      </c>
      <c r="D1000" s="1">
        <v>4</v>
      </c>
      <c r="E1000" s="1">
        <v>0</v>
      </c>
      <c r="F1000" t="s">
        <v>1622</v>
      </c>
      <c r="G1000" s="1" t="str">
        <f>_xlfn.XLOOKUP(engagement[[#This Row],[SessionID]],session_data[SessionID],session_data[Traffic Source])</f>
        <v>Social Media</v>
      </c>
    </row>
    <row r="1001" spans="1:7" x14ac:dyDescent="0.25">
      <c r="A1001" s="1" t="s">
        <v>1502</v>
      </c>
      <c r="B1001" s="1">
        <v>198</v>
      </c>
      <c r="C1001" s="1">
        <v>8</v>
      </c>
      <c r="D1001" s="1">
        <v>4</v>
      </c>
      <c r="E1001" s="1">
        <v>0</v>
      </c>
      <c r="F1001" t="s">
        <v>1624</v>
      </c>
      <c r="G1001" s="1" t="str">
        <f>_xlfn.XLOOKUP(engagement[[#This Row],[SessionID]],session_data[SessionID],session_data[Traffic Source])</f>
        <v>Social Media</v>
      </c>
    </row>
    <row r="1002" spans="1:7" x14ac:dyDescent="0.25">
      <c r="A1002" s="1" t="s">
        <v>1503</v>
      </c>
      <c r="B1002" s="1">
        <v>53</v>
      </c>
      <c r="C1002" s="1">
        <v>4</v>
      </c>
      <c r="D1002" s="1">
        <v>4</v>
      </c>
      <c r="E1002" s="1">
        <v>0</v>
      </c>
      <c r="F1002" t="s">
        <v>1622</v>
      </c>
      <c r="G1002" s="1" t="str">
        <f>_xlfn.XLOOKUP(engagement[[#This Row],[SessionID]],session_data[SessionID],session_data[Traffic Source])</f>
        <v>Social Media</v>
      </c>
    </row>
    <row r="1003" spans="1:7" x14ac:dyDescent="0.25">
      <c r="A1003" s="1" t="s">
        <v>1504</v>
      </c>
      <c r="B1003" s="1">
        <v>82</v>
      </c>
      <c r="C1003" s="1">
        <v>4</v>
      </c>
      <c r="D1003" s="1">
        <v>4</v>
      </c>
      <c r="E1003" s="1">
        <v>0</v>
      </c>
      <c r="F1003" t="s">
        <v>1622</v>
      </c>
      <c r="G1003" s="1" t="str">
        <f>_xlfn.XLOOKUP(engagement[[#This Row],[SessionID]],session_data[SessionID],session_data[Traffic Source])</f>
        <v>Social Media</v>
      </c>
    </row>
    <row r="1004" spans="1:7" x14ac:dyDescent="0.25">
      <c r="A1004" s="1" t="s">
        <v>1505</v>
      </c>
      <c r="B1004" s="1">
        <v>184</v>
      </c>
      <c r="C1004" s="1">
        <v>8</v>
      </c>
      <c r="D1004" s="1">
        <v>4</v>
      </c>
      <c r="E1004" s="1">
        <v>1</v>
      </c>
      <c r="F1004" t="s">
        <v>1623</v>
      </c>
      <c r="G1004" s="1" t="str">
        <f>_xlfn.XLOOKUP(engagement[[#This Row],[SessionID]],session_data[SessionID],session_data[Traffic Source])</f>
        <v>Social Media</v>
      </c>
    </row>
    <row r="1005" spans="1:7" x14ac:dyDescent="0.25">
      <c r="A1005" s="1" t="s">
        <v>1506</v>
      </c>
      <c r="B1005" s="1">
        <v>36</v>
      </c>
      <c r="C1005" s="1">
        <v>5</v>
      </c>
      <c r="D1005" s="1">
        <v>5</v>
      </c>
      <c r="E1005" s="1">
        <v>1</v>
      </c>
      <c r="F1005" t="s">
        <v>1623</v>
      </c>
      <c r="G1005" s="1" t="str">
        <f>_xlfn.XLOOKUP(engagement[[#This Row],[SessionID]],session_data[SessionID],session_data[Traffic Source])</f>
        <v>Organic Search</v>
      </c>
    </row>
    <row r="1006" spans="1:7" x14ac:dyDescent="0.25">
      <c r="A1006" s="1" t="s">
        <v>1508</v>
      </c>
      <c r="B1006" s="1">
        <v>334</v>
      </c>
      <c r="C1006" s="1">
        <v>13</v>
      </c>
      <c r="D1006" s="1">
        <v>2</v>
      </c>
      <c r="E1006" s="1">
        <v>1</v>
      </c>
      <c r="F1006" t="s">
        <v>1623</v>
      </c>
      <c r="G1006" s="1" t="str">
        <f>_xlfn.XLOOKUP(engagement[[#This Row],[SessionID]],session_data[SessionID],session_data[Traffic Source])</f>
        <v>Paid Ads</v>
      </c>
    </row>
    <row r="1007" spans="1:7" x14ac:dyDescent="0.25">
      <c r="A1007" s="1" t="s">
        <v>1510</v>
      </c>
      <c r="B1007" s="1">
        <v>136</v>
      </c>
      <c r="C1007" s="1">
        <v>6</v>
      </c>
      <c r="D1007" s="1">
        <v>2</v>
      </c>
      <c r="E1007" s="1">
        <v>0</v>
      </c>
      <c r="F1007" t="s">
        <v>1622</v>
      </c>
      <c r="G1007" s="1" t="str">
        <f>_xlfn.XLOOKUP(engagement[[#This Row],[SessionID]],session_data[SessionID],session_data[Traffic Source])</f>
        <v>Paid Ads</v>
      </c>
    </row>
    <row r="1008" spans="1:7" x14ac:dyDescent="0.25">
      <c r="A1008" s="1" t="s">
        <v>1511</v>
      </c>
      <c r="B1008" s="1">
        <v>306</v>
      </c>
      <c r="C1008" s="1">
        <v>13</v>
      </c>
      <c r="D1008" s="1">
        <v>2</v>
      </c>
      <c r="E1008" s="1">
        <v>0</v>
      </c>
      <c r="F1008" t="s">
        <v>1622</v>
      </c>
      <c r="G1008" s="1" t="str">
        <f>_xlfn.XLOOKUP(engagement[[#This Row],[SessionID]],session_data[SessionID],session_data[Traffic Source])</f>
        <v>Paid Ads</v>
      </c>
    </row>
    <row r="1009" spans="1:7" x14ac:dyDescent="0.25">
      <c r="A1009" s="1" t="s">
        <v>1512</v>
      </c>
      <c r="B1009" s="1">
        <v>111</v>
      </c>
      <c r="C1009" s="1">
        <v>5</v>
      </c>
      <c r="D1009" s="1">
        <v>2</v>
      </c>
      <c r="E1009" s="1">
        <v>1</v>
      </c>
      <c r="F1009" t="s">
        <v>1623</v>
      </c>
      <c r="G1009" s="1" t="str">
        <f>_xlfn.XLOOKUP(engagement[[#This Row],[SessionID]],session_data[SessionID],session_data[Traffic Source])</f>
        <v>Paid Ads</v>
      </c>
    </row>
    <row r="1010" spans="1:7" x14ac:dyDescent="0.25">
      <c r="A1010" s="1" t="s">
        <v>1513</v>
      </c>
      <c r="B1010" s="1">
        <v>63</v>
      </c>
      <c r="C1010" s="1">
        <v>3</v>
      </c>
      <c r="D1010" s="1">
        <v>2</v>
      </c>
      <c r="E1010" s="1">
        <v>1</v>
      </c>
      <c r="F1010" t="s">
        <v>1623</v>
      </c>
      <c r="G1010" s="1" t="str">
        <f>_xlfn.XLOOKUP(engagement[[#This Row],[SessionID]],session_data[SessionID],session_data[Traffic Source])</f>
        <v>Paid Ads</v>
      </c>
    </row>
    <row r="1011" spans="1:7" x14ac:dyDescent="0.25">
      <c r="A1011" s="1" t="s">
        <v>1514</v>
      </c>
      <c r="B1011" s="1">
        <v>74</v>
      </c>
      <c r="C1011" s="1">
        <v>3</v>
      </c>
      <c r="D1011" s="1">
        <v>1</v>
      </c>
      <c r="E1011" s="1">
        <v>1</v>
      </c>
      <c r="F1011" t="s">
        <v>1623</v>
      </c>
      <c r="G1011" s="1" t="str">
        <f>_xlfn.XLOOKUP(engagement[[#This Row],[SessionID]],session_data[SessionID],session_data[Traffic Source])</f>
        <v>Referral</v>
      </c>
    </row>
    <row r="1012" spans="1:7" x14ac:dyDescent="0.25">
      <c r="A1012" s="1" t="s">
        <v>1516</v>
      </c>
      <c r="B1012" s="1">
        <v>269</v>
      </c>
      <c r="C1012" s="1">
        <v>11</v>
      </c>
      <c r="D1012" s="1">
        <v>5</v>
      </c>
      <c r="E1012" s="1">
        <v>1</v>
      </c>
      <c r="F1012" t="s">
        <v>1623</v>
      </c>
      <c r="G1012" s="1" t="str">
        <f>_xlfn.XLOOKUP(engagement[[#This Row],[SessionID]],session_data[SessionID],session_data[Traffic Source])</f>
        <v>Organic Search</v>
      </c>
    </row>
    <row r="1013" spans="1:7" x14ac:dyDescent="0.25">
      <c r="A1013" s="1" t="s">
        <v>1518</v>
      </c>
      <c r="B1013" s="1">
        <v>151</v>
      </c>
      <c r="C1013" s="1">
        <v>7</v>
      </c>
      <c r="D1013" s="1">
        <v>5</v>
      </c>
      <c r="E1013" s="1">
        <v>1</v>
      </c>
      <c r="F1013" t="s">
        <v>1623</v>
      </c>
      <c r="G1013" s="1" t="str">
        <f>_xlfn.XLOOKUP(engagement[[#This Row],[SessionID]],session_data[SessionID],session_data[Traffic Source])</f>
        <v>Organic Search</v>
      </c>
    </row>
    <row r="1014" spans="1:7" x14ac:dyDescent="0.25">
      <c r="A1014" s="1" t="s">
        <v>1519</v>
      </c>
      <c r="B1014" s="1">
        <v>330</v>
      </c>
      <c r="C1014" s="1">
        <v>13</v>
      </c>
      <c r="D1014" s="1">
        <v>5</v>
      </c>
      <c r="E1014" s="1">
        <v>1</v>
      </c>
      <c r="F1014" t="s">
        <v>1623</v>
      </c>
      <c r="G1014" s="1" t="str">
        <f>_xlfn.XLOOKUP(engagement[[#This Row],[SessionID]],session_data[SessionID],session_data[Traffic Source])</f>
        <v>Organic Search</v>
      </c>
    </row>
    <row r="1015" spans="1:7" x14ac:dyDescent="0.25">
      <c r="A1015" s="1" t="s">
        <v>1520</v>
      </c>
      <c r="B1015" s="1">
        <v>109</v>
      </c>
      <c r="C1015" s="1">
        <v>5</v>
      </c>
      <c r="D1015" s="1">
        <v>5</v>
      </c>
      <c r="E1015" s="1">
        <v>1</v>
      </c>
      <c r="F1015" t="s">
        <v>1623</v>
      </c>
      <c r="G1015" s="1" t="str">
        <f>_xlfn.XLOOKUP(engagement[[#This Row],[SessionID]],session_data[SessionID],session_data[Traffic Source])</f>
        <v>Organic Search</v>
      </c>
    </row>
    <row r="1016" spans="1:7" x14ac:dyDescent="0.25">
      <c r="A1016" s="1" t="s">
        <v>1521</v>
      </c>
      <c r="B1016" s="1">
        <v>104</v>
      </c>
      <c r="C1016" s="1">
        <v>4</v>
      </c>
      <c r="D1016" s="1">
        <v>3</v>
      </c>
      <c r="E1016" s="1">
        <v>1</v>
      </c>
      <c r="F1016" t="s">
        <v>1623</v>
      </c>
      <c r="G1016" s="1" t="str">
        <f>_xlfn.XLOOKUP(engagement[[#This Row],[SessionID]],session_data[SessionID],session_data[Traffic Source])</f>
        <v>Organic Search</v>
      </c>
    </row>
    <row r="1017" spans="1:7" x14ac:dyDescent="0.25">
      <c r="A1017" s="1" t="s">
        <v>1523</v>
      </c>
      <c r="B1017" s="1">
        <v>161</v>
      </c>
      <c r="C1017" s="1">
        <v>6</v>
      </c>
      <c r="D1017" s="1">
        <v>3</v>
      </c>
      <c r="E1017" s="1">
        <v>0</v>
      </c>
      <c r="F1017" t="s">
        <v>1622</v>
      </c>
      <c r="G1017" s="1" t="str">
        <f>_xlfn.XLOOKUP(engagement[[#This Row],[SessionID]],session_data[SessionID],session_data[Traffic Source])</f>
        <v>Organic Search</v>
      </c>
    </row>
    <row r="1018" spans="1:7" x14ac:dyDescent="0.25">
      <c r="A1018" s="1" t="s">
        <v>1524</v>
      </c>
      <c r="B1018" s="1">
        <v>218</v>
      </c>
      <c r="C1018" s="1">
        <v>9</v>
      </c>
      <c r="D1018" s="1">
        <v>5</v>
      </c>
      <c r="E1018" s="1">
        <v>1</v>
      </c>
      <c r="F1018" t="s">
        <v>1623</v>
      </c>
      <c r="G1018" s="1" t="str">
        <f>_xlfn.XLOOKUP(engagement[[#This Row],[SessionID]],session_data[SessionID],session_data[Traffic Source])</f>
        <v>Referral</v>
      </c>
    </row>
    <row r="1019" spans="1:7" x14ac:dyDescent="0.25">
      <c r="A1019" s="1" t="s">
        <v>1526</v>
      </c>
      <c r="B1019" s="1">
        <v>314</v>
      </c>
      <c r="C1019" s="1">
        <v>13</v>
      </c>
      <c r="D1019" s="1">
        <v>4</v>
      </c>
      <c r="E1019" s="1">
        <v>0</v>
      </c>
      <c r="F1019" t="s">
        <v>1622</v>
      </c>
      <c r="G1019" s="1" t="str">
        <f>_xlfn.XLOOKUP(engagement[[#This Row],[SessionID]],session_data[SessionID],session_data[Traffic Source])</f>
        <v>Referral</v>
      </c>
    </row>
    <row r="1020" spans="1:7" x14ac:dyDescent="0.25">
      <c r="A1020" s="1" t="s">
        <v>1527</v>
      </c>
      <c r="B1020" s="1">
        <v>188</v>
      </c>
      <c r="C1020" s="1">
        <v>7</v>
      </c>
      <c r="D1020" s="1">
        <v>4</v>
      </c>
      <c r="E1020" s="1">
        <v>0</v>
      </c>
      <c r="F1020" t="s">
        <v>1622</v>
      </c>
      <c r="G1020" s="1" t="str">
        <f>_xlfn.XLOOKUP(engagement[[#This Row],[SessionID]],session_data[SessionID],session_data[Traffic Source])</f>
        <v>Referral</v>
      </c>
    </row>
    <row r="1021" spans="1:7" x14ac:dyDescent="0.25">
      <c r="A1021" s="1" t="s">
        <v>1528</v>
      </c>
      <c r="B1021" s="1">
        <v>151</v>
      </c>
      <c r="C1021" s="1">
        <v>6</v>
      </c>
      <c r="D1021" s="1">
        <v>5</v>
      </c>
      <c r="E1021" s="1">
        <v>1</v>
      </c>
      <c r="F1021" t="s">
        <v>1623</v>
      </c>
      <c r="G1021" s="1" t="str">
        <f>_xlfn.XLOOKUP(engagement[[#This Row],[SessionID]],session_data[SessionID],session_data[Traffic Source])</f>
        <v>Referral</v>
      </c>
    </row>
    <row r="1022" spans="1:7" x14ac:dyDescent="0.25">
      <c r="A1022" s="1" t="s">
        <v>1529</v>
      </c>
      <c r="B1022" s="1">
        <v>254</v>
      </c>
      <c r="C1022" s="1">
        <v>10</v>
      </c>
      <c r="D1022" s="1">
        <v>5</v>
      </c>
      <c r="E1022" s="1">
        <v>1</v>
      </c>
      <c r="F1022" t="s">
        <v>1623</v>
      </c>
      <c r="G1022" s="1" t="str">
        <f>_xlfn.XLOOKUP(engagement[[#This Row],[SessionID]],session_data[SessionID],session_data[Traffic Source])</f>
        <v>Referral</v>
      </c>
    </row>
    <row r="1023" spans="1:7" x14ac:dyDescent="0.25">
      <c r="A1023" s="1" t="s">
        <v>1530</v>
      </c>
      <c r="B1023" s="1">
        <v>276</v>
      </c>
      <c r="C1023" s="1">
        <v>11</v>
      </c>
      <c r="D1023" s="1">
        <v>5</v>
      </c>
      <c r="E1023" s="1">
        <v>1</v>
      </c>
      <c r="F1023" t="s">
        <v>1623</v>
      </c>
      <c r="G1023" s="1" t="str">
        <f>_xlfn.XLOOKUP(engagement[[#This Row],[SessionID]],session_data[SessionID],session_data[Traffic Source])</f>
        <v>Organic Search</v>
      </c>
    </row>
    <row r="1024" spans="1:7" x14ac:dyDescent="0.25">
      <c r="A1024" s="1" t="s">
        <v>1532</v>
      </c>
      <c r="B1024" s="1">
        <v>159</v>
      </c>
      <c r="C1024" s="1">
        <v>6</v>
      </c>
      <c r="D1024" s="1">
        <v>3</v>
      </c>
      <c r="E1024" s="1">
        <v>1</v>
      </c>
      <c r="F1024" t="s">
        <v>1623</v>
      </c>
      <c r="G1024" s="1" t="str">
        <f>_xlfn.XLOOKUP(engagement[[#This Row],[SessionID]],session_data[SessionID],session_data[Traffic Source])</f>
        <v>Organic Search</v>
      </c>
    </row>
    <row r="1025" spans="1:7" x14ac:dyDescent="0.25">
      <c r="A1025" s="1" t="s">
        <v>1534</v>
      </c>
      <c r="B1025" s="1">
        <v>89</v>
      </c>
      <c r="C1025" s="1">
        <v>4</v>
      </c>
      <c r="D1025" s="1">
        <v>3</v>
      </c>
      <c r="E1025" s="1">
        <v>1</v>
      </c>
      <c r="F1025" t="s">
        <v>1623</v>
      </c>
      <c r="G1025" s="1" t="str">
        <f>_xlfn.XLOOKUP(engagement[[#This Row],[SessionID]],session_data[SessionID],session_data[Traffic Source])</f>
        <v>Organic Search</v>
      </c>
    </row>
    <row r="1026" spans="1:7" x14ac:dyDescent="0.25">
      <c r="A1026" s="1" t="s">
        <v>1535</v>
      </c>
      <c r="B1026" s="1">
        <v>69</v>
      </c>
      <c r="C1026" s="1">
        <v>5</v>
      </c>
      <c r="D1026" s="1">
        <v>5</v>
      </c>
      <c r="E1026" s="1">
        <v>1</v>
      </c>
      <c r="F1026" t="s">
        <v>1623</v>
      </c>
      <c r="G1026" s="1" t="str">
        <f>_xlfn.XLOOKUP(engagement[[#This Row],[SessionID]],session_data[SessionID],session_data[Traffic Source])</f>
        <v>Direct</v>
      </c>
    </row>
    <row r="1027" spans="1:7" x14ac:dyDescent="0.25">
      <c r="A1027" s="1" t="s">
        <v>1537</v>
      </c>
      <c r="B1027" s="1">
        <v>239</v>
      </c>
      <c r="C1027" s="1">
        <v>10</v>
      </c>
      <c r="D1027" s="1">
        <v>4</v>
      </c>
      <c r="E1027" s="1">
        <v>0</v>
      </c>
      <c r="F1027" t="s">
        <v>1622</v>
      </c>
      <c r="G1027" s="1" t="str">
        <f>_xlfn.XLOOKUP(engagement[[#This Row],[SessionID]],session_data[SessionID],session_data[Traffic Source])</f>
        <v>Direct</v>
      </c>
    </row>
    <row r="1028" spans="1:7" x14ac:dyDescent="0.25">
      <c r="A1028" s="1" t="s">
        <v>1538</v>
      </c>
      <c r="B1028" s="1">
        <v>109</v>
      </c>
      <c r="C1028" s="1">
        <v>5</v>
      </c>
      <c r="D1028" s="1">
        <v>4</v>
      </c>
      <c r="E1028" s="1">
        <v>0</v>
      </c>
      <c r="F1028" t="s">
        <v>1622</v>
      </c>
      <c r="G1028" s="1" t="str">
        <f>_xlfn.XLOOKUP(engagement[[#This Row],[SessionID]],session_data[SessionID],session_data[Traffic Source])</f>
        <v>Direct</v>
      </c>
    </row>
    <row r="1029" spans="1:7" x14ac:dyDescent="0.25">
      <c r="A1029" s="1" t="s">
        <v>1539</v>
      </c>
      <c r="B1029" s="1">
        <v>100</v>
      </c>
      <c r="C1029" s="1">
        <v>5</v>
      </c>
      <c r="D1029" s="1">
        <v>4</v>
      </c>
      <c r="E1029" s="1">
        <v>0</v>
      </c>
      <c r="F1029" t="s">
        <v>1622</v>
      </c>
      <c r="G1029" s="1" t="str">
        <f>_xlfn.XLOOKUP(engagement[[#This Row],[SessionID]],session_data[SessionID],session_data[Traffic Source])</f>
        <v>Direct</v>
      </c>
    </row>
    <row r="1030" spans="1:7" x14ac:dyDescent="0.25">
      <c r="A1030" s="1" t="s">
        <v>1540</v>
      </c>
      <c r="B1030" s="1">
        <v>175</v>
      </c>
      <c r="C1030" s="1">
        <v>8</v>
      </c>
      <c r="D1030" s="1">
        <v>5</v>
      </c>
      <c r="E1030" s="1">
        <v>1</v>
      </c>
      <c r="F1030" t="s">
        <v>1623</v>
      </c>
      <c r="G1030" s="1" t="str">
        <f>_xlfn.XLOOKUP(engagement[[#This Row],[SessionID]],session_data[SessionID],session_data[Traffic Source])</f>
        <v>Direct</v>
      </c>
    </row>
    <row r="1031" spans="1:7" x14ac:dyDescent="0.25">
      <c r="A1031" s="1" t="s">
        <v>1541</v>
      </c>
      <c r="B1031" s="1">
        <v>249</v>
      </c>
      <c r="C1031" s="1">
        <v>10</v>
      </c>
      <c r="D1031" s="1">
        <v>4</v>
      </c>
      <c r="E1031" s="1">
        <v>0</v>
      </c>
      <c r="F1031" t="s">
        <v>1622</v>
      </c>
      <c r="G1031" s="1" t="str">
        <f>_xlfn.XLOOKUP(engagement[[#This Row],[SessionID]],session_data[SessionID],session_data[Traffic Source])</f>
        <v>Organic Search</v>
      </c>
    </row>
    <row r="1032" spans="1:7" x14ac:dyDescent="0.25">
      <c r="A1032" s="1" t="s">
        <v>1543</v>
      </c>
      <c r="B1032" s="1">
        <v>121</v>
      </c>
      <c r="C1032" s="1">
        <v>5</v>
      </c>
      <c r="D1032" s="1">
        <v>5</v>
      </c>
      <c r="E1032" s="1">
        <v>1</v>
      </c>
      <c r="F1032" t="s">
        <v>1623</v>
      </c>
      <c r="G1032" s="1" t="str">
        <f>_xlfn.XLOOKUP(engagement[[#This Row],[SessionID]],session_data[SessionID],session_data[Traffic Source])</f>
        <v>Organic Search</v>
      </c>
    </row>
    <row r="1033" spans="1:7" x14ac:dyDescent="0.25">
      <c r="A1033" s="1" t="s">
        <v>1544</v>
      </c>
      <c r="B1033" s="1">
        <v>352</v>
      </c>
      <c r="C1033" s="1">
        <v>14</v>
      </c>
      <c r="D1033" s="1">
        <v>4</v>
      </c>
      <c r="E1033" s="1">
        <v>0</v>
      </c>
      <c r="F1033" t="s">
        <v>1622</v>
      </c>
      <c r="G1033" s="1" t="str">
        <f>_xlfn.XLOOKUP(engagement[[#This Row],[SessionID]],session_data[SessionID],session_data[Traffic Source])</f>
        <v>Organic Search</v>
      </c>
    </row>
    <row r="1034" spans="1:7" x14ac:dyDescent="0.25">
      <c r="A1034" s="1" t="s">
        <v>1546</v>
      </c>
      <c r="B1034" s="1">
        <v>270</v>
      </c>
      <c r="C1034" s="1">
        <v>11</v>
      </c>
      <c r="D1034" s="1">
        <v>4</v>
      </c>
      <c r="E1034" s="1">
        <v>0</v>
      </c>
      <c r="F1034" t="s">
        <v>1622</v>
      </c>
      <c r="G1034" s="1" t="str">
        <f>_xlfn.XLOOKUP(engagement[[#This Row],[SessionID]],session_data[SessionID],session_data[Traffic Source])</f>
        <v>Organic Search</v>
      </c>
    </row>
    <row r="1035" spans="1:7" x14ac:dyDescent="0.25">
      <c r="A1035" s="1" t="s">
        <v>1547</v>
      </c>
      <c r="B1035" s="1">
        <v>73</v>
      </c>
      <c r="C1035" s="1">
        <v>5</v>
      </c>
      <c r="D1035" s="1">
        <v>4</v>
      </c>
      <c r="E1035" s="1">
        <v>0</v>
      </c>
      <c r="F1035" t="s">
        <v>1626</v>
      </c>
      <c r="G1035" s="1" t="str">
        <f>_xlfn.XLOOKUP(engagement[[#This Row],[SessionID]],session_data[SessionID],session_data[Traffic Source])</f>
        <v>Direct</v>
      </c>
    </row>
    <row r="1036" spans="1:7" x14ac:dyDescent="0.25">
      <c r="A1036" s="1" t="s">
        <v>1549</v>
      </c>
      <c r="B1036" s="1">
        <v>323</v>
      </c>
      <c r="C1036" s="1">
        <v>13</v>
      </c>
      <c r="D1036" s="1">
        <v>5</v>
      </c>
      <c r="E1036" s="1">
        <v>1</v>
      </c>
      <c r="F1036" t="s">
        <v>1623</v>
      </c>
      <c r="G1036" s="1" t="str">
        <f>_xlfn.XLOOKUP(engagement[[#This Row],[SessionID]],session_data[SessionID],session_data[Traffic Source])</f>
        <v>Direct</v>
      </c>
    </row>
    <row r="1037" spans="1:7" x14ac:dyDescent="0.25">
      <c r="A1037" s="1" t="s">
        <v>1550</v>
      </c>
      <c r="B1037" s="1">
        <v>292</v>
      </c>
      <c r="C1037" s="1">
        <v>12</v>
      </c>
      <c r="D1037" s="1">
        <v>5</v>
      </c>
      <c r="E1037" s="1">
        <v>1</v>
      </c>
      <c r="F1037" t="s">
        <v>1623</v>
      </c>
      <c r="G1037" s="1" t="str">
        <f>_xlfn.XLOOKUP(engagement[[#This Row],[SessionID]],session_data[SessionID],session_data[Traffic Source])</f>
        <v>Direct</v>
      </c>
    </row>
    <row r="1038" spans="1:7" x14ac:dyDescent="0.25">
      <c r="A1038" s="1" t="s">
        <v>1551</v>
      </c>
      <c r="B1038" s="1">
        <v>55</v>
      </c>
      <c r="C1038" s="1">
        <v>4</v>
      </c>
      <c r="D1038" s="1">
        <v>4</v>
      </c>
      <c r="E1038" s="1">
        <v>0</v>
      </c>
      <c r="F1038" t="s">
        <v>1624</v>
      </c>
      <c r="G1038" s="1" t="str">
        <f>_xlfn.XLOOKUP(engagement[[#This Row],[SessionID]],session_data[SessionID],session_data[Traffic Source])</f>
        <v>Referral</v>
      </c>
    </row>
    <row r="1039" spans="1:7" x14ac:dyDescent="0.25">
      <c r="A1039" s="1" t="s">
        <v>1553</v>
      </c>
      <c r="B1039" s="1">
        <v>219</v>
      </c>
      <c r="C1039" s="1">
        <v>9</v>
      </c>
      <c r="D1039" s="1">
        <v>4</v>
      </c>
      <c r="E1039" s="1">
        <v>1</v>
      </c>
      <c r="F1039" t="s">
        <v>1623</v>
      </c>
      <c r="G1039" s="1" t="str">
        <f>_xlfn.XLOOKUP(engagement[[#This Row],[SessionID]],session_data[SessionID],session_data[Traffic Source])</f>
        <v>Referral</v>
      </c>
    </row>
    <row r="1040" spans="1:7" x14ac:dyDescent="0.25">
      <c r="A1040" s="1" t="s">
        <v>1554</v>
      </c>
      <c r="B1040" s="1">
        <v>93</v>
      </c>
      <c r="C1040" s="1">
        <v>4</v>
      </c>
      <c r="D1040" s="1">
        <v>4</v>
      </c>
      <c r="E1040" s="1">
        <v>0</v>
      </c>
      <c r="F1040" t="s">
        <v>1624</v>
      </c>
      <c r="G1040" s="1" t="str">
        <f>_xlfn.XLOOKUP(engagement[[#This Row],[SessionID]],session_data[SessionID],session_data[Traffic Source])</f>
        <v>Organic Search</v>
      </c>
    </row>
    <row r="1041" spans="1:7" x14ac:dyDescent="0.25">
      <c r="A1041" s="1" t="s">
        <v>1556</v>
      </c>
      <c r="B1041" s="1">
        <v>187</v>
      </c>
      <c r="C1041" s="1">
        <v>7</v>
      </c>
      <c r="D1041" s="1">
        <v>4</v>
      </c>
      <c r="E1041" s="1">
        <v>0</v>
      </c>
      <c r="F1041" t="s">
        <v>1625</v>
      </c>
      <c r="G1041" s="1" t="str">
        <f>_xlfn.XLOOKUP(engagement[[#This Row],[SessionID]],session_data[SessionID],session_data[Traffic Source])</f>
        <v>Organic Search</v>
      </c>
    </row>
    <row r="1042" spans="1:7" x14ac:dyDescent="0.25">
      <c r="A1042" s="1" t="s">
        <v>1557</v>
      </c>
      <c r="B1042" s="1">
        <v>104</v>
      </c>
      <c r="C1042" s="1">
        <v>5</v>
      </c>
      <c r="D1042" s="1">
        <v>4</v>
      </c>
      <c r="E1042" s="1">
        <v>0</v>
      </c>
      <c r="F1042" t="s">
        <v>1624</v>
      </c>
      <c r="G1042" s="1" t="str">
        <f>_xlfn.XLOOKUP(engagement[[#This Row],[SessionID]],session_data[SessionID],session_data[Traffic Source])</f>
        <v>Direct</v>
      </c>
    </row>
    <row r="1043" spans="1:7" x14ac:dyDescent="0.25">
      <c r="A1043" s="1" t="s">
        <v>1559</v>
      </c>
      <c r="B1043" s="1">
        <v>86</v>
      </c>
      <c r="C1043" s="1">
        <v>5</v>
      </c>
      <c r="D1043" s="1">
        <v>4</v>
      </c>
      <c r="E1043" s="1">
        <v>0</v>
      </c>
      <c r="F1043" t="s">
        <v>1625</v>
      </c>
      <c r="G1043" s="1" t="str">
        <f>_xlfn.XLOOKUP(engagement[[#This Row],[SessionID]],session_data[SessionID],session_data[Traffic Source])</f>
        <v>Direct</v>
      </c>
    </row>
    <row r="1044" spans="1:7" x14ac:dyDescent="0.25">
      <c r="A1044" s="1" t="s">
        <v>1560</v>
      </c>
      <c r="B1044" s="1">
        <v>235</v>
      </c>
      <c r="C1044" s="1">
        <v>10</v>
      </c>
      <c r="D1044" s="1">
        <v>3</v>
      </c>
      <c r="E1044" s="1">
        <v>0</v>
      </c>
      <c r="F1044" t="s">
        <v>1626</v>
      </c>
      <c r="G1044" s="1" t="str">
        <f>_xlfn.XLOOKUP(engagement[[#This Row],[SessionID]],session_data[SessionID],session_data[Traffic Source])</f>
        <v>Direct</v>
      </c>
    </row>
    <row r="1045" spans="1:7" x14ac:dyDescent="0.25">
      <c r="A1045" s="1" t="s">
        <v>1562</v>
      </c>
      <c r="B1045" s="1">
        <v>249</v>
      </c>
      <c r="C1045" s="1">
        <v>10</v>
      </c>
      <c r="D1045" s="1">
        <v>3</v>
      </c>
      <c r="E1045" s="1">
        <v>0</v>
      </c>
      <c r="F1045" t="s">
        <v>1624</v>
      </c>
      <c r="G1045" s="1" t="str">
        <f>_xlfn.XLOOKUP(engagement[[#This Row],[SessionID]],session_data[SessionID],session_data[Traffic Source])</f>
        <v>Direct</v>
      </c>
    </row>
    <row r="1046" spans="1:7" x14ac:dyDescent="0.25">
      <c r="A1046" s="1" t="s">
        <v>1563</v>
      </c>
      <c r="B1046" s="1">
        <v>172</v>
      </c>
      <c r="C1046" s="1">
        <v>7</v>
      </c>
      <c r="D1046" s="1">
        <v>3</v>
      </c>
      <c r="E1046" s="1">
        <v>0</v>
      </c>
      <c r="F1046" t="s">
        <v>1624</v>
      </c>
      <c r="G1046" s="1" t="str">
        <f>_xlfn.XLOOKUP(engagement[[#This Row],[SessionID]],session_data[SessionID],session_data[Traffic Source])</f>
        <v>Direct</v>
      </c>
    </row>
    <row r="1047" spans="1:7" x14ac:dyDescent="0.25">
      <c r="A1047" s="1" t="s">
        <v>1564</v>
      </c>
      <c r="B1047" s="1">
        <v>44</v>
      </c>
      <c r="C1047" s="1">
        <v>3</v>
      </c>
      <c r="D1047" s="1">
        <v>3</v>
      </c>
      <c r="E1047" s="1">
        <v>0</v>
      </c>
      <c r="F1047" t="s">
        <v>1622</v>
      </c>
      <c r="G1047" s="1" t="str">
        <f>_xlfn.XLOOKUP(engagement[[#This Row],[SessionID]],session_data[SessionID],session_data[Traffic Source])</f>
        <v>Direct</v>
      </c>
    </row>
    <row r="1048" spans="1:7" x14ac:dyDescent="0.25">
      <c r="A1048" s="1" t="s">
        <v>1565</v>
      </c>
      <c r="B1048" s="1">
        <v>273</v>
      </c>
      <c r="C1048" s="1">
        <v>11</v>
      </c>
      <c r="D1048" s="1">
        <v>4</v>
      </c>
      <c r="E1048" s="1">
        <v>0</v>
      </c>
      <c r="F1048" t="s">
        <v>1625</v>
      </c>
      <c r="G1048" s="1" t="str">
        <f>_xlfn.XLOOKUP(engagement[[#This Row],[SessionID]],session_data[SessionID],session_data[Traffic Source])</f>
        <v>Referral</v>
      </c>
    </row>
    <row r="1049" spans="1:7" x14ac:dyDescent="0.25">
      <c r="A1049" s="1" t="s">
        <v>1567</v>
      </c>
      <c r="B1049" s="1">
        <v>363</v>
      </c>
      <c r="C1049" s="1">
        <v>14</v>
      </c>
      <c r="D1049" s="1">
        <v>4</v>
      </c>
      <c r="E1049" s="1">
        <v>0</v>
      </c>
      <c r="F1049" t="s">
        <v>1626</v>
      </c>
      <c r="G1049" s="1" t="str">
        <f>_xlfn.XLOOKUP(engagement[[#This Row],[SessionID]],session_data[SessionID],session_data[Traffic Source])</f>
        <v>Paid Ads</v>
      </c>
    </row>
    <row r="1050" spans="1:7" x14ac:dyDescent="0.25">
      <c r="A1050" s="1" t="s">
        <v>1569</v>
      </c>
      <c r="B1050" s="1">
        <v>266</v>
      </c>
      <c r="C1050" s="1">
        <v>10</v>
      </c>
      <c r="D1050" s="1">
        <v>4</v>
      </c>
      <c r="E1050" s="1">
        <v>0</v>
      </c>
      <c r="F1050" t="s">
        <v>1626</v>
      </c>
      <c r="G1050" s="1" t="str">
        <f>_xlfn.XLOOKUP(engagement[[#This Row],[SessionID]],session_data[SessionID],session_data[Traffic Source])</f>
        <v>Direct</v>
      </c>
    </row>
    <row r="1051" spans="1:7" x14ac:dyDescent="0.25">
      <c r="A1051" s="1" t="s">
        <v>1571</v>
      </c>
      <c r="B1051" s="1">
        <v>139</v>
      </c>
      <c r="C1051" s="1">
        <v>5</v>
      </c>
      <c r="D1051" s="1">
        <v>4</v>
      </c>
      <c r="E1051" s="1">
        <v>0</v>
      </c>
      <c r="F1051" t="s">
        <v>1625</v>
      </c>
      <c r="G1051" s="1" t="str">
        <f>_xlfn.XLOOKUP(engagement[[#This Row],[SessionID]],session_data[SessionID],session_data[Traffic Source])</f>
        <v>Direct</v>
      </c>
    </row>
    <row r="1052" spans="1:7" x14ac:dyDescent="0.25">
      <c r="A1052" s="1" t="s">
        <v>1572</v>
      </c>
      <c r="B1052" s="1">
        <v>222</v>
      </c>
      <c r="C1052" s="1">
        <v>9</v>
      </c>
      <c r="D1052" s="1">
        <v>4</v>
      </c>
      <c r="E1052" s="1">
        <v>1</v>
      </c>
      <c r="F1052" t="s">
        <v>1623</v>
      </c>
      <c r="G1052" s="1" t="str">
        <f>_xlfn.XLOOKUP(engagement[[#This Row],[SessionID]],session_data[SessionID],session_data[Traffic Source])</f>
        <v>Direct</v>
      </c>
    </row>
    <row r="1053" spans="1:7" x14ac:dyDescent="0.25">
      <c r="A1053" s="1" t="s">
        <v>1573</v>
      </c>
      <c r="B1053" s="1">
        <v>276</v>
      </c>
      <c r="C1053" s="1">
        <v>11</v>
      </c>
      <c r="D1053" s="1">
        <v>4</v>
      </c>
      <c r="E1053" s="1">
        <v>0</v>
      </c>
      <c r="F1053" t="s">
        <v>1626</v>
      </c>
      <c r="G1053" s="1" t="str">
        <f>_xlfn.XLOOKUP(engagement[[#This Row],[SessionID]],session_data[SessionID],session_data[Traffic Source])</f>
        <v>Direct</v>
      </c>
    </row>
    <row r="1054" spans="1:7" x14ac:dyDescent="0.25">
      <c r="A1054" s="1" t="s">
        <v>1574</v>
      </c>
      <c r="B1054" s="1">
        <v>243</v>
      </c>
      <c r="C1054" s="1">
        <v>10</v>
      </c>
      <c r="D1054" s="1">
        <v>4</v>
      </c>
      <c r="E1054" s="1">
        <v>0</v>
      </c>
      <c r="F1054" t="s">
        <v>1622</v>
      </c>
      <c r="G1054" s="1" t="str">
        <f>_xlfn.XLOOKUP(engagement[[#This Row],[SessionID]],session_data[SessionID],session_data[Traffic Source])</f>
        <v>Direct</v>
      </c>
    </row>
    <row r="1055" spans="1:7" x14ac:dyDescent="0.25">
      <c r="A1055" s="1" t="s">
        <v>1575</v>
      </c>
      <c r="B1055" s="1">
        <v>349</v>
      </c>
      <c r="C1055" s="1">
        <v>14</v>
      </c>
      <c r="D1055" s="1">
        <v>4</v>
      </c>
      <c r="E1055" s="1">
        <v>0</v>
      </c>
      <c r="F1055" t="s">
        <v>1625</v>
      </c>
      <c r="G1055" s="1" t="str">
        <f>_xlfn.XLOOKUP(engagement[[#This Row],[SessionID]],session_data[SessionID],session_data[Traffic Source])</f>
        <v>Direct</v>
      </c>
    </row>
    <row r="1056" spans="1:7" x14ac:dyDescent="0.25">
      <c r="A1056" s="1" t="s">
        <v>1577</v>
      </c>
      <c r="B1056" s="1">
        <v>321</v>
      </c>
      <c r="C1056" s="1">
        <v>13</v>
      </c>
      <c r="D1056" s="1">
        <v>4</v>
      </c>
      <c r="E1056" s="1">
        <v>0</v>
      </c>
      <c r="F1056" t="s">
        <v>1626</v>
      </c>
      <c r="G1056" s="1" t="str">
        <f>_xlfn.XLOOKUP(engagement[[#This Row],[SessionID]],session_data[SessionID],session_data[Traffic Source])</f>
        <v>Direct</v>
      </c>
    </row>
    <row r="1057" spans="1:7" x14ac:dyDescent="0.25">
      <c r="A1057" s="1" t="s">
        <v>1578</v>
      </c>
      <c r="B1057" s="1">
        <v>87</v>
      </c>
      <c r="C1057" s="1">
        <v>5</v>
      </c>
      <c r="D1057" s="1">
        <v>4</v>
      </c>
      <c r="E1057" s="1">
        <v>0</v>
      </c>
      <c r="F1057" t="s">
        <v>1626</v>
      </c>
      <c r="G1057" s="1" t="str">
        <f>_xlfn.XLOOKUP(engagement[[#This Row],[SessionID]],session_data[SessionID],session_data[Traffic Source])</f>
        <v>Direct</v>
      </c>
    </row>
    <row r="1058" spans="1:7" x14ac:dyDescent="0.25">
      <c r="A1058" s="1" t="s">
        <v>1579</v>
      </c>
      <c r="B1058" s="1">
        <v>202</v>
      </c>
      <c r="C1058" s="1">
        <v>8</v>
      </c>
      <c r="D1058" s="1">
        <v>5</v>
      </c>
      <c r="E1058" s="1">
        <v>1</v>
      </c>
      <c r="F1058" t="s">
        <v>1623</v>
      </c>
      <c r="G1058" s="1" t="str">
        <f>_xlfn.XLOOKUP(engagement[[#This Row],[SessionID]],session_data[SessionID],session_data[Traffic Source])</f>
        <v>Direct</v>
      </c>
    </row>
    <row r="1059" spans="1:7" x14ac:dyDescent="0.25">
      <c r="A1059" s="1" t="s">
        <v>1580</v>
      </c>
      <c r="B1059" s="1">
        <v>301</v>
      </c>
      <c r="C1059" s="1">
        <v>12</v>
      </c>
      <c r="D1059" s="1">
        <v>4</v>
      </c>
      <c r="E1059" s="1">
        <v>0</v>
      </c>
      <c r="F1059" t="s">
        <v>1626</v>
      </c>
      <c r="G1059" s="1" t="str">
        <f>_xlfn.XLOOKUP(engagement[[#This Row],[SessionID]],session_data[SessionID],session_data[Traffic Source])</f>
        <v>Direct</v>
      </c>
    </row>
    <row r="1060" spans="1:7" x14ac:dyDescent="0.25">
      <c r="A1060" s="1" t="s">
        <v>1582</v>
      </c>
      <c r="B1060" s="1">
        <v>139</v>
      </c>
      <c r="C1060" s="1">
        <v>6</v>
      </c>
      <c r="D1060" s="1">
        <v>4</v>
      </c>
      <c r="E1060" s="1">
        <v>0</v>
      </c>
      <c r="F1060" t="s">
        <v>1624</v>
      </c>
      <c r="G1060" s="1" t="str">
        <f>_xlfn.XLOOKUP(engagement[[#This Row],[SessionID]],session_data[SessionID],session_data[Traffic Source])</f>
        <v>Direct</v>
      </c>
    </row>
    <row r="1061" spans="1:7" x14ac:dyDescent="0.25">
      <c r="A1061" s="1" t="s">
        <v>1583</v>
      </c>
      <c r="B1061" s="1">
        <v>15</v>
      </c>
      <c r="C1061" s="1">
        <v>5</v>
      </c>
      <c r="D1061" s="1">
        <v>4</v>
      </c>
      <c r="E1061" s="1">
        <v>0</v>
      </c>
      <c r="F1061" t="s">
        <v>1626</v>
      </c>
      <c r="G1061" s="1" t="str">
        <f>_xlfn.XLOOKUP(engagement[[#This Row],[SessionID]],session_data[SessionID],session_data[Traffic Source])</f>
        <v>Organic Search</v>
      </c>
    </row>
    <row r="1062" spans="1:7" x14ac:dyDescent="0.25">
      <c r="A1062" s="1" t="s">
        <v>1585</v>
      </c>
      <c r="B1062" s="1">
        <v>256</v>
      </c>
      <c r="C1062" s="1">
        <v>10</v>
      </c>
      <c r="D1062" s="1">
        <v>4</v>
      </c>
      <c r="E1062" s="1">
        <v>0</v>
      </c>
      <c r="F1062" t="s">
        <v>1624</v>
      </c>
      <c r="G1062" s="1" t="str">
        <f>_xlfn.XLOOKUP(engagement[[#This Row],[SessionID]],session_data[SessionID],session_data[Traffic Source])</f>
        <v>Organic Search</v>
      </c>
    </row>
    <row r="1063" spans="1:7" x14ac:dyDescent="0.25">
      <c r="A1063" s="1" t="s">
        <v>1586</v>
      </c>
      <c r="B1063" s="1">
        <v>302</v>
      </c>
      <c r="C1063" s="1">
        <v>12</v>
      </c>
      <c r="D1063" s="1">
        <v>3</v>
      </c>
      <c r="E1063" s="1">
        <v>1</v>
      </c>
      <c r="F1063" t="s">
        <v>1623</v>
      </c>
      <c r="G1063" s="1" t="str">
        <f>_xlfn.XLOOKUP(engagement[[#This Row],[SessionID]],session_data[SessionID],session_data[Traffic Source])</f>
        <v>Organic Search</v>
      </c>
    </row>
    <row r="1064" spans="1:7" x14ac:dyDescent="0.25">
      <c r="A1064" s="1" t="s">
        <v>1588</v>
      </c>
      <c r="B1064" s="1">
        <v>232</v>
      </c>
      <c r="C1064" s="1">
        <v>9</v>
      </c>
      <c r="D1064" s="1">
        <v>4</v>
      </c>
      <c r="E1064" s="1">
        <v>0</v>
      </c>
      <c r="F1064" t="s">
        <v>1626</v>
      </c>
      <c r="G1064" s="1" t="str">
        <f>_xlfn.XLOOKUP(engagement[[#This Row],[SessionID]],session_data[SessionID],session_data[Traffic Source])</f>
        <v>Direct</v>
      </c>
    </row>
    <row r="1065" spans="1:7" x14ac:dyDescent="0.25">
      <c r="A1065" s="1" t="s">
        <v>1590</v>
      </c>
      <c r="B1065" s="1">
        <v>272</v>
      </c>
      <c r="C1065" s="1">
        <v>11</v>
      </c>
      <c r="D1065" s="1">
        <v>4</v>
      </c>
      <c r="E1065" s="1">
        <v>0</v>
      </c>
      <c r="F1065" t="s">
        <v>1626</v>
      </c>
      <c r="G1065" s="1" t="str">
        <f>_xlfn.XLOOKUP(engagement[[#This Row],[SessionID]],session_data[SessionID],session_data[Traffic Source])</f>
        <v>Organic Search</v>
      </c>
    </row>
    <row r="1066" spans="1:7" x14ac:dyDescent="0.25">
      <c r="A1066" s="1" t="s">
        <v>1592</v>
      </c>
      <c r="B1066" s="1">
        <v>133</v>
      </c>
      <c r="C1066" s="1">
        <v>5</v>
      </c>
      <c r="D1066" s="1">
        <v>4</v>
      </c>
      <c r="E1066" s="1">
        <v>0</v>
      </c>
      <c r="F1066" t="s">
        <v>1622</v>
      </c>
      <c r="G1066" s="1" t="str">
        <f>_xlfn.XLOOKUP(engagement[[#This Row],[SessionID]],session_data[SessionID],session_data[Traffic Source])</f>
        <v>Organic Search</v>
      </c>
    </row>
    <row r="1067" spans="1:7" x14ac:dyDescent="0.25">
      <c r="A1067" s="1" t="s">
        <v>1593</v>
      </c>
      <c r="B1067" s="1">
        <v>192</v>
      </c>
      <c r="C1067" s="1">
        <v>8</v>
      </c>
      <c r="D1067" s="1">
        <v>5</v>
      </c>
      <c r="E1067" s="1">
        <v>1</v>
      </c>
      <c r="F1067" t="s">
        <v>1623</v>
      </c>
      <c r="G1067" s="1" t="str">
        <f>_xlfn.XLOOKUP(engagement[[#This Row],[SessionID]],session_data[SessionID],session_data[Traffic Source])</f>
        <v>Social Media</v>
      </c>
    </row>
    <row r="1068" spans="1:7" x14ac:dyDescent="0.25">
      <c r="A1068" s="1" t="s">
        <v>1595</v>
      </c>
      <c r="B1068" s="1">
        <v>74</v>
      </c>
      <c r="C1068" s="1">
        <v>5</v>
      </c>
      <c r="D1068" s="1">
        <v>4</v>
      </c>
      <c r="E1068" s="1">
        <v>0</v>
      </c>
      <c r="F1068" t="s">
        <v>1626</v>
      </c>
      <c r="G1068" s="1" t="str">
        <f>_xlfn.XLOOKUP(engagement[[#This Row],[SessionID]],session_data[SessionID],session_data[Traffic Source])</f>
        <v>Organic Search</v>
      </c>
    </row>
    <row r="1069" spans="1:7" x14ac:dyDescent="0.25">
      <c r="A1069" s="1" t="s">
        <v>1597</v>
      </c>
      <c r="B1069" s="1">
        <v>240</v>
      </c>
      <c r="C1069" s="1">
        <v>9</v>
      </c>
      <c r="D1069" s="1">
        <v>4</v>
      </c>
      <c r="E1069" s="1">
        <v>0</v>
      </c>
      <c r="F1069" t="s">
        <v>1624</v>
      </c>
      <c r="G1069" s="1" t="str">
        <f>_xlfn.XLOOKUP(engagement[[#This Row],[SessionID]],session_data[SessionID],session_data[Traffic Source])</f>
        <v>Organic Search</v>
      </c>
    </row>
    <row r="1070" spans="1:7" x14ac:dyDescent="0.25">
      <c r="A1070" s="1" t="s">
        <v>1598</v>
      </c>
      <c r="B1070" s="1">
        <v>229</v>
      </c>
      <c r="C1070" s="1">
        <v>9</v>
      </c>
      <c r="D1070" s="1">
        <v>5</v>
      </c>
      <c r="E1070" s="1">
        <v>1</v>
      </c>
      <c r="F1070" t="s">
        <v>1623</v>
      </c>
      <c r="G1070" s="1" t="str">
        <f>_xlfn.XLOOKUP(engagement[[#This Row],[SessionID]],session_data[SessionID],session_data[Traffic Source])</f>
        <v>Organic Search</v>
      </c>
    </row>
    <row r="1071" spans="1:7" x14ac:dyDescent="0.25">
      <c r="A1071" s="1" t="s">
        <v>1600</v>
      </c>
      <c r="B1071" s="1">
        <v>83</v>
      </c>
      <c r="C1071" s="1">
        <v>3</v>
      </c>
      <c r="D1071" s="1">
        <v>3</v>
      </c>
      <c r="E1071" s="1">
        <v>0</v>
      </c>
      <c r="F1071" t="s">
        <v>1622</v>
      </c>
      <c r="G1071" s="1" t="str">
        <f>_xlfn.XLOOKUP(engagement[[#This Row],[SessionID]],session_data[SessionID],session_data[Traffic Source])</f>
        <v>Paid Ads</v>
      </c>
    </row>
    <row r="1072" spans="1:7" x14ac:dyDescent="0.25">
      <c r="A1072" s="1" t="s">
        <v>1602</v>
      </c>
      <c r="B1072" s="1">
        <v>253</v>
      </c>
      <c r="C1072" s="1">
        <v>10</v>
      </c>
      <c r="D1072" s="1">
        <v>3</v>
      </c>
      <c r="E1072" s="1">
        <v>1</v>
      </c>
      <c r="F1072" t="s">
        <v>1623</v>
      </c>
      <c r="G1072" s="1" t="str">
        <f>_xlfn.XLOOKUP(engagement[[#This Row],[SessionID]],session_data[SessionID],session_data[Traffic Source])</f>
        <v>Paid Ads</v>
      </c>
    </row>
    <row r="1073" spans="1:7" x14ac:dyDescent="0.25">
      <c r="A1073" s="1" t="s">
        <v>1603</v>
      </c>
      <c r="B1073" s="1">
        <v>127</v>
      </c>
      <c r="C1073" s="1">
        <v>5</v>
      </c>
      <c r="D1073" s="1">
        <v>4</v>
      </c>
      <c r="E1073" s="1">
        <v>0</v>
      </c>
      <c r="F1073" t="s">
        <v>1625</v>
      </c>
      <c r="G1073" s="1" t="str">
        <f>_xlfn.XLOOKUP(engagement[[#This Row],[SessionID]],session_data[SessionID],session_data[Traffic Source])</f>
        <v>Paid Ads</v>
      </c>
    </row>
    <row r="1074" spans="1:7" x14ac:dyDescent="0.25">
      <c r="A1074" s="1" t="s">
        <v>1604</v>
      </c>
      <c r="B1074" s="1">
        <v>181</v>
      </c>
      <c r="C1074" s="1">
        <v>7</v>
      </c>
      <c r="D1074" s="1">
        <v>4</v>
      </c>
      <c r="E1074" s="1">
        <v>0</v>
      </c>
      <c r="F1074" t="s">
        <v>1625</v>
      </c>
      <c r="G1074" s="1" t="str">
        <f>_xlfn.XLOOKUP(engagement[[#This Row],[SessionID]],session_data[SessionID],session_data[Traffic Source])</f>
        <v>Paid Ads</v>
      </c>
    </row>
    <row r="1075" spans="1:7" x14ac:dyDescent="0.25">
      <c r="A1075" s="1" t="s">
        <v>1605</v>
      </c>
      <c r="B1075" s="1">
        <v>300</v>
      </c>
      <c r="C1075" s="1">
        <v>12</v>
      </c>
      <c r="D1075" s="1">
        <v>3</v>
      </c>
      <c r="E1075" s="1">
        <v>0</v>
      </c>
      <c r="F1075" t="s">
        <v>1622</v>
      </c>
      <c r="G1075" s="1" t="str">
        <f>_xlfn.XLOOKUP(engagement[[#This Row],[SessionID]],session_data[SessionID],session_data[Traffic Source])</f>
        <v>Paid Ads</v>
      </c>
    </row>
    <row r="1076" spans="1:7" x14ac:dyDescent="0.25">
      <c r="A1076" s="1" t="s">
        <v>1606</v>
      </c>
      <c r="B1076" s="1">
        <v>256</v>
      </c>
      <c r="C1076" s="1">
        <v>10</v>
      </c>
      <c r="D1076" s="1">
        <v>4</v>
      </c>
      <c r="E1076" s="1">
        <v>0</v>
      </c>
      <c r="F1076" t="s">
        <v>1624</v>
      </c>
      <c r="G1076" s="1" t="str">
        <f>_xlfn.XLOOKUP(engagement[[#This Row],[SessionID]],session_data[SessionID],session_data[Traffic Source])</f>
        <v>Organic Search</v>
      </c>
    </row>
    <row r="1077" spans="1:7" x14ac:dyDescent="0.25">
      <c r="A1077" s="1" t="s">
        <v>1608</v>
      </c>
      <c r="B1077" s="1">
        <v>253</v>
      </c>
      <c r="C1077" s="1">
        <v>10</v>
      </c>
      <c r="D1077" s="1">
        <v>4</v>
      </c>
      <c r="E1077" s="1">
        <v>0</v>
      </c>
      <c r="F1077" t="s">
        <v>1625</v>
      </c>
      <c r="G1077" s="1" t="str">
        <f>_xlfn.XLOOKUP(engagement[[#This Row],[SessionID]],session_data[SessionID],session_data[Traffic Source])</f>
        <v>Organic Search</v>
      </c>
    </row>
    <row r="1078" spans="1:7" x14ac:dyDescent="0.25">
      <c r="A1078" s="1" t="s">
        <v>1609</v>
      </c>
      <c r="B1078" s="1">
        <v>339</v>
      </c>
      <c r="C1078" s="1">
        <v>14</v>
      </c>
      <c r="D1078" s="1">
        <v>4</v>
      </c>
      <c r="E1078" s="1">
        <v>0</v>
      </c>
      <c r="F1078" t="s">
        <v>1622</v>
      </c>
      <c r="G1078" s="1" t="str">
        <f>_xlfn.XLOOKUP(engagement[[#This Row],[SessionID]],session_data[SessionID],session_data[Traffic Source])</f>
        <v>Organic Search</v>
      </c>
    </row>
    <row r="1079" spans="1:7" x14ac:dyDescent="0.25">
      <c r="A1079" s="1" t="s">
        <v>1610</v>
      </c>
      <c r="B1079" s="1">
        <v>136</v>
      </c>
      <c r="C1079" s="1">
        <v>5</v>
      </c>
      <c r="D1079" s="1">
        <v>4</v>
      </c>
      <c r="E1079" s="1">
        <v>0</v>
      </c>
      <c r="F1079" t="s">
        <v>1622</v>
      </c>
      <c r="G1079" s="1" t="str">
        <f>_xlfn.XLOOKUP(engagement[[#This Row],[SessionID]],session_data[SessionID],session_data[Traffic Source])</f>
        <v>Organic Search</v>
      </c>
    </row>
    <row r="1080" spans="1:7" x14ac:dyDescent="0.25">
      <c r="A1080" s="1" t="s">
        <v>1611</v>
      </c>
      <c r="B1080" s="1">
        <v>189</v>
      </c>
      <c r="C1080" s="1">
        <v>8</v>
      </c>
      <c r="D1080" s="1">
        <v>4</v>
      </c>
      <c r="E1080" s="1">
        <v>0</v>
      </c>
      <c r="F1080" t="s">
        <v>1625</v>
      </c>
      <c r="G1080" s="1" t="str">
        <f>_xlfn.XLOOKUP(engagement[[#This Row],[SessionID]],session_data[SessionID],session_data[Traffic Source])</f>
        <v>Organic Search</v>
      </c>
    </row>
  </sheetData>
  <conditionalFormatting sqref="A1:A1048576">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FCEBD-7FB2-4CD6-AABD-CDAE1FDBC697}">
  <sheetPr codeName="Sheet3">
    <tabColor theme="9" tint="-0.249977111117893"/>
  </sheetPr>
  <dimension ref="A1"/>
  <sheetViews>
    <sheetView showGridLines="0" showRowColHeaders="0" topLeftCell="B1" zoomScaleNormal="100" workbookViewId="0">
      <selection activeCell="R20" sqref="R20"/>
    </sheetView>
  </sheetViews>
  <sheetFormatPr defaultRowHeight="12.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71CE6-C966-418B-8D7C-D41D4F9E347D}">
  <sheetPr codeName="Sheet4">
    <tabColor theme="7" tint="0.39997558519241921"/>
  </sheetPr>
  <dimension ref="A1:X30"/>
  <sheetViews>
    <sheetView tabSelected="1" zoomScale="66" zoomScaleNormal="60" workbookViewId="0">
      <selection activeCell="L4" sqref="L4"/>
    </sheetView>
  </sheetViews>
  <sheetFormatPr defaultRowHeight="12.5" x14ac:dyDescent="0.25"/>
  <cols>
    <col min="1" max="1" width="14.54296875" bestFit="1" customWidth="1"/>
    <col min="2" max="2" width="17.54296875" bestFit="1" customWidth="1"/>
    <col min="3" max="3" width="21.90625" bestFit="1" customWidth="1"/>
    <col min="4" max="5" width="14.54296875" bestFit="1" customWidth="1"/>
    <col min="6" max="6" width="17.54296875" bestFit="1" customWidth="1"/>
    <col min="7" max="7" width="14.54296875" bestFit="1" customWidth="1"/>
    <col min="8" max="8" width="26.26953125" bestFit="1" customWidth="1"/>
    <col min="9" max="10" width="14.54296875" bestFit="1" customWidth="1"/>
    <col min="11" max="11" width="17.54296875" bestFit="1" customWidth="1"/>
    <col min="12" max="13" width="14.54296875" bestFit="1" customWidth="1"/>
    <col min="14" max="17" width="17.54296875" bestFit="1" customWidth="1"/>
    <col min="18" max="18" width="9.453125" bestFit="1" customWidth="1"/>
    <col min="19" max="19" width="17.54296875" bestFit="1" customWidth="1"/>
    <col min="20" max="20" width="14.54296875" bestFit="1" customWidth="1"/>
    <col min="21" max="21" width="15.81640625" bestFit="1" customWidth="1"/>
    <col min="22" max="22" width="21.7265625" bestFit="1" customWidth="1"/>
    <col min="23" max="23" width="14.54296875" bestFit="1" customWidth="1"/>
    <col min="24" max="24" width="15.81640625" bestFit="1" customWidth="1"/>
    <col min="25" max="25" width="17.54296875" bestFit="1" customWidth="1"/>
    <col min="26" max="26" width="28.36328125" bestFit="1" customWidth="1"/>
  </cols>
  <sheetData>
    <row r="1" spans="1:24" x14ac:dyDescent="0.25">
      <c r="C1" s="12"/>
    </row>
    <row r="2" spans="1:24" x14ac:dyDescent="0.25">
      <c r="A2" s="9" t="s">
        <v>1631</v>
      </c>
      <c r="C2" s="9" t="s">
        <v>1633</v>
      </c>
      <c r="E2" s="13" t="s">
        <v>1638</v>
      </c>
      <c r="F2" s="13"/>
      <c r="H2" t="s">
        <v>1656</v>
      </c>
      <c r="J2" t="s">
        <v>1643</v>
      </c>
      <c r="K2" s="13" t="s">
        <v>1658</v>
      </c>
      <c r="S2" s="14"/>
    </row>
    <row r="3" spans="1:24" x14ac:dyDescent="0.25">
      <c r="A3" t="s">
        <v>1630</v>
      </c>
      <c r="C3" t="s">
        <v>1632</v>
      </c>
      <c r="E3" s="7" t="s">
        <v>1628</v>
      </c>
      <c r="F3" t="s">
        <v>1630</v>
      </c>
      <c r="H3" s="17">
        <v>0.41427247451343835</v>
      </c>
      <c r="J3">
        <v>189.25023169601482</v>
      </c>
      <c r="K3" s="19">
        <f>GETPIVOTDATA("[Measures].[Average of Session Duration]",$J$2)/60</f>
        <v>3.1541705282669139</v>
      </c>
    </row>
    <row r="4" spans="1:24" x14ac:dyDescent="0.25">
      <c r="A4">
        <v>1079</v>
      </c>
      <c r="C4">
        <v>500</v>
      </c>
      <c r="E4" s="8" t="s">
        <v>14</v>
      </c>
      <c r="F4" s="10">
        <v>0.46339202965708992</v>
      </c>
      <c r="G4" s="11"/>
      <c r="K4" s="11"/>
      <c r="R4" s="11"/>
      <c r="U4" s="15"/>
    </row>
    <row r="5" spans="1:24" x14ac:dyDescent="0.25">
      <c r="E5" s="8" t="s">
        <v>22</v>
      </c>
      <c r="F5" s="10">
        <v>0.53660797034291008</v>
      </c>
      <c r="G5" s="11"/>
    </row>
    <row r="6" spans="1:24" x14ac:dyDescent="0.25">
      <c r="E6" s="8" t="s">
        <v>1629</v>
      </c>
      <c r="F6" s="10">
        <v>1</v>
      </c>
      <c r="G6" s="11"/>
    </row>
    <row r="9" spans="1:24" x14ac:dyDescent="0.25">
      <c r="A9" s="13" t="s">
        <v>1653</v>
      </c>
      <c r="B9" s="13"/>
      <c r="D9" s="9" t="s">
        <v>1655</v>
      </c>
      <c r="E9" s="13"/>
      <c r="G9" s="9" t="s">
        <v>1640</v>
      </c>
      <c r="H9" s="13"/>
      <c r="J9" s="9" t="s">
        <v>1642</v>
      </c>
      <c r="K9" s="13"/>
      <c r="M9" s="9" t="s">
        <v>1641</v>
      </c>
      <c r="N9" s="13"/>
      <c r="P9" s="9" t="s">
        <v>1652</v>
      </c>
      <c r="Q9" s="13"/>
      <c r="R9" s="13"/>
      <c r="T9" s="9" t="s">
        <v>1657</v>
      </c>
      <c r="U9" s="13"/>
      <c r="W9" s="9" t="s">
        <v>1654</v>
      </c>
      <c r="X9" s="13"/>
    </row>
    <row r="10" spans="1:24" x14ac:dyDescent="0.25">
      <c r="A10" s="7" t="s">
        <v>1628</v>
      </c>
      <c r="B10" t="s">
        <v>1630</v>
      </c>
      <c r="D10" s="7" t="s">
        <v>1628</v>
      </c>
      <c r="E10" t="s">
        <v>1630</v>
      </c>
      <c r="G10" s="7" t="s">
        <v>1628</v>
      </c>
      <c r="H10" t="s">
        <v>1630</v>
      </c>
      <c r="J10" s="7" t="s">
        <v>1628</v>
      </c>
      <c r="K10" t="s">
        <v>1630</v>
      </c>
      <c r="M10" s="7" t="s">
        <v>1628</v>
      </c>
      <c r="N10" t="s">
        <v>1630</v>
      </c>
      <c r="P10" s="7" t="s">
        <v>1630</v>
      </c>
      <c r="Q10" s="7" t="s">
        <v>1644</v>
      </c>
      <c r="T10" s="7" t="s">
        <v>1628</v>
      </c>
      <c r="U10" t="s">
        <v>1656</v>
      </c>
      <c r="W10" s="7" t="s">
        <v>1628</v>
      </c>
      <c r="X10" t="s">
        <v>1656</v>
      </c>
    </row>
    <row r="11" spans="1:24" x14ac:dyDescent="0.25">
      <c r="A11" s="8" t="s">
        <v>11</v>
      </c>
      <c r="B11">
        <v>366</v>
      </c>
      <c r="D11" s="8" t="s">
        <v>1645</v>
      </c>
      <c r="E11">
        <v>188</v>
      </c>
      <c r="G11" s="8" t="s">
        <v>22</v>
      </c>
      <c r="H11" s="10">
        <v>0.53660797034291008</v>
      </c>
      <c r="J11" s="8" t="s">
        <v>12</v>
      </c>
      <c r="K11">
        <v>627</v>
      </c>
      <c r="M11" s="8" t="s">
        <v>19</v>
      </c>
      <c r="N11">
        <v>406</v>
      </c>
      <c r="P11" s="7" t="s">
        <v>1628</v>
      </c>
      <c r="Q11" t="s">
        <v>14</v>
      </c>
      <c r="R11" t="s">
        <v>22</v>
      </c>
      <c r="T11" s="8" t="s">
        <v>11</v>
      </c>
      <c r="U11" s="17">
        <v>0.43169398907103823</v>
      </c>
      <c r="W11" s="8" t="s">
        <v>1636</v>
      </c>
      <c r="X11" s="17">
        <v>0.42592592592592593</v>
      </c>
    </row>
    <row r="12" spans="1:24" x14ac:dyDescent="0.25">
      <c r="A12" s="8" t="s">
        <v>18</v>
      </c>
      <c r="B12">
        <v>345</v>
      </c>
      <c r="D12" s="8" t="s">
        <v>1646</v>
      </c>
      <c r="E12">
        <v>170</v>
      </c>
      <c r="G12" s="8" t="s">
        <v>14</v>
      </c>
      <c r="H12" s="10">
        <v>0.46339202965708992</v>
      </c>
      <c r="J12" s="8" t="s">
        <v>29</v>
      </c>
      <c r="K12">
        <v>409</v>
      </c>
      <c r="M12" s="8" t="s">
        <v>32</v>
      </c>
      <c r="N12">
        <v>341</v>
      </c>
      <c r="P12" s="8" t="s">
        <v>1637</v>
      </c>
      <c r="Q12">
        <v>196</v>
      </c>
      <c r="R12">
        <v>209</v>
      </c>
      <c r="T12" s="8" t="s">
        <v>18</v>
      </c>
      <c r="U12" s="17">
        <v>0.4289855072463768</v>
      </c>
      <c r="W12" s="8" t="s">
        <v>1637</v>
      </c>
      <c r="X12" s="17">
        <v>0.4148148148148148</v>
      </c>
    </row>
    <row r="13" spans="1:24" x14ac:dyDescent="0.25">
      <c r="A13" s="8" t="s">
        <v>28</v>
      </c>
      <c r="B13">
        <v>136</v>
      </c>
      <c r="D13" s="8" t="s">
        <v>1647</v>
      </c>
      <c r="E13">
        <v>157</v>
      </c>
      <c r="G13" s="8" t="s">
        <v>1629</v>
      </c>
      <c r="H13" s="15">
        <v>1</v>
      </c>
      <c r="J13" s="8" t="s">
        <v>36</v>
      </c>
      <c r="K13">
        <v>43</v>
      </c>
      <c r="M13" s="8" t="s">
        <v>40</v>
      </c>
      <c r="N13">
        <v>332</v>
      </c>
      <c r="P13" s="8" t="s">
        <v>1636</v>
      </c>
      <c r="Q13">
        <v>118</v>
      </c>
      <c r="R13">
        <v>152</v>
      </c>
      <c r="T13" s="8" t="s">
        <v>28</v>
      </c>
      <c r="U13" s="17">
        <v>0.41176470588235292</v>
      </c>
      <c r="W13" s="8" t="s">
        <v>1634</v>
      </c>
      <c r="X13" s="17">
        <v>0.4107142857142857</v>
      </c>
    </row>
    <row r="14" spans="1:24" x14ac:dyDescent="0.25">
      <c r="A14" s="8" t="s">
        <v>44</v>
      </c>
      <c r="B14">
        <v>122</v>
      </c>
      <c r="D14" s="8" t="s">
        <v>1648</v>
      </c>
      <c r="E14">
        <v>152</v>
      </c>
      <c r="J14" s="8" t="s">
        <v>1629</v>
      </c>
      <c r="K14">
        <v>1079</v>
      </c>
      <c r="M14" s="8" t="s">
        <v>1629</v>
      </c>
      <c r="N14">
        <v>1079</v>
      </c>
      <c r="P14" s="8" t="s">
        <v>1634</v>
      </c>
      <c r="Q14">
        <v>102</v>
      </c>
      <c r="R14">
        <v>122</v>
      </c>
      <c r="T14" s="8" t="s">
        <v>66</v>
      </c>
      <c r="U14" s="17">
        <v>0.37272727272727274</v>
      </c>
      <c r="W14" s="8" t="s">
        <v>1635</v>
      </c>
      <c r="X14" s="17">
        <v>0.4</v>
      </c>
    </row>
    <row r="15" spans="1:24" x14ac:dyDescent="0.25">
      <c r="A15" s="8" t="s">
        <v>66</v>
      </c>
      <c r="B15">
        <v>110</v>
      </c>
      <c r="D15" s="8" t="s">
        <v>1649</v>
      </c>
      <c r="E15">
        <v>150</v>
      </c>
      <c r="P15" s="8" t="s">
        <v>1635</v>
      </c>
      <c r="Q15">
        <v>84</v>
      </c>
      <c r="R15">
        <v>96</v>
      </c>
      <c r="T15" s="8" t="s">
        <v>44</v>
      </c>
      <c r="U15" s="17">
        <v>0.36065573770491804</v>
      </c>
      <c r="W15" s="8" t="s">
        <v>1629</v>
      </c>
      <c r="X15" s="17">
        <v>0.41427247451343835</v>
      </c>
    </row>
    <row r="16" spans="1:24" x14ac:dyDescent="0.25">
      <c r="A16" s="8" t="s">
        <v>1629</v>
      </c>
      <c r="B16">
        <v>1079</v>
      </c>
      <c r="D16" s="8" t="s">
        <v>1650</v>
      </c>
      <c r="E16">
        <v>138</v>
      </c>
      <c r="P16" s="8" t="s">
        <v>1629</v>
      </c>
      <c r="Q16">
        <v>500</v>
      </c>
      <c r="R16">
        <v>579</v>
      </c>
      <c r="T16" s="8" t="s">
        <v>1629</v>
      </c>
      <c r="U16" s="17">
        <v>0.41427247451343835</v>
      </c>
    </row>
    <row r="17" spans="4:19" x14ac:dyDescent="0.25">
      <c r="D17" s="8" t="s">
        <v>1651</v>
      </c>
      <c r="E17">
        <v>124</v>
      </c>
      <c r="S17" s="16"/>
    </row>
    <row r="18" spans="4:19" x14ac:dyDescent="0.25">
      <c r="D18" s="8" t="s">
        <v>1629</v>
      </c>
      <c r="E18">
        <v>1079</v>
      </c>
      <c r="S18" s="16"/>
    </row>
    <row r="19" spans="4:19" x14ac:dyDescent="0.25">
      <c r="S19" s="16"/>
    </row>
    <row r="20" spans="4:19" x14ac:dyDescent="0.25">
      <c r="S20" s="16"/>
    </row>
    <row r="21" spans="4:19" x14ac:dyDescent="0.25">
      <c r="M21" s="18"/>
    </row>
    <row r="22" spans="4:19" x14ac:dyDescent="0.25">
      <c r="K22" s="16"/>
      <c r="M22" s="8"/>
      <c r="N22" s="16"/>
    </row>
    <row r="23" spans="4:19" x14ac:dyDescent="0.25">
      <c r="K23" s="16"/>
      <c r="M23" s="8"/>
      <c r="N23" s="16"/>
    </row>
    <row r="24" spans="4:19" x14ac:dyDescent="0.25">
      <c r="K24" s="16"/>
      <c r="M24" s="8"/>
      <c r="N24" s="16"/>
    </row>
    <row r="25" spans="4:19" x14ac:dyDescent="0.25">
      <c r="K25" s="16"/>
      <c r="M25" s="8"/>
      <c r="N25" s="16"/>
    </row>
    <row r="26" spans="4:19" x14ac:dyDescent="0.25">
      <c r="K26" s="16"/>
    </row>
    <row r="27" spans="4:19" x14ac:dyDescent="0.25">
      <c r="O27" s="8"/>
    </row>
    <row r="28" spans="4:19" x14ac:dyDescent="0.25">
      <c r="O28" s="8"/>
    </row>
    <row r="29" spans="4:19" x14ac:dyDescent="0.25">
      <c r="O29" s="8"/>
    </row>
    <row r="30" spans="4:19" x14ac:dyDescent="0.25">
      <c r="O30" s="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F1415C29-286A-4462-94C3-F689C6DF3131}">
  <ds:schemaRefs/>
</ds:datastoreItem>
</file>

<file path=customXml/itemProps2.xml><?xml version="1.0" encoding="utf-8"?>
<ds:datastoreItem xmlns:ds="http://schemas.openxmlformats.org/officeDocument/2006/customXml" ds:itemID="{984CC2DD-310D-416E-93FD-4606528D31D0}">
  <ds:schemaRefs/>
</ds:datastoreItem>
</file>

<file path=customXml/itemProps3.xml><?xml version="1.0" encoding="utf-8"?>
<ds:datastoreItem xmlns:ds="http://schemas.openxmlformats.org/officeDocument/2006/customXml" ds:itemID="{B3AC8FEB-AC3E-4A73-9ADD-4F3941E51020}">
  <ds:schemaRefs/>
</ds:datastoreItem>
</file>

<file path=customXml/itemProps4.xml><?xml version="1.0" encoding="utf-8"?>
<ds:datastoreItem xmlns:ds="http://schemas.openxmlformats.org/officeDocument/2006/customXml" ds:itemID="{80F11F8D-C7EE-4045-AAAE-C1811406C61A}">
  <ds:schemaRefs/>
</ds:datastoreItem>
</file>

<file path=customXml/itemProps5.xml><?xml version="1.0" encoding="utf-8"?>
<ds:datastoreItem xmlns:ds="http://schemas.openxmlformats.org/officeDocument/2006/customXml" ds:itemID="{0766862F-7D0E-40CC-BF81-C08AC581A6CD}">
  <ds:schemaRefs/>
</ds:datastoreItem>
</file>

<file path=customXml/itemProps6.xml><?xml version="1.0" encoding="utf-8"?>
<ds:datastoreItem xmlns:ds="http://schemas.openxmlformats.org/officeDocument/2006/customXml" ds:itemID="{B958F769-B3E0-4D35-BFC9-BFB3413311E6}">
  <ds:schemaRefs/>
</ds:datastoreItem>
</file>

<file path=customXml/itemProps7.xml><?xml version="1.0" encoding="utf-8"?>
<ds:datastoreItem xmlns:ds="http://schemas.openxmlformats.org/officeDocument/2006/customXml" ds:itemID="{DC809F6D-586F-47DD-B651-781059F5F6FB}">
  <ds:schemaRefs/>
</ds:datastoreItem>
</file>

<file path=customXml/itemProps8.xml><?xml version="1.0" encoding="utf-8"?>
<ds:datastoreItem xmlns:ds="http://schemas.openxmlformats.org/officeDocument/2006/customXml" ds:itemID="{015D68B6-10F8-4B99-BA9F-FF0A8E39D86E}">
  <ds:schemaRefs>
    <ds:schemaRef ds:uri="http://schemas.microsoft.com/DataMashup"/>
  </ds:schemaRefs>
</ds:datastoreItem>
</file>

<file path=customXml/itemProps9.xml><?xml version="1.0" encoding="utf-8"?>
<ds:datastoreItem xmlns:ds="http://schemas.openxmlformats.org/officeDocument/2006/customXml" ds:itemID="{01C86347-7D7F-4C51-B8F5-A1EC5BF804E4}">
  <ds:schemaRefs/>
</ds:datastoreItem>
</file>

<file path=customXml/itemProps10.xml><?xml version="1.0" encoding="utf-8"?>
<ds:datastoreItem xmlns:ds="http://schemas.openxmlformats.org/officeDocument/2006/customXml" ds:itemID="{EBFEC6A6-D551-444D-88E3-EFF7AE049905}">
  <ds:schemaRefs/>
</ds:datastoreItem>
</file>

<file path=customXml/itemProps11.xml><?xml version="1.0" encoding="utf-8"?>
<ds:datastoreItem xmlns:ds="http://schemas.openxmlformats.org/officeDocument/2006/customXml" ds:itemID="{83963D4F-F322-4346-9F75-71EEC8730881}">
  <ds:schemaRefs/>
</ds:datastoreItem>
</file>

<file path=customXml/itemProps12.xml><?xml version="1.0" encoding="utf-8"?>
<ds:datastoreItem xmlns:ds="http://schemas.openxmlformats.org/officeDocument/2006/customXml" ds:itemID="{08AEDFD6-0B56-4D02-A1FA-B2407731DB57}">
  <ds:schemaRefs/>
</ds:datastoreItem>
</file>

<file path=customXml/itemProps13.xml><?xml version="1.0" encoding="utf-8"?>
<ds:datastoreItem xmlns:ds="http://schemas.openxmlformats.org/officeDocument/2006/customXml" ds:itemID="{7BD171FD-4E20-4F36-952E-7993C2E468A1}">
  <ds:schemaRefs/>
</ds:datastoreItem>
</file>

<file path=customXml/itemProps14.xml><?xml version="1.0" encoding="utf-8"?>
<ds:datastoreItem xmlns:ds="http://schemas.openxmlformats.org/officeDocument/2006/customXml" ds:itemID="{6BE89513-987B-40FA-B7C8-8CAB536CD491}">
  <ds:schemaRefs/>
</ds:datastoreItem>
</file>

<file path=customXml/itemProps15.xml><?xml version="1.0" encoding="utf-8"?>
<ds:datastoreItem xmlns:ds="http://schemas.openxmlformats.org/officeDocument/2006/customXml" ds:itemID="{EA336FDC-FB17-449B-A591-8C526D10085E}">
  <ds:schemaRefs/>
</ds:datastoreItem>
</file>

<file path=customXml/itemProps16.xml><?xml version="1.0" encoding="utf-8"?>
<ds:datastoreItem xmlns:ds="http://schemas.openxmlformats.org/officeDocument/2006/customXml" ds:itemID="{CDEF0B9B-029B-476F-8FAC-4DC4C18C0852}">
  <ds:schemaRefs/>
</ds:datastoreItem>
</file>

<file path=customXml/itemProps17.xml><?xml version="1.0" encoding="utf-8"?>
<ds:datastoreItem xmlns:ds="http://schemas.openxmlformats.org/officeDocument/2006/customXml" ds:itemID="{A421EAD6-7760-47F2-B149-898272113104}">
  <ds:schemaRefs/>
</ds:datastoreItem>
</file>

<file path=customXml/itemProps18.xml><?xml version="1.0" encoding="utf-8"?>
<ds:datastoreItem xmlns:ds="http://schemas.openxmlformats.org/officeDocument/2006/customXml" ds:itemID="{178FF02B-4471-4158-806E-2F19855EAE69}">
  <ds:schemaRefs/>
</ds:datastoreItem>
</file>

<file path=customXml/itemProps19.xml><?xml version="1.0" encoding="utf-8"?>
<ds:datastoreItem xmlns:ds="http://schemas.openxmlformats.org/officeDocument/2006/customXml" ds:itemID="{186C70E5-9391-44E1-A4A3-02B28BEE1F87}">
  <ds:schemaRefs/>
</ds:datastoreItem>
</file>

<file path=customXml/itemProps20.xml><?xml version="1.0" encoding="utf-8"?>
<ds:datastoreItem xmlns:ds="http://schemas.openxmlformats.org/officeDocument/2006/customXml" ds:itemID="{67461F58-281C-4B7C-8855-6679C8A76B1E}">
  <ds:schemaRefs/>
</ds:datastoreItem>
</file>

<file path=customXml/itemProps21.xml><?xml version="1.0" encoding="utf-8"?>
<ds:datastoreItem xmlns:ds="http://schemas.openxmlformats.org/officeDocument/2006/customXml" ds:itemID="{850CE7EF-D3F1-4E6A-8F85-59AC05FEFFAD}">
  <ds:schemaRefs/>
</ds:datastoreItem>
</file>

<file path=customXml/itemProps22.xml><?xml version="1.0" encoding="utf-8"?>
<ds:datastoreItem xmlns:ds="http://schemas.openxmlformats.org/officeDocument/2006/customXml" ds:itemID="{AA59FD4B-7C9C-45CD-9B2F-972347CB3176}">
  <ds:schemaRefs/>
</ds:datastoreItem>
</file>

<file path=customXml/itemProps23.xml><?xml version="1.0" encoding="utf-8"?>
<ds:datastoreItem xmlns:ds="http://schemas.openxmlformats.org/officeDocument/2006/customXml" ds:itemID="{17B696BD-E2E4-4047-8056-D6C21B5EB879}">
  <ds:schemaRefs/>
</ds:datastoreItem>
</file>

<file path=customXml/itemProps24.xml><?xml version="1.0" encoding="utf-8"?>
<ds:datastoreItem xmlns:ds="http://schemas.openxmlformats.org/officeDocument/2006/customXml" ds:itemID="{41EDBA76-A643-439C-B5CD-5EC7DF53D6E0}">
  <ds:schemaRefs/>
</ds:datastoreItem>
</file>

<file path=customXml/itemProps25.xml><?xml version="1.0" encoding="utf-8"?>
<ds:datastoreItem xmlns:ds="http://schemas.openxmlformats.org/officeDocument/2006/customXml" ds:itemID="{897B4027-6C44-41AE-9B4A-151B8FF6C54D}">
  <ds:schemaRefs/>
</ds:datastoreItem>
</file>

<file path=customXml/itemProps26.xml><?xml version="1.0" encoding="utf-8"?>
<ds:datastoreItem xmlns:ds="http://schemas.openxmlformats.org/officeDocument/2006/customXml" ds:itemID="{A7144DAF-F283-4326-B848-6DA6AD57D2FB}">
  <ds:schemaRefs/>
</ds:datastoreItem>
</file>

<file path=customXml/itemProps27.xml><?xml version="1.0" encoding="utf-8"?>
<ds:datastoreItem xmlns:ds="http://schemas.openxmlformats.org/officeDocument/2006/customXml" ds:itemID="{151E505A-525E-46D8-B89C-A4141560F044}">
  <ds:schemaRefs/>
</ds:datastoreItem>
</file>

<file path=customXml/itemProps28.xml><?xml version="1.0" encoding="utf-8"?>
<ds:datastoreItem xmlns:ds="http://schemas.openxmlformats.org/officeDocument/2006/customXml" ds:itemID="{BCCBFC16-C3CA-4768-998F-83391355B4B7}">
  <ds:schemaRefs/>
</ds:datastoreItem>
</file>

<file path=customXml/itemProps29.xml><?xml version="1.0" encoding="utf-8"?>
<ds:datastoreItem xmlns:ds="http://schemas.openxmlformats.org/officeDocument/2006/customXml" ds:itemID="{665C2B08-D773-4A04-823A-25C379BB8757}">
  <ds:schemaRefs/>
</ds:datastoreItem>
</file>

<file path=customXml/itemProps30.xml><?xml version="1.0" encoding="utf-8"?>
<ds:datastoreItem xmlns:ds="http://schemas.openxmlformats.org/officeDocument/2006/customXml" ds:itemID="{27240B04-ACAF-4641-867A-2E2B6E2203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user_session_data</vt:lpstr>
      <vt:lpstr>engagement_data</vt:lpstr>
      <vt:lpstr>Dashboard</vt:lpstr>
      <vt:lpstr>pivot tables</vt:lpstr>
      <vt:lpstr>ASD_MIN</vt:lpstr>
      <vt:lpstr>CR</vt:lpstr>
      <vt:lpstr>CRate</vt:lpstr>
      <vt:lpstr>N</vt:lpstr>
      <vt:lpstr>New</vt:lpstr>
      <vt:lpstr>NUSER</vt:lpstr>
      <vt:lpstr>PTR</vt:lpstr>
      <vt:lpstr>Return</vt:lpstr>
      <vt:lpstr>Returning</vt:lpstr>
      <vt:lpstr>RU</vt:lpstr>
      <vt:lpstr>RUS</vt:lpstr>
      <vt:lpstr>Total_sessions</vt:lpstr>
      <vt:lpstr>TS</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Chukwuemeka Nwankwo</cp:lastModifiedBy>
  <dcterms:created xsi:type="dcterms:W3CDTF">2026-02-25T02:40:05Z</dcterms:created>
  <dcterms:modified xsi:type="dcterms:W3CDTF">2026-03-17T02:37:10Z</dcterms:modified>
</cp:coreProperties>
</file>